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afcb37c23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25832486424abc"/>
    <x:sheet xmlns:r="http://schemas.openxmlformats.org/officeDocument/2006/relationships" name="Table_Row" sheetId="2" r:id="R1d8d907c906d4c8f"/>
    <x:sheet xmlns:r="http://schemas.openxmlformats.org/officeDocument/2006/relationships" name="Instance_Comparison" sheetId="3" r:id="R1aa1fb423bb9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200" fontId="0" fillId="0" borderId="24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641ceb13e48ee" /><Relationship Type="http://schemas.openxmlformats.org/officeDocument/2006/relationships/theme" Target="/xl/theme/theme1.xml" Id="Rbd92518927f546ec" /><Relationship Type="http://schemas.openxmlformats.org/officeDocument/2006/relationships/sharedStrings" Target="/xl/sharedStrings.xml" Id="Radacb7534d8543af" /><Relationship Type="http://schemas.openxmlformats.org/officeDocument/2006/relationships/worksheet" Target="/xl/worksheets/sheet1.xml" Id="Rb525832486424abc" /><Relationship Type="http://schemas.openxmlformats.org/officeDocument/2006/relationships/worksheet" Target="/xl/worksheets/sheet2.xml" Id="R1d8d907c906d4c8f" /><Relationship Type="http://schemas.openxmlformats.org/officeDocument/2006/relationships/worksheet" Target="/xl/worksheets/sheet3.xml" Id="R1aa1fb423bb9448e" /></Relationships>
</file>

<file path=xl/tables/table1.xml><?xml version="1.0" encoding="utf-8"?>
<x:table xmlns:x="http://schemas.openxmlformats.org/spreadsheetml/2006/main" id="2" name="SummaryTable" displayName="SummaryTable" ref="A1:E6" headerRowCount="1" totalsRowCount="0" totalsRowShown="0">
  <x:tableColumns count="5">
    <x:tableColumn id="1" name="Method"/>
    <x:tableColumn id="2" name="Avg Dev. (%)"/>
    <x:tableColumn id="3" name="#Best"/>
    <x:tableColumn id="4" name="Total Instances"/>
    <x:tableColumn id="5" name="Cell 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nsityRowTable" displayName="DensityRowTable" ref="A1:F2" headerRowCount="1" totalsRowCount="0" totalsRowShown="0">
  <x:tableColumns count="6">
    <x:tableColumn id="1" name="rho"/>
    <x:tableColumn id="2" name="P-FFD"/>
    <x:tableColumn id="3" name="P-BFD"/>
    <x:tableColumn id="4" name="P-WFD"/>
    <x:tableColumn id="5" name="TP-Best"/>
    <x:tableColumn id="6" name="MSI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InstanceComparisonTable" displayName="InstanceComparisonTable" ref="A1:R577" headerRowCount="1" totalsRowCount="0" totalsRowShown="0">
  <x:tableColumns count="18">
    <x:tableColumn id="1" name="Instance"/>
    <x:tableColumn id="2" name="n_items"/>
    <x:tableColumn id="3" name="P-FFD Cost"/>
    <x:tableColumn id="4" name="P-BFD Cost"/>
    <x:tableColumn id="5" name="P-WFD Cost"/>
    <x:tableColumn id="6" name="TP-Best Cost"/>
    <x:tableColumn id="7" name="MSIG Cost"/>
    <x:tableColumn id="8" name="Best Value"/>
    <x:tableColumn id="9" name="P-FFD Dev. (%)"/>
    <x:tableColumn id="10" name="P-BFD Dev. (%)"/>
    <x:tableColumn id="11" name="P-WFD Dev. (%)"/>
    <x:tableColumn id="12" name="TP-Best Dev. (%)"/>
    <x:tableColumn id="13" name="MSIG Dev. (%)"/>
    <x:tableColumn id="14" name="P-FFD Best?"/>
    <x:tableColumn id="15" name="P-BFD Best?"/>
    <x:tableColumn id="16" name="P-WFD Best?"/>
    <x:tableColumn id="17" name="TP-Best Best?"/>
    <x:tableColumn id="18" name="MSIG Bes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3245ba4bdc47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aeb7cfe14647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9189eaed4f45f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</x:cols>
  <x:sheetData>
    <x:row r="1">
      <x:c r="A1" s="6" t="str">
        <x:v>Method</x:v>
      </x:c>
      <x:c r="B1" s="6" t="str">
        <x:v>Avg Dev. (%)</x:v>
      </x:c>
      <x:c r="C1" s="6" t="str">
        <x:v>#Best</x:v>
      </x:c>
      <x:c r="D1" s="6" t="str">
        <x:v>Total Instances</x:v>
      </x:c>
      <x:c r="E1" s="6" t="str">
        <x:v>Cell Text</x:v>
      </x:c>
    </x:row>
    <x:row r="2">
      <x:c r="A2" s="18" t="str">
        <x:v>P-FFD</x:v>
      </x:c>
      <x:c r="B2" s="19" t="n">
        <x:f>AVERAGE(Instance_Comparison!I2:I577)</x:f>
        <x:v>30.938217476745617</x:v>
      </x:c>
      <x:c r="C2" s="20" t="n">
        <x:f>COUNTIF(Instance_Comparison!N2:N577,"YES")</x:f>
        <x:v>60</x:v>
      </x:c>
      <x:c r="D2" s="20" t="n">
        <x:v>576</x:v>
      </x:c>
      <x:c r="E2" s="21" t="str">
        <x:f>TEXT(B2,"0.00")&amp;"% ("&amp;C2&amp;"/"&amp;D2&amp;")"</x:f>
        <x:v>30.94% (60/576)</x:v>
      </x:c>
    </x:row>
    <x:row r="3">
      <x:c r="A3" s="22" t="str">
        <x:v>P-BFD</x:v>
      </x:c>
      <x:c r="B3" s="14" t="n">
        <x:f>AVERAGE(Instance_Comparison!J2:J577)</x:f>
        <x:v>31.208634601285684</x:v>
      </x:c>
      <x:c r="C3" s="12" t="n">
        <x:f>COUNTIF(Instance_Comparison!O2:O577,"YES")</x:f>
        <x:v>64</x:v>
      </x:c>
      <x:c r="D3" s="12" t="n">
        <x:v>576</x:v>
      </x:c>
      <x:c r="E3" s="23" t="str">
        <x:f>TEXT(B3,"0.00")&amp;"% ("&amp;C3&amp;"/"&amp;D3&amp;")"</x:f>
        <x:v>31.21% (64/576)</x:v>
      </x:c>
    </x:row>
    <x:row r="4">
      <x:c r="A4" s="22" t="str">
        <x:v>P-WFD</x:v>
      </x:c>
      <x:c r="B4" s="14" t="n">
        <x:f>AVERAGE(Instance_Comparison!K2:K577)</x:f>
        <x:v>26.46728098239693</x:v>
      </x:c>
      <x:c r="C4" s="12" t="n">
        <x:f>COUNTIF(Instance_Comparison!P2:P577,"YES")</x:f>
        <x:v>77</x:v>
      </x:c>
      <x:c r="D4" s="12" t="n">
        <x:v>576</x:v>
      </x:c>
      <x:c r="E4" s="23" t="str">
        <x:f>TEXT(B4,"0.00")&amp;"% ("&amp;C4&amp;"/"&amp;D4&amp;")"</x:f>
        <x:v>26.47% (77/576)</x:v>
      </x:c>
    </x:row>
    <x:row r="5">
      <x:c r="A5" s="22" t="str">
        <x:v>TP-Best</x:v>
      </x:c>
      <x:c r="B5" s="14" t="n">
        <x:f>AVERAGE(Instance_Comparison!L2:L577)</x:f>
        <x:v>11.460428215301707</x:v>
      </x:c>
      <x:c r="C5" s="12" t="n">
        <x:f>COUNTIF(Instance_Comparison!Q2:Q577,"YES")</x:f>
        <x:v>114</x:v>
      </x:c>
      <x:c r="D5" s="12" t="n">
        <x:v>576</x:v>
      </x:c>
      <x:c r="E5" s="23" t="str">
        <x:f>TEXT(B5,"0.00")&amp;"% ("&amp;C5&amp;"/"&amp;D5&amp;")"</x:f>
        <x:v>11.46% (114/576)</x:v>
      </x:c>
    </x:row>
    <x:row r="6">
      <x:c r="A6" s="24" t="str">
        <x:v>MSIG</x:v>
      </x:c>
      <x:c r="B6" s="25" t="n">
        <x:f>AVERAGE(Instance_Comparison!M2:M577)</x:f>
        <x:v>0.08821367512222032</x:v>
      </x:c>
      <x:c r="C6" s="26" t="n">
        <x:f>COUNTIF(Instance_Comparison!R2:R577,"YES")</x:f>
        <x:v>567</x:v>
      </x:c>
      <x:c r="D6" s="26" t="n">
        <x:v>576</x:v>
      </x:c>
      <x:c r="E6" s="27" t="str">
        <x:f>TEXT(B6,"0.00")&amp;"% ("&amp;C6&amp;"/"&amp;D6&amp;")"</x:f>
        <x:v>0.09% (567/576)</x:v>
      </x:c>
    </x:row>
  </x:sheetData>
  <x:pageMargins left="0.7" right="0.7" top="0.75" bottom="0.75" header="0.3" footer="0.3"/>
  <x:tableParts count="1">
    <x:tablePart xmlns:r="http://schemas.openxmlformats.org/officeDocument/2006/relationships" r:id="Rf23245ba4bdc47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rho</x:v>
      </x:c>
      <x:c r="B1" s="6" t="str">
        <x:v>P-FFD</x:v>
      </x:c>
      <x:c r="C1" s="6" t="str">
        <x:v>P-BFD</x:v>
      </x:c>
      <x:c r="D1" s="6" t="str">
        <x:v>P-WFD</x:v>
      </x:c>
      <x:c r="E1" s="6" t="str">
        <x:v>TP-Best</x:v>
      </x:c>
      <x:c r="F1" s="6" t="str">
        <x:v>MSIG</x:v>
      </x:c>
    </x:row>
    <x:row r="2">
      <x:c r="A2" s="38" t="n">
        <x:v>0.1</x:v>
      </x:c>
      <x:c r="B2" s="39" t="str">
        <x:f>Summary!E2</x:f>
        <x:v>30.94% (60/576)</x:v>
      </x:c>
      <x:c r="C2" s="39" t="str">
        <x:f>Summary!E3</x:f>
        <x:v>31.21% (64/576)</x:v>
      </x:c>
      <x:c r="D2" s="39" t="str">
        <x:f>Summary!E4</x:f>
        <x:v>26.47% (77/576)</x:v>
      </x:c>
      <x:c r="E2" s="39" t="str">
        <x:f>Summary!E5</x:f>
        <x:v>11.46% (114/576)</x:v>
      </x:c>
      <x:c r="F2" s="40" t="str">
        <x:f>Summary!E6</x:f>
        <x:v>0.09% (567/576)</x:v>
      </x:c>
    </x:row>
  </x:sheetData>
  <x:pageMargins left="0.7" right="0.7" top="0.75" bottom="0.75" header="0.3" footer="0.3"/>
  <x:tableParts count="1">
    <x:tablePart xmlns:r="http://schemas.openxmlformats.org/officeDocument/2006/relationships" r:id="R3daeb7cfe14647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6" t="str">
        <x:v>Instance</x:v>
      </x:c>
      <x:c r="B1" s="6" t="str">
        <x:v>n_items</x:v>
      </x:c>
      <x:c r="C1" s="6" t="str">
        <x:v>P-FFD Cost</x:v>
      </x:c>
      <x:c r="D1" s="6" t="str">
        <x:v>P-BFD Cost</x:v>
      </x:c>
      <x:c r="E1" s="6" t="str">
        <x:v>P-WFD Cost</x:v>
      </x:c>
      <x:c r="F1" s="6" t="str">
        <x:v>TP-Best Cost</x:v>
      </x:c>
      <x:c r="G1" s="6" t="str">
        <x:v>MSIG Cost</x:v>
      </x:c>
      <x:c r="H1" s="6" t="str">
        <x:v>Best Value</x:v>
      </x:c>
      <x:c r="I1" s="6" t="str">
        <x:v>P-FFD Dev. (%)</x:v>
      </x:c>
      <x:c r="J1" s="6" t="str">
        <x:v>P-BFD Dev. (%)</x:v>
      </x:c>
      <x:c r="K1" s="6" t="str">
        <x:v>P-WFD Dev. (%)</x:v>
      </x:c>
      <x:c r="L1" s="6" t="str">
        <x:v>TP-Best Dev. (%)</x:v>
      </x:c>
      <x:c r="M1" s="6" t="str">
        <x:v>MSIG Dev. (%)</x:v>
      </x:c>
      <x:c r="N1" s="6" t="str">
        <x:v>P-FFD Best?</x:v>
      </x:c>
      <x:c r="O1" s="6" t="str">
        <x:v>P-BFD Best?</x:v>
      </x:c>
      <x:c r="P1" s="6" t="str">
        <x:v>P-WFD Best?</x:v>
      </x:c>
      <x:c r="Q1" s="6" t="str">
        <x:v>TP-Best Best?</x:v>
      </x:c>
      <x:c r="R1" s="6" t="str">
        <x:v>MSIG Best?</x:v>
      </x:c>
    </x:row>
    <x:row r="2">
      <x:c r="A2" s="44" t="str">
        <x:v>bpps_d10000n100m10w1000_2000s1000_2000f0_seed0</x:v>
      </x:c>
      <x:c r="B2" s="12" t="n">
        <x:v>100</x:v>
      </x:c>
      <x:c r="C2" s="12" t="n">
        <x:v>27</x:v>
      </x:c>
      <x:c r="D2" s="12" t="n">
        <x:v>28</x:v>
      </x:c>
      <x:c r="E2" s="12" t="n">
        <x:v>27</x:v>
      </x:c>
      <x:c r="F2" s="12" t="n">
        <x:v>22</x:v>
      </x:c>
      <x:c r="G2" s="12" t="n">
        <x:v>21</x:v>
      </x:c>
      <x:c r="H2" s="12" t="n">
        <x:f>MIN(C2:G2)</x:f>
        <x:v>21</x:v>
      </x:c>
      <x:c r="I2" s="14" t="n">
        <x:f>(C2-$H2)/$H2*100</x:f>
        <x:v>28.57142857142857</x:v>
      </x:c>
      <x:c r="J2" s="14" t="n">
        <x:f>(D2-$H2)/$H2*100</x:f>
        <x:v>33.33333333333333</x:v>
      </x:c>
      <x:c r="K2" s="14" t="n">
        <x:f>(E2-$H2)/$H2*100</x:f>
        <x:v>28.57142857142857</x:v>
      </x:c>
      <x:c r="L2" s="14" t="n">
        <x:f>(F2-$H2)/$H2*100</x:f>
        <x:v>4.761904761904762</x:v>
      </x:c>
      <x:c r="M2" s="14" t="n">
        <x:f>(G2-$H2)/$H2*100</x:f>
        <x:v>0</x:v>
      </x:c>
      <x:c r="N2" s="12" t="str">
        <x:f>IF(C2=$H2,"YES","NO")</x:f>
        <x:v>NO</x:v>
      </x:c>
      <x:c r="O2" s="12" t="str">
        <x:f>IF(D2=$H2,"YES","NO")</x:f>
        <x:v>NO</x:v>
      </x:c>
      <x:c r="P2" s="12" t="str">
        <x:f>IF(E2=$H2,"YES","NO")</x:f>
        <x:v>NO</x:v>
      </x:c>
      <x:c r="Q2" s="12" t="str">
        <x:f>IF(F2=$H2,"YES","NO")</x:f>
        <x:v>NO</x:v>
      </x:c>
      <x:c r="R2" s="12" t="str">
        <x:f>IF(G2=$H2,"YES","NO")</x:f>
        <x:v>YES</x:v>
      </x:c>
    </x:row>
    <x:row r="3">
      <x:c r="A3" s="44" t="str">
        <x:v>bpps_d10000n100m10w1000_2000s1000_2000f1_seed0</x:v>
      </x:c>
      <x:c r="B3" s="12" t="n">
        <x:v>100</x:v>
      </x:c>
      <x:c r="C3" s="12" t="n">
        <x:v>521</x:v>
      </x:c>
      <x:c r="D3" s="12" t="n">
        <x:v>519</x:v>
      </x:c>
      <x:c r="E3" s="12" t="n">
        <x:v>486</x:v>
      </x:c>
      <x:c r="F3" s="12" t="n">
        <x:v>324</x:v>
      </x:c>
      <x:c r="G3" s="12" t="n">
        <x:v>289</x:v>
      </x:c>
      <x:c r="H3" s="12" t="n">
        <x:f>MIN(C3:G3)</x:f>
        <x:v>289</x:v>
      </x:c>
      <x:c r="I3" s="14" t="n">
        <x:f>(C3-$H3)/$H3*100</x:f>
        <x:v>80.27681660899654</x:v>
      </x:c>
      <x:c r="J3" s="14" t="n">
        <x:f>(D3-$H3)/$H3*100</x:f>
        <x:v>79.58477508650519</x:v>
      </x:c>
      <x:c r="K3" s="14" t="n">
        <x:f>(E3-$H3)/$H3*100</x:f>
        <x:v>68.16608996539793</x:v>
      </x:c>
      <x:c r="L3" s="14" t="n">
        <x:f>(F3-$H3)/$H3*100</x:f>
        <x:v>12.110726643598616</x:v>
      </x:c>
      <x:c r="M3" s="14" t="n">
        <x:f>(G3-$H3)/$H3*100</x:f>
        <x:v>0</x:v>
      </x:c>
      <x:c r="N3" s="12" t="str">
        <x:f>IF(C3=$H3,"YES","NO")</x:f>
        <x:v>NO</x:v>
      </x:c>
      <x:c r="O3" s="12" t="str">
        <x:f>IF(D3=$H3,"YES","NO")</x:f>
        <x:v>NO</x:v>
      </x:c>
      <x:c r="P3" s="12" t="str">
        <x:f>IF(E3=$H3,"YES","NO")</x:f>
        <x:v>NO</x:v>
      </x:c>
      <x:c r="Q3" s="12" t="str">
        <x:f>IF(F3=$H3,"YES","NO")</x:f>
        <x:v>NO</x:v>
      </x:c>
      <x:c r="R3" s="12" t="str">
        <x:f>IF(G3=$H3,"YES","NO")</x:f>
        <x:v>YES</x:v>
      </x:c>
    </x:row>
    <x:row r="4">
      <x:c r="A4" s="44" t="str">
        <x:v>bpps_d10000n100m10w1000_2000s100_1000f0_seed0</x:v>
      </x:c>
      <x:c r="B4" s="12" t="n">
        <x:v>100</x:v>
      </x:c>
      <x:c r="C4" s="12" t="n">
        <x:v>21</x:v>
      </x:c>
      <x:c r="D4" s="12" t="n">
        <x:v>21</x:v>
      </x:c>
      <x:c r="E4" s="12" t="n">
        <x:v>20</x:v>
      </x:c>
      <x:c r="F4" s="12" t="n">
        <x:v>20</x:v>
      </x:c>
      <x:c r="G4" s="12" t="n">
        <x:v>18</x:v>
      </x:c>
      <x:c r="H4" s="12" t="n">
        <x:f>MIN(C4:G4)</x:f>
        <x:v>18</x:v>
      </x:c>
      <x:c r="I4" s="14" t="n">
        <x:f>(C4-$H4)/$H4*100</x:f>
        <x:v>16.666666666666664</x:v>
      </x:c>
      <x:c r="J4" s="14" t="n">
        <x:f>(D4-$H4)/$H4*100</x:f>
        <x:v>16.666666666666664</x:v>
      </x:c>
      <x:c r="K4" s="14" t="n">
        <x:f>(E4-$H4)/$H4*100</x:f>
        <x:v>11.11111111111111</x:v>
      </x:c>
      <x:c r="L4" s="14" t="n">
        <x:f>(F4-$H4)/$H4*100</x:f>
        <x:v>11.11111111111111</x:v>
      </x:c>
      <x:c r="M4" s="14" t="n">
        <x:f>(G4-$H4)/$H4*100</x:f>
        <x:v>0</x:v>
      </x:c>
      <x:c r="N4" s="12" t="str">
        <x:f>IF(C4=$H4,"YES","NO")</x:f>
        <x:v>NO</x:v>
      </x:c>
      <x:c r="O4" s="12" t="str">
        <x:f>IF(D4=$H4,"YES","NO")</x:f>
        <x:v>NO</x:v>
      </x:c>
      <x:c r="P4" s="12" t="str">
        <x:f>IF(E4=$H4,"YES","NO")</x:f>
        <x:v>NO</x:v>
      </x:c>
      <x:c r="Q4" s="12" t="str">
        <x:f>IF(F4=$H4,"YES","NO")</x:f>
        <x:v>NO</x:v>
      </x:c>
      <x:c r="R4" s="12" t="str">
        <x:f>IF(G4=$H4,"YES","NO")</x:f>
        <x:v>YES</x:v>
      </x:c>
    </x:row>
    <x:row r="5">
      <x:c r="A5" s="44" t="str">
        <x:v>bpps_d10000n100m10w1000_2000s100_1000f1_seed0</x:v>
      </x:c>
      <x:c r="B5" s="12" t="n">
        <x:v>100</x:v>
      </x:c>
      <x:c r="C5" s="12" t="n">
        <x:v>438</x:v>
      </x:c>
      <x:c r="D5" s="12" t="n">
        <x:v>438</x:v>
      </x:c>
      <x:c r="E5" s="12" t="n">
        <x:v>430</x:v>
      </x:c>
      <x:c r="F5" s="12" t="n">
        <x:v>275</x:v>
      </x:c>
      <x:c r="G5" s="12" t="n">
        <x:v>265</x:v>
      </x:c>
      <x:c r="H5" s="12" t="n">
        <x:f>MIN(C5:G5)</x:f>
        <x:v>265</x:v>
      </x:c>
      <x:c r="I5" s="14" t="n">
        <x:f>(C5-$H5)/$H5*100</x:f>
        <x:v>65.28301886792453</x:v>
      </x:c>
      <x:c r="J5" s="14" t="n">
        <x:f>(D5-$H5)/$H5*100</x:f>
        <x:v>65.28301886792453</x:v>
      </x:c>
      <x:c r="K5" s="14" t="n">
        <x:f>(E5-$H5)/$H5*100</x:f>
        <x:v>62.264150943396224</x:v>
      </x:c>
      <x:c r="L5" s="14" t="n">
        <x:f>(F5-$H5)/$H5*100</x:f>
        <x:v>3.7735849056603774</x:v>
      </x:c>
      <x:c r="M5" s="14" t="n">
        <x:f>(G5-$H5)/$H5*100</x:f>
        <x:v>0</x:v>
      </x:c>
      <x:c r="N5" s="12" t="str">
        <x:f>IF(C5=$H5,"YES","NO")</x:f>
        <x:v>NO</x:v>
      </x:c>
      <x:c r="O5" s="12" t="str">
        <x:f>IF(D5=$H5,"YES","NO")</x:f>
        <x:v>NO</x:v>
      </x:c>
      <x:c r="P5" s="12" t="str">
        <x:f>IF(E5=$H5,"YES","NO")</x:f>
        <x:v>NO</x:v>
      </x:c>
      <x:c r="Q5" s="12" t="str">
        <x:f>IF(F5=$H5,"YES","NO")</x:f>
        <x:v>NO</x:v>
      </x:c>
      <x:c r="R5" s="12" t="str">
        <x:f>IF(G5=$H5,"YES","NO")</x:f>
        <x:v>YES</x:v>
      </x:c>
    </x:row>
    <x:row r="6">
      <x:c r="A6" s="44" t="str">
        <x:v>bpps_d10000n100m10w1000_2000s100_2000f0_seed0</x:v>
      </x:c>
      <x:c r="B6" s="12" t="n">
        <x:v>100</x:v>
      </x:c>
      <x:c r="C6" s="12" t="n">
        <x:v>24</x:v>
      </x:c>
      <x:c r="D6" s="12" t="n">
        <x:v>23</x:v>
      </x:c>
      <x:c r="E6" s="12" t="n">
        <x:v>23</x:v>
      </x:c>
      <x:c r="F6" s="12" t="n">
        <x:v>21</x:v>
      </x:c>
      <x:c r="G6" s="12" t="n">
        <x:v>20</x:v>
      </x:c>
      <x:c r="H6" s="12" t="n">
        <x:f>MIN(C6:G6)</x:f>
        <x:v>20</x:v>
      </x:c>
      <x:c r="I6" s="14" t="n">
        <x:f>(C6-$H6)/$H6*100</x:f>
        <x:v>20</x:v>
      </x:c>
      <x:c r="J6" s="14" t="n">
        <x:f>(D6-$H6)/$H6*100</x:f>
        <x:v>15</x:v>
      </x:c>
      <x:c r="K6" s="14" t="n">
        <x:f>(E6-$H6)/$H6*100</x:f>
        <x:v>15</x:v>
      </x:c>
      <x:c r="L6" s="14" t="n">
        <x:f>(F6-$H6)/$H6*100</x:f>
        <x:v>5</x:v>
      </x:c>
      <x:c r="M6" s="14" t="n">
        <x:f>(G6-$H6)/$H6*100</x:f>
        <x:v>0</x:v>
      </x:c>
      <x:c r="N6" s="12" t="str">
        <x:f>IF(C6=$H6,"YES","NO")</x:f>
        <x:v>NO</x:v>
      </x:c>
      <x:c r="O6" s="12" t="str">
        <x:f>IF(D6=$H6,"YES","NO")</x:f>
        <x:v>NO</x:v>
      </x:c>
      <x:c r="P6" s="12" t="str">
        <x:f>IF(E6=$H6,"YES","NO")</x:f>
        <x:v>NO</x:v>
      </x:c>
      <x:c r="Q6" s="12" t="str">
        <x:f>IF(F6=$H6,"YES","NO")</x:f>
        <x:v>NO</x:v>
      </x:c>
      <x:c r="R6" s="12" t="str">
        <x:f>IF(G6=$H6,"YES","NO")</x:f>
        <x:v>YES</x:v>
      </x:c>
    </x:row>
    <x:row r="7">
      <x:c r="A7" s="44" t="str">
        <x:v>bpps_d10000n100m10w1000_2000s100_2000f1_seed0</x:v>
      </x:c>
      <x:c r="B7" s="12" t="n">
        <x:v>100</x:v>
      </x:c>
      <x:c r="C7" s="12" t="n">
        <x:v>485</x:v>
      </x:c>
      <x:c r="D7" s="12" t="n">
        <x:v>485</x:v>
      </x:c>
      <x:c r="E7" s="12" t="n">
        <x:v>452</x:v>
      </x:c>
      <x:c r="F7" s="12" t="n">
        <x:v>297</x:v>
      </x:c>
      <x:c r="G7" s="12" t="n">
        <x:v>278</x:v>
      </x:c>
      <x:c r="H7" s="12" t="n">
        <x:f>MIN(C7:G7)</x:f>
        <x:v>278</x:v>
      </x:c>
      <x:c r="I7" s="14" t="n">
        <x:f>(C7-$H7)/$H7*100</x:f>
        <x:v>74.46043165467626</x:v>
      </x:c>
      <x:c r="J7" s="14" t="n">
        <x:f>(D7-$H7)/$H7*100</x:f>
        <x:v>74.46043165467626</x:v>
      </x:c>
      <x:c r="K7" s="14" t="n">
        <x:f>(E7-$H7)/$H7*100</x:f>
        <x:v>62.589928057553955</x:v>
      </x:c>
      <x:c r="L7" s="14" t="n">
        <x:f>(F7-$H7)/$H7*100</x:f>
        <x:v>6.83453237410072</x:v>
      </x:c>
      <x:c r="M7" s="14" t="n">
        <x:f>(G7-$H7)/$H7*100</x:f>
        <x:v>0</x:v>
      </x:c>
      <x:c r="N7" s="12" t="str">
        <x:f>IF(C7=$H7,"YES","NO")</x:f>
        <x:v>NO</x:v>
      </x:c>
      <x:c r="O7" s="12" t="str">
        <x:f>IF(D7=$H7,"YES","NO")</x:f>
        <x:v>NO</x:v>
      </x:c>
      <x:c r="P7" s="12" t="str">
        <x:f>IF(E7=$H7,"YES","NO")</x:f>
        <x:v>NO</x:v>
      </x:c>
      <x:c r="Q7" s="12" t="str">
        <x:f>IF(F7=$H7,"YES","NO")</x:f>
        <x:v>NO</x:v>
      </x:c>
      <x:c r="R7" s="12" t="str">
        <x:f>IF(G7=$H7,"YES","NO")</x:f>
        <x:v>YES</x:v>
      </x:c>
    </x:row>
    <x:row r="8">
      <x:c r="A8" s="44" t="str">
        <x:v>bpps_d10000n100m10w100_1000s1000_2000f0_seed0</x:v>
      </x:c>
      <x:c r="B8" s="12" t="n">
        <x:v>100</x:v>
      </x:c>
      <x:c r="C8" s="12" t="n">
        <x:v>14</x:v>
      </x:c>
      <x:c r="D8" s="12" t="n">
        <x:v>14</x:v>
      </x:c>
      <x:c r="E8" s="12" t="n">
        <x:v>13</x:v>
      </x:c>
      <x:c r="F8" s="12" t="n">
        <x:v>13</x:v>
      </x:c>
      <x:c r="G8" s="12" t="n">
        <x:v>10</x:v>
      </x:c>
      <x:c r="H8" s="12" t="n">
        <x:f>MIN(C8:G8)</x:f>
        <x:v>10</x:v>
      </x:c>
      <x:c r="I8" s="14" t="n">
        <x:f>(C8-$H8)/$H8*100</x:f>
        <x:v>40</x:v>
      </x:c>
      <x:c r="J8" s="14" t="n">
        <x:f>(D8-$H8)/$H8*100</x:f>
        <x:v>40</x:v>
      </x:c>
      <x:c r="K8" s="14" t="n">
        <x:f>(E8-$H8)/$H8*100</x:f>
        <x:v>30</x:v>
      </x:c>
      <x:c r="L8" s="14" t="n">
        <x:f>(F8-$H8)/$H8*100</x:f>
        <x:v>30</x:v>
      </x:c>
      <x:c r="M8" s="14" t="n">
        <x:f>(G8-$H8)/$H8*100</x:f>
        <x:v>0</x:v>
      </x:c>
      <x:c r="N8" s="12" t="str">
        <x:f>IF(C8=$H8,"YES","NO")</x:f>
        <x:v>NO</x:v>
      </x:c>
      <x:c r="O8" s="12" t="str">
        <x:f>IF(D8=$H8,"YES","NO")</x:f>
        <x:v>NO</x:v>
      </x:c>
      <x:c r="P8" s="12" t="str">
        <x:f>IF(E8=$H8,"YES","NO")</x:f>
        <x:v>NO</x:v>
      </x:c>
      <x:c r="Q8" s="12" t="str">
        <x:f>IF(F8=$H8,"YES","NO")</x:f>
        <x:v>NO</x:v>
      </x:c>
      <x:c r="R8" s="12" t="str">
        <x:f>IF(G8=$H8,"YES","NO")</x:f>
        <x:v>YES</x:v>
      </x:c>
    </x:row>
    <x:row r="9">
      <x:c r="A9" s="44" t="str">
        <x:v>bpps_d10000n100m10w100_1000s1000_2000f1_seed0</x:v>
      </x:c>
      <x:c r="B9" s="12" t="n">
        <x:v>100</x:v>
      </x:c>
      <x:c r="C9" s="12" t="n">
        <x:v>325</x:v>
      </x:c>
      <x:c r="D9" s="12" t="n">
        <x:v>317</x:v>
      </x:c>
      <x:c r="E9" s="12" t="n">
        <x:v>275</x:v>
      </x:c>
      <x:c r="F9" s="12" t="n">
        <x:v>216</x:v>
      </x:c>
      <x:c r="G9" s="12" t="n">
        <x:v>186</x:v>
      </x:c>
      <x:c r="H9" s="12" t="n">
        <x:f>MIN(C9:G9)</x:f>
        <x:v>186</x:v>
      </x:c>
      <x:c r="I9" s="14" t="n">
        <x:f>(C9-$H9)/$H9*100</x:f>
        <x:v>74.73118279569893</x:v>
      </x:c>
      <x:c r="J9" s="14" t="n">
        <x:f>(D9-$H9)/$H9*100</x:f>
        <x:v>70.43010752688173</x:v>
      </x:c>
      <x:c r="K9" s="14" t="n">
        <x:f>(E9-$H9)/$H9*100</x:f>
        <x:v>47.8494623655914</x:v>
      </x:c>
      <x:c r="L9" s="14" t="n">
        <x:f>(F9-$H9)/$H9*100</x:f>
        <x:v>16.129032258064516</x:v>
      </x:c>
      <x:c r="M9" s="14" t="n">
        <x:f>(G9-$H9)/$H9*100</x:f>
        <x:v>0</x:v>
      </x:c>
      <x:c r="N9" s="12" t="str">
        <x:f>IF(C9=$H9,"YES","NO")</x:f>
        <x:v>NO</x:v>
      </x:c>
      <x:c r="O9" s="12" t="str">
        <x:f>IF(D9=$H9,"YES","NO")</x:f>
        <x:v>NO</x:v>
      </x:c>
      <x:c r="P9" s="12" t="str">
        <x:f>IF(E9=$H9,"YES","NO")</x:f>
        <x:v>NO</x:v>
      </x:c>
      <x:c r="Q9" s="12" t="str">
        <x:f>IF(F9=$H9,"YES","NO")</x:f>
        <x:v>NO</x:v>
      </x:c>
      <x:c r="R9" s="12" t="str">
        <x:f>IF(G9=$H9,"YES","NO")</x:f>
        <x:v>YES</x:v>
      </x:c>
    </x:row>
    <x:row r="10">
      <x:c r="A10" s="44" t="str">
        <x:v>bpps_d10000n100m10w100_1000s100_1000f0_seed0</x:v>
      </x:c>
      <x:c r="B10" s="12" t="n">
        <x:v>100</x:v>
      </x:c>
      <x:c r="C10" s="12" t="n">
        <x:v>9</x:v>
      </x:c>
      <x:c r="D10" s="12" t="n">
        <x:v>9</x:v>
      </x:c>
      <x:c r="E10" s="12" t="n">
        <x:v>8</x:v>
      </x:c>
      <x:c r="F10" s="12" t="n">
        <x:v>11</x:v>
      </x:c>
      <x:c r="G10" s="12" t="n">
        <x:v>8</x:v>
      </x:c>
      <x:c r="H10" s="12" t="n">
        <x:f>MIN(C10:G10)</x:f>
        <x:v>8</x:v>
      </x:c>
      <x:c r="I10" s="14" t="n">
        <x:f>(C10-$H10)/$H10*100</x:f>
        <x:v>12.5</x:v>
      </x:c>
      <x:c r="J10" s="14" t="n">
        <x:f>(D10-$H10)/$H10*100</x:f>
        <x:v>12.5</x:v>
      </x:c>
      <x:c r="K10" s="14" t="n">
        <x:f>(E10-$H10)/$H10*100</x:f>
        <x:v>0</x:v>
      </x:c>
      <x:c r="L10" s="14" t="n">
        <x:f>(F10-$H10)/$H10*100</x:f>
        <x:v>37.5</x:v>
      </x:c>
      <x:c r="M10" s="14" t="n">
        <x:f>(G10-$H10)/$H10*100</x:f>
        <x:v>0</x:v>
      </x:c>
      <x:c r="N10" s="12" t="str">
        <x:f>IF(C10=$H10,"YES","NO")</x:f>
        <x:v>NO</x:v>
      </x:c>
      <x:c r="O10" s="12" t="str">
        <x:f>IF(D10=$H10,"YES","NO")</x:f>
        <x:v>NO</x:v>
      </x:c>
      <x:c r="P10" s="12" t="str">
        <x:f>IF(E10=$H10,"YES","NO")</x:f>
        <x:v>YES</x:v>
      </x:c>
      <x:c r="Q10" s="12" t="str">
        <x:f>IF(F10=$H10,"YES","NO")</x:f>
        <x:v>NO</x:v>
      </x:c>
      <x:c r="R10" s="12" t="str">
        <x:f>IF(G10=$H10,"YES","NO")</x:f>
        <x:v>YES</x:v>
      </x:c>
    </x:row>
    <x:row r="11">
      <x:c r="A11" s="44" t="str">
        <x:v>bpps_d10000n100m10w100_1000s100_1000f1_seed0</x:v>
      </x:c>
      <x:c r="B11" s="12" t="n">
        <x:v>100</x:v>
      </x:c>
      <x:c r="C11" s="12" t="n">
        <x:v>286</x:v>
      </x:c>
      <x:c r="D11" s="12" t="n">
        <x:v>282</x:v>
      </x:c>
      <x:c r="E11" s="12" t="n">
        <x:v>230</x:v>
      </x:c>
      <x:c r="F11" s="12" t="n">
        <x:v>198</x:v>
      </x:c>
      <x:c r="G11" s="12" t="n">
        <x:v>163</x:v>
      </x:c>
      <x:c r="H11" s="12" t="n">
        <x:f>MIN(C11:G11)</x:f>
        <x:v>163</x:v>
      </x:c>
      <x:c r="I11" s="14" t="n">
        <x:f>(C11-$H11)/$H11*100</x:f>
        <x:v>75.4601226993865</x:v>
      </x:c>
      <x:c r="J11" s="14" t="n">
        <x:f>(D11-$H11)/$H11*100</x:f>
        <x:v>73.00613496932516</x:v>
      </x:c>
      <x:c r="K11" s="14" t="n">
        <x:f>(E11-$H11)/$H11*100</x:f>
        <x:v>41.104294478527606</x:v>
      </x:c>
      <x:c r="L11" s="14" t="n">
        <x:f>(F11-$H11)/$H11*100</x:f>
        <x:v>21.472392638036812</x:v>
      </x:c>
      <x:c r="M11" s="14" t="n">
        <x:f>(G11-$H11)/$H11*100</x:f>
        <x:v>0</x:v>
      </x:c>
      <x:c r="N11" s="12" t="str">
        <x:f>IF(C11=$H11,"YES","NO")</x:f>
        <x:v>NO</x:v>
      </x:c>
      <x:c r="O11" s="12" t="str">
        <x:f>IF(D11=$H11,"YES","NO")</x:f>
        <x:v>NO</x:v>
      </x:c>
      <x:c r="P11" s="12" t="str">
        <x:f>IF(E11=$H11,"YES","NO")</x:f>
        <x:v>NO</x:v>
      </x:c>
      <x:c r="Q11" s="12" t="str">
        <x:f>IF(F11=$H11,"YES","NO")</x:f>
        <x:v>NO</x:v>
      </x:c>
      <x:c r="R11" s="12" t="str">
        <x:f>IF(G11=$H11,"YES","NO")</x:f>
        <x:v>YES</x:v>
      </x:c>
    </x:row>
    <x:row r="12">
      <x:c r="A12" s="44" t="str">
        <x:v>bpps_d10000n100m10w100_1000s100_2000f0_seed0</x:v>
      </x:c>
      <x:c r="B12" s="12" t="n">
        <x:v>100</x:v>
      </x:c>
      <x:c r="C12" s="12" t="n">
        <x:v>11</x:v>
      </x:c>
      <x:c r="D12" s="12" t="n">
        <x:v>11</x:v>
      </x:c>
      <x:c r="E12" s="12" t="n">
        <x:v>10</x:v>
      </x:c>
      <x:c r="F12" s="12" t="n">
        <x:v>12</x:v>
      </x:c>
      <x:c r="G12" s="12" t="n">
        <x:v>9</x:v>
      </x:c>
      <x:c r="H12" s="12" t="n">
        <x:f>MIN(C12:G12)</x:f>
        <x:v>9</x:v>
      </x:c>
      <x:c r="I12" s="14" t="n">
        <x:f>(C12-$H12)/$H12*100</x:f>
        <x:v>22.22222222222222</x:v>
      </x:c>
      <x:c r="J12" s="14" t="n">
        <x:f>(D12-$H12)/$H12*100</x:f>
        <x:v>22.22222222222222</x:v>
      </x:c>
      <x:c r="K12" s="14" t="n">
        <x:f>(E12-$H12)/$H12*100</x:f>
        <x:v>11.11111111111111</x:v>
      </x:c>
      <x:c r="L12" s="14" t="n">
        <x:f>(F12-$H12)/$H12*100</x:f>
        <x:v>33.33333333333333</x:v>
      </x:c>
      <x:c r="M12" s="14" t="n">
        <x:f>(G12-$H12)/$H12*100</x:f>
        <x:v>0</x:v>
      </x:c>
      <x:c r="N12" s="12" t="str">
        <x:f>IF(C12=$H12,"YES","NO")</x:f>
        <x:v>NO</x:v>
      </x:c>
      <x:c r="O12" s="12" t="str">
        <x:f>IF(D12=$H12,"YES","NO")</x:f>
        <x:v>NO</x:v>
      </x:c>
      <x:c r="P12" s="12" t="str">
        <x:f>IF(E12=$H12,"YES","NO")</x:f>
        <x:v>NO</x:v>
      </x:c>
      <x:c r="Q12" s="12" t="str">
        <x:f>IF(F12=$H12,"YES","NO")</x:f>
        <x:v>NO</x:v>
      </x:c>
      <x:c r="R12" s="12" t="str">
        <x:f>IF(G12=$H12,"YES","NO")</x:f>
        <x:v>YES</x:v>
      </x:c>
    </x:row>
    <x:row r="13">
      <x:c r="A13" s="44" t="str">
        <x:v>bpps_d10000n100m10w100_1000s100_2000f1_seed0</x:v>
      </x:c>
      <x:c r="B13" s="12" t="n">
        <x:v>100</x:v>
      </x:c>
      <x:c r="C13" s="12" t="n">
        <x:v>321</x:v>
      </x:c>
      <x:c r="D13" s="12" t="n">
        <x:v>299</x:v>
      </x:c>
      <x:c r="E13" s="12" t="n">
        <x:v>278</x:v>
      </x:c>
      <x:c r="F13" s="12" t="n">
        <x:v>202</x:v>
      </x:c>
      <x:c r="G13" s="12" t="n">
        <x:v>168</x:v>
      </x:c>
      <x:c r="H13" s="12" t="n">
        <x:f>MIN(C13:G13)</x:f>
        <x:v>168</x:v>
      </x:c>
      <x:c r="I13" s="14" t="n">
        <x:f>(C13-$H13)/$H13*100</x:f>
        <x:v>91.07142857142857</x:v>
      </x:c>
      <x:c r="J13" s="14" t="n">
        <x:f>(D13-$H13)/$H13*100</x:f>
        <x:v>77.97619047619048</x:v>
      </x:c>
      <x:c r="K13" s="14" t="n">
        <x:f>(E13-$H13)/$H13*100</x:f>
        <x:v>65.47619047619048</x:v>
      </x:c>
      <x:c r="L13" s="14" t="n">
        <x:f>(F13-$H13)/$H13*100</x:f>
        <x:v>20.238095238095237</x:v>
      </x:c>
      <x:c r="M13" s="14" t="n">
        <x:f>(G13-$H13)/$H13*100</x:f>
        <x:v>0</x:v>
      </x:c>
      <x:c r="N13" s="12" t="str">
        <x:f>IF(C13=$H13,"YES","NO")</x:f>
        <x:v>NO</x:v>
      </x:c>
      <x:c r="O13" s="12" t="str">
        <x:f>IF(D13=$H13,"YES","NO")</x:f>
        <x:v>NO</x:v>
      </x:c>
      <x:c r="P13" s="12" t="str">
        <x:f>IF(E13=$H13,"YES","NO")</x:f>
        <x:v>NO</x:v>
      </x:c>
      <x:c r="Q13" s="12" t="str">
        <x:f>IF(F13=$H13,"YES","NO")</x:f>
        <x:v>NO</x:v>
      </x:c>
      <x:c r="R13" s="12" t="str">
        <x:f>IF(G13=$H13,"YES","NO")</x:f>
        <x:v>YES</x:v>
      </x:c>
    </x:row>
    <x:row r="14">
      <x:c r="A14" s="44" t="str">
        <x:v>bpps_d10000n100m10w100_3000s1000_2000f0_seed0</x:v>
      </x:c>
      <x:c r="B14" s="12" t="n">
        <x:v>100</x:v>
      </x:c>
      <x:c r="C14" s="12" t="n">
        <x:v>25</x:v>
      </x:c>
      <x:c r="D14" s="12" t="n">
        <x:v>26</x:v>
      </x:c>
      <x:c r="E14" s="12" t="n">
        <x:v>25</x:v>
      </x:c>
      <x:c r="F14" s="12" t="n">
        <x:v>21</x:v>
      </x:c>
      <x:c r="G14" s="12" t="n">
        <x:v>21</x:v>
      </x:c>
      <x:c r="H14" s="12" t="n">
        <x:f>MIN(C14:G14)</x:f>
        <x:v>21</x:v>
      </x:c>
      <x:c r="I14" s="14" t="n">
        <x:f>(C14-$H14)/$H14*100</x:f>
        <x:v>19.047619047619047</x:v>
      </x:c>
      <x:c r="J14" s="14" t="n">
        <x:f>(D14-$H14)/$H14*100</x:f>
        <x:v>23.809523809523807</x:v>
      </x:c>
      <x:c r="K14" s="14" t="n">
        <x:f>(E14-$H14)/$H14*100</x:f>
        <x:v>19.047619047619047</x:v>
      </x:c>
      <x:c r="L14" s="14" t="n">
        <x:f>(F14-$H14)/$H14*100</x:f>
        <x:v>0</x:v>
      </x:c>
      <x:c r="M14" s="14" t="n">
        <x:f>(G14-$H14)/$H14*100</x:f>
        <x:v>0</x:v>
      </x:c>
      <x:c r="N14" s="12" t="str">
        <x:f>IF(C14=$H14,"YES","NO")</x:f>
        <x:v>NO</x:v>
      </x:c>
      <x:c r="O14" s="12" t="str">
        <x:f>IF(D14=$H14,"YES","NO")</x:f>
        <x:v>NO</x:v>
      </x:c>
      <x:c r="P14" s="12" t="str">
        <x:f>IF(E14=$H14,"YES","NO")</x:f>
        <x:v>NO</x:v>
      </x:c>
      <x:c r="Q14" s="12" t="str">
        <x:f>IF(F14=$H14,"YES","NO")</x:f>
        <x:v>YES</x:v>
      </x:c>
      <x:c r="R14" s="12" t="str">
        <x:f>IF(G14=$H14,"YES","NO")</x:f>
        <x:v>YES</x:v>
      </x:c>
    </x:row>
    <x:row r="15">
      <x:c r="A15" s="44" t="str">
        <x:v>bpps_d10000n100m10w100_3000s1000_2000f1_seed0</x:v>
      </x:c>
      <x:c r="B15" s="12" t="n">
        <x:v>100</x:v>
      </x:c>
      <x:c r="C15" s="12" t="n">
        <x:v>441</x:v>
      </x:c>
      <x:c r="D15" s="12" t="n">
        <x:v>436</x:v>
      </x:c>
      <x:c r="E15" s="12" t="n">
        <x:v>433</x:v>
      </x:c>
      <x:c r="F15" s="12" t="n">
        <x:v>335</x:v>
      </x:c>
      <x:c r="G15" s="12" t="n">
        <x:v>306</x:v>
      </x:c>
      <x:c r="H15" s="12" t="n">
        <x:f>MIN(C15:G15)</x:f>
        <x:v>306</x:v>
      </x:c>
      <x:c r="I15" s="14" t="n">
        <x:f>(C15-$H15)/$H15*100</x:f>
        <x:v>44.11764705882353</x:v>
      </x:c>
      <x:c r="J15" s="14" t="n">
        <x:f>(D15-$H15)/$H15*100</x:f>
        <x:v>42.48366013071895</x:v>
      </x:c>
      <x:c r="K15" s="14" t="n">
        <x:f>(E15-$H15)/$H15*100</x:f>
        <x:v>41.50326797385621</x:v>
      </x:c>
      <x:c r="L15" s="14" t="n">
        <x:f>(F15-$H15)/$H15*100</x:f>
        <x:v>9.477124183006536</x:v>
      </x:c>
      <x:c r="M15" s="14" t="n">
        <x:f>(G15-$H15)/$H15*100</x:f>
        <x:v>0</x:v>
      </x:c>
      <x:c r="N15" s="12" t="str">
        <x:f>IF(C15=$H15,"YES","NO")</x:f>
        <x:v>NO</x:v>
      </x:c>
      <x:c r="O15" s="12" t="str">
        <x:f>IF(D15=$H15,"YES","NO")</x:f>
        <x:v>NO</x:v>
      </x:c>
      <x:c r="P15" s="12" t="str">
        <x:f>IF(E15=$H15,"YES","NO")</x:f>
        <x:v>NO</x:v>
      </x:c>
      <x:c r="Q15" s="12" t="str">
        <x:f>IF(F15=$H15,"YES","NO")</x:f>
        <x:v>NO</x:v>
      </x:c>
      <x:c r="R15" s="12" t="str">
        <x:f>IF(G15=$H15,"YES","NO")</x:f>
        <x:v>YES</x:v>
      </x:c>
    </x:row>
    <x:row r="16">
      <x:c r="A16" s="44" t="str">
        <x:v>bpps_d10000n100m10w100_3000s100_1000f0_seed0</x:v>
      </x:c>
      <x:c r="B16" s="12" t="n">
        <x:v>100</x:v>
      </x:c>
      <x:c r="C16" s="12" t="n">
        <x:v>20</x:v>
      </x:c>
      <x:c r="D16" s="12" t="n">
        <x:v>20</x:v>
      </x:c>
      <x:c r="E16" s="12" t="n">
        <x:v>20</x:v>
      </x:c>
      <x:c r="F16" s="12" t="n">
        <x:v>20</x:v>
      </x:c>
      <x:c r="G16" s="12" t="n">
        <x:v>18</x:v>
      </x:c>
      <x:c r="H16" s="12" t="n">
        <x:f>MIN(C16:G16)</x:f>
        <x:v>18</x:v>
      </x:c>
      <x:c r="I16" s="14" t="n">
        <x:f>(C16-$H16)/$H16*100</x:f>
        <x:v>11.11111111111111</x:v>
      </x:c>
      <x:c r="J16" s="14" t="n">
        <x:f>(D16-$H16)/$H16*100</x:f>
        <x:v>11.11111111111111</x:v>
      </x:c>
      <x:c r="K16" s="14" t="n">
        <x:f>(E16-$H16)/$H16*100</x:f>
        <x:v>11.11111111111111</x:v>
      </x:c>
      <x:c r="L16" s="14" t="n">
        <x:f>(F16-$H16)/$H16*100</x:f>
        <x:v>11.11111111111111</x:v>
      </x:c>
      <x:c r="M16" s="14" t="n">
        <x:f>(G16-$H16)/$H16*100</x:f>
        <x:v>0</x:v>
      </x:c>
      <x:c r="N16" s="12" t="str">
        <x:f>IF(C16=$H16,"YES","NO")</x:f>
        <x:v>NO</x:v>
      </x:c>
      <x:c r="O16" s="12" t="str">
        <x:f>IF(D16=$H16,"YES","NO")</x:f>
        <x:v>NO</x:v>
      </x:c>
      <x:c r="P16" s="12" t="str">
        <x:f>IF(E16=$H16,"YES","NO")</x:f>
        <x:v>NO</x:v>
      </x:c>
      <x:c r="Q16" s="12" t="str">
        <x:f>IF(F16=$H16,"YES","NO")</x:f>
        <x:v>NO</x:v>
      </x:c>
      <x:c r="R16" s="12" t="str">
        <x:f>IF(G16=$H16,"YES","NO")</x:f>
        <x:v>YES</x:v>
      </x:c>
    </x:row>
    <x:row r="17">
      <x:c r="A17" s="44" t="str">
        <x:v>bpps_d10000n100m10w100_3000s100_1000f1_seed0</x:v>
      </x:c>
      <x:c r="B17" s="12" t="n">
        <x:v>100</x:v>
      </x:c>
      <x:c r="C17" s="12" t="n">
        <x:v>435</x:v>
      </x:c>
      <x:c r="D17" s="12" t="n">
        <x:v>434</x:v>
      </x:c>
      <x:c r="E17" s="12" t="n">
        <x:v>417</x:v>
      </x:c>
      <x:c r="F17" s="12" t="n">
        <x:v>304</x:v>
      </x:c>
      <x:c r="G17" s="12" t="n">
        <x:v>270</x:v>
      </x:c>
      <x:c r="H17" s="12" t="n">
        <x:f>MIN(C17:G17)</x:f>
        <x:v>270</x:v>
      </x:c>
      <x:c r="I17" s="14" t="n">
        <x:f>(C17-$H17)/$H17*100</x:f>
        <x:v>61.111111111111114</x:v>
      </x:c>
      <x:c r="J17" s="14" t="n">
        <x:f>(D17-$H17)/$H17*100</x:f>
        <x:v>60.74074074074074</x:v>
      </x:c>
      <x:c r="K17" s="14" t="n">
        <x:f>(E17-$H17)/$H17*100</x:f>
        <x:v>54.44444444444444</x:v>
      </x:c>
      <x:c r="L17" s="14" t="n">
        <x:f>(F17-$H17)/$H17*100</x:f>
        <x:v>12.592592592592592</x:v>
      </x:c>
      <x:c r="M17" s="14" t="n">
        <x:f>(G17-$H17)/$H17*100</x:f>
        <x:v>0</x:v>
      </x:c>
      <x:c r="N17" s="12" t="str">
        <x:f>IF(C17=$H17,"YES","NO")</x:f>
        <x:v>NO</x:v>
      </x:c>
      <x:c r="O17" s="12" t="str">
        <x:f>IF(D17=$H17,"YES","NO")</x:f>
        <x:v>NO</x:v>
      </x:c>
      <x:c r="P17" s="12" t="str">
        <x:f>IF(E17=$H17,"YES","NO")</x:f>
        <x:v>NO</x:v>
      </x:c>
      <x:c r="Q17" s="12" t="str">
        <x:f>IF(F17=$H17,"YES","NO")</x:f>
        <x:v>NO</x:v>
      </x:c>
      <x:c r="R17" s="12" t="str">
        <x:f>IF(G17=$H17,"YES","NO")</x:f>
        <x:v>YES</x:v>
      </x:c>
    </x:row>
    <x:row r="18">
      <x:c r="A18" s="44" t="str">
        <x:v>bpps_d10000n100m10w100_3000s100_2000f0_seed0</x:v>
      </x:c>
      <x:c r="B18" s="12" t="n">
        <x:v>100</x:v>
      </x:c>
      <x:c r="C18" s="12" t="n">
        <x:v>23</x:v>
      </x:c>
      <x:c r="D18" s="12" t="n">
        <x:v>23</x:v>
      </x:c>
      <x:c r="E18" s="12" t="n">
        <x:v>23</x:v>
      </x:c>
      <x:c r="F18" s="12" t="n">
        <x:v>21</x:v>
      </x:c>
      <x:c r="G18" s="12" t="n">
        <x:v>20</x:v>
      </x:c>
      <x:c r="H18" s="12" t="n">
        <x:f>MIN(C18:G18)</x:f>
        <x:v>20</x:v>
      </x:c>
      <x:c r="I18" s="14" t="n">
        <x:f>(C18-$H18)/$H18*100</x:f>
        <x:v>15</x:v>
      </x:c>
      <x:c r="J18" s="14" t="n">
        <x:f>(D18-$H18)/$H18*100</x:f>
        <x:v>15</x:v>
      </x:c>
      <x:c r="K18" s="14" t="n">
        <x:f>(E18-$H18)/$H18*100</x:f>
        <x:v>15</x:v>
      </x:c>
      <x:c r="L18" s="14" t="n">
        <x:f>(F18-$H18)/$H18*100</x:f>
        <x:v>5</x:v>
      </x:c>
      <x:c r="M18" s="14" t="n">
        <x:f>(G18-$H18)/$H18*100</x:f>
        <x:v>0</x:v>
      </x:c>
      <x:c r="N18" s="12" t="str">
        <x:f>IF(C18=$H18,"YES","NO")</x:f>
        <x:v>NO</x:v>
      </x:c>
      <x:c r="O18" s="12" t="str">
        <x:f>IF(D18=$H18,"YES","NO")</x:f>
        <x:v>NO</x:v>
      </x:c>
      <x:c r="P18" s="12" t="str">
        <x:f>IF(E18=$H18,"YES","NO")</x:f>
        <x:v>NO</x:v>
      </x:c>
      <x:c r="Q18" s="12" t="str">
        <x:f>IF(F18=$H18,"YES","NO")</x:f>
        <x:v>NO</x:v>
      </x:c>
      <x:c r="R18" s="12" t="str">
        <x:f>IF(G18=$H18,"YES","NO")</x:f>
        <x:v>YES</x:v>
      </x:c>
    </x:row>
    <x:row r="19">
      <x:c r="A19" s="44" t="str">
        <x:v>bpps_d10000n100m10w100_3000s100_2000f1_seed0</x:v>
      </x:c>
      <x:c r="B19" s="12" t="n">
        <x:v>100</x:v>
      </x:c>
      <x:c r="C19" s="12" t="n">
        <x:v>461</x:v>
      </x:c>
      <x:c r="D19" s="12" t="n">
        <x:v>450</x:v>
      </x:c>
      <x:c r="E19" s="12" t="n">
        <x:v>440</x:v>
      </x:c>
      <x:c r="F19" s="12" t="n">
        <x:v>321</x:v>
      </x:c>
      <x:c r="G19" s="12" t="n">
        <x:v>289</x:v>
      </x:c>
      <x:c r="H19" s="12" t="n">
        <x:f>MIN(C19:G19)</x:f>
        <x:v>289</x:v>
      </x:c>
      <x:c r="I19" s="14" t="n">
        <x:f>(C19-$H19)/$H19*100</x:f>
        <x:v>59.515570934256054</x:v>
      </x:c>
      <x:c r="J19" s="14" t="n">
        <x:f>(D19-$H19)/$H19*100</x:f>
        <x:v>55.70934256055363</x:v>
      </x:c>
      <x:c r="K19" s="14" t="n">
        <x:f>(E19-$H19)/$H19*100</x:f>
        <x:v>52.24913494809689</x:v>
      </x:c>
      <x:c r="L19" s="14" t="n">
        <x:f>(F19-$H19)/$H19*100</x:f>
        <x:v>11.072664359861593</x:v>
      </x:c>
      <x:c r="M19" s="14" t="n">
        <x:f>(G19-$H19)/$H19*100</x:f>
        <x:v>0</x:v>
      </x:c>
      <x:c r="N19" s="12" t="str">
        <x:f>IF(C19=$H19,"YES","NO")</x:f>
        <x:v>NO</x:v>
      </x:c>
      <x:c r="O19" s="12" t="str">
        <x:f>IF(D19=$H19,"YES","NO")</x:f>
        <x:v>NO</x:v>
      </x:c>
      <x:c r="P19" s="12" t="str">
        <x:f>IF(E19=$H19,"YES","NO")</x:f>
        <x:v>NO</x:v>
      </x:c>
      <x:c r="Q19" s="12" t="str">
        <x:f>IF(F19=$H19,"YES","NO")</x:f>
        <x:v>NO</x:v>
      </x:c>
      <x:c r="R19" s="12" t="str">
        <x:f>IF(G19=$H19,"YES","NO")</x:f>
        <x:v>YES</x:v>
      </x:c>
    </x:row>
    <x:row r="20">
      <x:c r="A20" s="44" t="str">
        <x:v>bpps_d10000n100m10w2000_3000s1000_2000f0_seed0</x:v>
      </x:c>
      <x:c r="B20" s="12" t="n">
        <x:v>100</x:v>
      </x:c>
      <x:c r="C20" s="12" t="n">
        <x:v>41</x:v>
      </x:c>
      <x:c r="D20" s="12" t="n">
        <x:v>41</x:v>
      </x:c>
      <x:c r="E20" s="12" t="n">
        <x:v>41</x:v>
      </x:c>
      <x:c r="F20" s="12" t="n">
        <x:v>33</x:v>
      </x:c>
      <x:c r="G20" s="12" t="n">
        <x:v>34</x:v>
      </x:c>
      <x:c r="H20" s="12" t="n">
        <x:f>MIN(C20:G20)</x:f>
        <x:v>33</x:v>
      </x:c>
      <x:c r="I20" s="14" t="n">
        <x:f>(C20-$H20)/$H20*100</x:f>
        <x:v>24.242424242424242</x:v>
      </x:c>
      <x:c r="J20" s="14" t="n">
        <x:f>(D20-$H20)/$H20*100</x:f>
        <x:v>24.242424242424242</x:v>
      </x:c>
      <x:c r="K20" s="14" t="n">
        <x:f>(E20-$H20)/$H20*100</x:f>
        <x:v>24.242424242424242</x:v>
      </x:c>
      <x:c r="L20" s="14" t="n">
        <x:f>(F20-$H20)/$H20*100</x:f>
        <x:v>0</x:v>
      </x:c>
      <x:c r="M20" s="14" t="n">
        <x:f>(G20-$H20)/$H20*100</x:f>
        <x:v>3.0303030303030303</x:v>
      </x:c>
      <x:c r="N20" s="12" t="str">
        <x:f>IF(C20=$H20,"YES","NO")</x:f>
        <x:v>NO</x:v>
      </x:c>
      <x:c r="O20" s="12" t="str">
        <x:f>IF(D20=$H20,"YES","NO")</x:f>
        <x:v>NO</x:v>
      </x:c>
      <x:c r="P20" s="12" t="str">
        <x:f>IF(E20=$H20,"YES","NO")</x:f>
        <x:v>NO</x:v>
      </x:c>
      <x:c r="Q20" s="12" t="str">
        <x:f>IF(F20=$H20,"YES","NO")</x:f>
        <x:v>YES</x:v>
      </x:c>
      <x:c r="R20" s="12" t="str">
        <x:f>IF(G20=$H20,"YES","NO")</x:f>
        <x:v>NO</x:v>
      </x:c>
    </x:row>
    <x:row r="21">
      <x:c r="A21" s="44" t="str">
        <x:v>bpps_d10000n100m10w2000_3000s1000_2000f1_seed0</x:v>
      </x:c>
      <x:c r="B21" s="12" t="n">
        <x:v>100</x:v>
      </x:c>
      <x:c r="C21" s="12" t="n">
        <x:v>680</x:v>
      </x:c>
      <x:c r="D21" s="12" t="n">
        <x:v>679</x:v>
      </x:c>
      <x:c r="E21" s="12" t="n">
        <x:v>680</x:v>
      </x:c>
      <x:c r="F21" s="12" t="n">
        <x:v>461</x:v>
      </x:c>
      <x:c r="G21" s="12" t="n">
        <x:v>458</x:v>
      </x:c>
      <x:c r="H21" s="12" t="n">
        <x:f>MIN(C21:G21)</x:f>
        <x:v>458</x:v>
      </x:c>
      <x:c r="I21" s="14" t="n">
        <x:f>(C21-$H21)/$H21*100</x:f>
        <x:v>48.47161572052402</x:v>
      </x:c>
      <x:c r="J21" s="14" t="n">
        <x:f>(D21-$H21)/$H21*100</x:f>
        <x:v>48.25327510917031</x:v>
      </x:c>
      <x:c r="K21" s="14" t="n">
        <x:f>(E21-$H21)/$H21*100</x:f>
        <x:v>48.47161572052402</x:v>
      </x:c>
      <x:c r="L21" s="14" t="n">
        <x:f>(F21-$H21)/$H21*100</x:f>
        <x:v>0.6550218340611353</x:v>
      </x:c>
      <x:c r="M21" s="14" t="n">
        <x:f>(G21-$H21)/$H21*100</x:f>
        <x:v>0</x:v>
      </x:c>
      <x:c r="N21" s="12" t="str">
        <x:f>IF(C21=$H21,"YES","NO")</x:f>
        <x:v>NO</x:v>
      </x:c>
      <x:c r="O21" s="12" t="str">
        <x:f>IF(D21=$H21,"YES","NO")</x:f>
        <x:v>NO</x:v>
      </x:c>
      <x:c r="P21" s="12" t="str">
        <x:f>IF(E21=$H21,"YES","NO")</x:f>
        <x:v>NO</x:v>
      </x:c>
      <x:c r="Q21" s="12" t="str">
        <x:f>IF(F21=$H21,"YES","NO")</x:f>
        <x:v>NO</x:v>
      </x:c>
      <x:c r="R21" s="12" t="str">
        <x:f>IF(G21=$H21,"YES","NO")</x:f>
        <x:v>YES</x:v>
      </x:c>
    </x:row>
    <x:row r="22">
      <x:c r="A22" s="44" t="str">
        <x:v>bpps_d10000n100m10w2000_3000s100_1000f0_seed0</x:v>
      </x:c>
      <x:c r="B22" s="12" t="n">
        <x:v>100</x:v>
      </x:c>
      <x:c r="C22" s="12" t="n">
        <x:v>32</x:v>
      </x:c>
      <x:c r="D22" s="12" t="n">
        <x:v>32</x:v>
      </x:c>
      <x:c r="E22" s="12" t="n">
        <x:v>32</x:v>
      </x:c>
      <x:c r="F22" s="12" t="n">
        <x:v>32</x:v>
      </x:c>
      <x:c r="G22" s="12" t="n">
        <x:v>31</x:v>
      </x:c>
      <x:c r="H22" s="12" t="n">
        <x:f>MIN(C22:G22)</x:f>
        <x:v>31</x:v>
      </x:c>
      <x:c r="I22" s="14" t="n">
        <x:f>(C22-$H22)/$H22*100</x:f>
        <x:v>3.225806451612903</x:v>
      </x:c>
      <x:c r="J22" s="14" t="n">
        <x:f>(D22-$H22)/$H22*100</x:f>
        <x:v>3.225806451612903</x:v>
      </x:c>
      <x:c r="K22" s="14" t="n">
        <x:f>(E22-$H22)/$H22*100</x:f>
        <x:v>3.225806451612903</x:v>
      </x:c>
      <x:c r="L22" s="14" t="n">
        <x:f>(F22-$H22)/$H22*100</x:f>
        <x:v>3.225806451612903</x:v>
      </x:c>
      <x:c r="M22" s="14" t="n">
        <x:f>(G22-$H22)/$H22*100</x:f>
        <x:v>0</x:v>
      </x:c>
      <x:c r="N22" s="12" t="str">
        <x:f>IF(C22=$H22,"YES","NO")</x:f>
        <x:v>NO</x:v>
      </x:c>
      <x:c r="O22" s="12" t="str">
        <x:f>IF(D22=$H22,"YES","NO")</x:f>
        <x:v>NO</x:v>
      </x:c>
      <x:c r="P22" s="12" t="str">
        <x:f>IF(E22=$H22,"YES","NO")</x:f>
        <x:v>NO</x:v>
      </x:c>
      <x:c r="Q22" s="12" t="str">
        <x:f>IF(F22=$H22,"YES","NO")</x:f>
        <x:v>NO</x:v>
      </x:c>
      <x:c r="R22" s="12" t="str">
        <x:f>IF(G22=$H22,"YES","NO")</x:f>
        <x:v>YES</x:v>
      </x:c>
    </x:row>
    <x:row r="23">
      <x:c r="A23" s="44" t="str">
        <x:v>bpps_d10000n100m10w2000_3000s100_1000f1_seed0</x:v>
      </x:c>
      <x:c r="B23" s="12" t="n">
        <x:v>100</x:v>
      </x:c>
      <x:c r="C23" s="12" t="n">
        <x:v>621</x:v>
      </x:c>
      <x:c r="D23" s="12" t="n">
        <x:v>622</x:v>
      </x:c>
      <x:c r="E23" s="12" t="n">
        <x:v>612</x:v>
      </x:c>
      <x:c r="F23" s="12" t="n">
        <x:v>433</x:v>
      </x:c>
      <x:c r="G23" s="12" t="n">
        <x:v>410</x:v>
      </x:c>
      <x:c r="H23" s="12" t="n">
        <x:f>MIN(C23:G23)</x:f>
        <x:v>410</x:v>
      </x:c>
      <x:c r="I23" s="14" t="n">
        <x:f>(C23-$H23)/$H23*100</x:f>
        <x:v>51.463414634146346</x:v>
      </x:c>
      <x:c r="J23" s="14" t="n">
        <x:f>(D23-$H23)/$H23*100</x:f>
        <x:v>51.707317073170735</x:v>
      </x:c>
      <x:c r="K23" s="14" t="n">
        <x:f>(E23-$H23)/$H23*100</x:f>
        <x:v>49.26829268292683</x:v>
      </x:c>
      <x:c r="L23" s="14" t="n">
        <x:f>(F23-$H23)/$H23*100</x:f>
        <x:v>5.609756097560976</x:v>
      </x:c>
      <x:c r="M23" s="14" t="n">
        <x:f>(G23-$H23)/$H23*100</x:f>
        <x:v>0</x:v>
      </x:c>
      <x:c r="N23" s="12" t="str">
        <x:f>IF(C23=$H23,"YES","NO")</x:f>
        <x:v>NO</x:v>
      </x:c>
      <x:c r="O23" s="12" t="str">
        <x:f>IF(D23=$H23,"YES","NO")</x:f>
        <x:v>NO</x:v>
      </x:c>
      <x:c r="P23" s="12" t="str">
        <x:f>IF(E23=$H23,"YES","NO")</x:f>
        <x:v>NO</x:v>
      </x:c>
      <x:c r="Q23" s="12" t="str">
        <x:f>IF(F23=$H23,"YES","NO")</x:f>
        <x:v>NO</x:v>
      </x:c>
      <x:c r="R23" s="12" t="str">
        <x:f>IF(G23=$H23,"YES","NO")</x:f>
        <x:v>YES</x:v>
      </x:c>
    </x:row>
    <x:row r="24">
      <x:c r="A24" s="44" t="str">
        <x:v>bpps_d10000n100m10w2000_3000s100_2000f0_seed0</x:v>
      </x:c>
      <x:c r="B24" s="12" t="n">
        <x:v>100</x:v>
      </x:c>
      <x:c r="C24" s="12" t="n">
        <x:v>36</x:v>
      </x:c>
      <x:c r="D24" s="12" t="n">
        <x:v>36</x:v>
      </x:c>
      <x:c r="E24" s="12" t="n">
        <x:v>36</x:v>
      </x:c>
      <x:c r="F24" s="12" t="n">
        <x:v>32</x:v>
      </x:c>
      <x:c r="G24" s="12" t="n">
        <x:v>32</x:v>
      </x:c>
      <x:c r="H24" s="12" t="n">
        <x:f>MIN(C24:G24)</x:f>
        <x:v>32</x:v>
      </x:c>
      <x:c r="I24" s="14" t="n">
        <x:f>(C24-$H24)/$H24*100</x:f>
        <x:v>12.5</x:v>
      </x:c>
      <x:c r="J24" s="14" t="n">
        <x:f>(D24-$H24)/$H24*100</x:f>
        <x:v>12.5</x:v>
      </x:c>
      <x:c r="K24" s="14" t="n">
        <x:f>(E24-$H24)/$H24*100</x:f>
        <x:v>12.5</x:v>
      </x:c>
      <x:c r="L24" s="14" t="n">
        <x:f>(F24-$H24)/$H24*100</x:f>
        <x:v>0</x:v>
      </x:c>
      <x:c r="M24" s="14" t="n">
        <x:f>(G24-$H24)/$H24*100</x:f>
        <x:v>0</x:v>
      </x:c>
      <x:c r="N24" s="12" t="str">
        <x:f>IF(C24=$H24,"YES","NO")</x:f>
        <x:v>NO</x:v>
      </x:c>
      <x:c r="O24" s="12" t="str">
        <x:f>IF(D24=$H24,"YES","NO")</x:f>
        <x:v>NO</x:v>
      </x:c>
      <x:c r="P24" s="12" t="str">
        <x:f>IF(E24=$H24,"YES","NO")</x:f>
        <x:v>NO</x:v>
      </x:c>
      <x:c r="Q24" s="12" t="str">
        <x:f>IF(F24=$H24,"YES","NO")</x:f>
        <x:v>YES</x:v>
      </x:c>
      <x:c r="R24" s="12" t="str">
        <x:f>IF(G24=$H24,"YES","NO")</x:f>
        <x:v>YES</x:v>
      </x:c>
    </x:row>
    <x:row r="25">
      <x:c r="A25" s="44" t="str">
        <x:v>bpps_d10000n100m10w2000_3000s100_2000f1_seed0</x:v>
      </x:c>
      <x:c r="B25" s="12" t="n">
        <x:v>100</x:v>
      </x:c>
      <x:c r="C25" s="12" t="n">
        <x:v>608</x:v>
      </x:c>
      <x:c r="D25" s="12" t="n">
        <x:v>607</x:v>
      </x:c>
      <x:c r="E25" s="12" t="n">
        <x:v>591</x:v>
      </x:c>
      <x:c r="F25" s="12" t="n">
        <x:v>448</x:v>
      </x:c>
      <x:c r="G25" s="12" t="n">
        <x:v>431</x:v>
      </x:c>
      <x:c r="H25" s="12" t="n">
        <x:f>MIN(C25:G25)</x:f>
        <x:v>431</x:v>
      </x:c>
      <x:c r="I25" s="14" t="n">
        <x:f>(C25-$H25)/$H25*100</x:f>
        <x:v>41.067285382830626</x:v>
      </x:c>
      <x:c r="J25" s="14" t="n">
        <x:f>(D25-$H25)/$H25*100</x:f>
        <x:v>40.835266821345705</x:v>
      </x:c>
      <x:c r="K25" s="14" t="n">
        <x:f>(E25-$H25)/$H25*100</x:f>
        <x:v>37.12296983758701</x:v>
      </x:c>
      <x:c r="L25" s="14" t="n">
        <x:f>(F25-$H25)/$H25*100</x:f>
        <x:v>3.944315545243619</x:v>
      </x:c>
      <x:c r="M25" s="14" t="n">
        <x:f>(G25-$H25)/$H25*100</x:f>
        <x:v>0</x:v>
      </x:c>
      <x:c r="N25" s="12" t="str">
        <x:f>IF(C25=$H25,"YES","NO")</x:f>
        <x:v>NO</x:v>
      </x:c>
      <x:c r="O25" s="12" t="str">
        <x:f>IF(D25=$H25,"YES","NO")</x:f>
        <x:v>NO</x:v>
      </x:c>
      <x:c r="P25" s="12" t="str">
        <x:f>IF(E25=$H25,"YES","NO")</x:f>
        <x:v>NO</x:v>
      </x:c>
      <x:c r="Q25" s="12" t="str">
        <x:f>IF(F25=$H25,"YES","NO")</x:f>
        <x:v>NO</x:v>
      </x:c>
      <x:c r="R25" s="12" t="str">
        <x:f>IF(G25=$H25,"YES","NO")</x:f>
        <x:v>YES</x:v>
      </x:c>
    </x:row>
    <x:row r="26">
      <x:c r="A26" s="44" t="str">
        <x:v>bpps_d10000n100m5w1000_2000s1000_2000f0_seed0</x:v>
      </x:c>
      <x:c r="B26" s="12" t="n">
        <x:v>100</x:v>
      </x:c>
      <x:c r="C26" s="12" t="n">
        <x:v>25</x:v>
      </x:c>
      <x:c r="D26" s="12" t="n">
        <x:v>25</x:v>
      </x:c>
      <x:c r="E26" s="12" t="n">
        <x:v>24</x:v>
      </x:c>
      <x:c r="F26" s="12" t="n">
        <x:v>22</x:v>
      </x:c>
      <x:c r="G26" s="12" t="n">
        <x:v>21</x:v>
      </x:c>
      <x:c r="H26" s="12" t="n">
        <x:f>MIN(C26:G26)</x:f>
        <x:v>21</x:v>
      </x:c>
      <x:c r="I26" s="14" t="n">
        <x:f>(C26-$H26)/$H26*100</x:f>
        <x:v>19.047619047619047</x:v>
      </x:c>
      <x:c r="J26" s="14" t="n">
        <x:f>(D26-$H26)/$H26*100</x:f>
        <x:v>19.047619047619047</x:v>
      </x:c>
      <x:c r="K26" s="14" t="n">
        <x:f>(E26-$H26)/$H26*100</x:f>
        <x:v>14.285714285714285</x:v>
      </x:c>
      <x:c r="L26" s="14" t="n">
        <x:f>(F26-$H26)/$H26*100</x:f>
        <x:v>4.761904761904762</x:v>
      </x:c>
      <x:c r="M26" s="14" t="n">
        <x:f>(G26-$H26)/$H26*100</x:f>
        <x:v>0</x:v>
      </x:c>
      <x:c r="N26" s="12" t="str">
        <x:f>IF(C26=$H26,"YES","NO")</x:f>
        <x:v>NO</x:v>
      </x:c>
      <x:c r="O26" s="12" t="str">
        <x:f>IF(D26=$H26,"YES","NO")</x:f>
        <x:v>NO</x:v>
      </x:c>
      <x:c r="P26" s="12" t="str">
        <x:f>IF(E26=$H26,"YES","NO")</x:f>
        <x:v>NO</x:v>
      </x:c>
      <x:c r="Q26" s="12" t="str">
        <x:f>IF(F26=$H26,"YES","NO")</x:f>
        <x:v>NO</x:v>
      </x:c>
      <x:c r="R26" s="12" t="str">
        <x:f>IF(G26=$H26,"YES","NO")</x:f>
        <x:v>YES</x:v>
      </x:c>
    </x:row>
    <x:row r="27">
      <x:c r="A27" s="44" t="str">
        <x:v>bpps_d10000n100m5w1000_2000s1000_2000f1_seed0</x:v>
      </x:c>
      <x:c r="B27" s="12" t="n">
        <x:v>100</x:v>
      </x:c>
      <x:c r="C27" s="12" t="n">
        <x:v>418</x:v>
      </x:c>
      <x:c r="D27" s="12" t="n">
        <x:v>442</x:v>
      </x:c>
      <x:c r="E27" s="12" t="n">
        <x:v>412</x:v>
      </x:c>
      <x:c r="F27" s="12" t="n">
        <x:v>294</x:v>
      </x:c>
      <x:c r="G27" s="12" t="n">
        <x:v>265</x:v>
      </x:c>
      <x:c r="H27" s="12" t="n">
        <x:f>MIN(C27:G27)</x:f>
        <x:v>265</x:v>
      </x:c>
      <x:c r="I27" s="14" t="n">
        <x:f>(C27-$H27)/$H27*100</x:f>
        <x:v>57.73584905660377</x:v>
      </x:c>
      <x:c r="J27" s="14" t="n">
        <x:f>(D27-$H27)/$H27*100</x:f>
        <x:v>66.79245283018868</x:v>
      </x:c>
      <x:c r="K27" s="14" t="n">
        <x:f>(E27-$H27)/$H27*100</x:f>
        <x:v>55.471698113207545</x:v>
      </x:c>
      <x:c r="L27" s="14" t="n">
        <x:f>(F27-$H27)/$H27*100</x:f>
        <x:v>10.943396226415095</x:v>
      </x:c>
      <x:c r="M27" s="14" t="n">
        <x:f>(G27-$H27)/$H27*100</x:f>
        <x:v>0</x:v>
      </x:c>
      <x:c r="N27" s="12" t="str">
        <x:f>IF(C27=$H27,"YES","NO")</x:f>
        <x:v>NO</x:v>
      </x:c>
      <x:c r="O27" s="12" t="str">
        <x:f>IF(D27=$H27,"YES","NO")</x:f>
        <x:v>NO</x:v>
      </x:c>
      <x:c r="P27" s="12" t="str">
        <x:f>IF(E27=$H27,"YES","NO")</x:f>
        <x:v>NO</x:v>
      </x:c>
      <x:c r="Q27" s="12" t="str">
        <x:f>IF(F27=$H27,"YES","NO")</x:f>
        <x:v>NO</x:v>
      </x:c>
      <x:c r="R27" s="12" t="str">
        <x:f>IF(G27=$H27,"YES","NO")</x:f>
        <x:v>YES</x:v>
      </x:c>
    </x:row>
    <x:row r="28">
      <x:c r="A28" s="44" t="str">
        <x:v>bpps_d10000n100m5w1000_2000s100_1000f0_seed0</x:v>
      </x:c>
      <x:c r="B28" s="12" t="n">
        <x:v>100</x:v>
      </x:c>
      <x:c r="C28" s="12" t="n">
        <x:v>20</x:v>
      </x:c>
      <x:c r="D28" s="12" t="n">
        <x:v>20</x:v>
      </x:c>
      <x:c r="E28" s="12" t="n">
        <x:v>20</x:v>
      </x:c>
      <x:c r="F28" s="12" t="n">
        <x:v>18</x:v>
      </x:c>
      <x:c r="G28" s="12" t="n">
        <x:v>18</x:v>
      </x:c>
      <x:c r="H28" s="12" t="n">
        <x:f>MIN(C28:G28)</x:f>
        <x:v>18</x:v>
      </x:c>
      <x:c r="I28" s="14" t="n">
        <x:f>(C28-$H28)/$H28*100</x:f>
        <x:v>11.11111111111111</x:v>
      </x:c>
      <x:c r="J28" s="14" t="n">
        <x:f>(D28-$H28)/$H28*100</x:f>
        <x:v>11.11111111111111</x:v>
      </x:c>
      <x:c r="K28" s="14" t="n">
        <x:f>(E28-$H28)/$H28*100</x:f>
        <x:v>11.11111111111111</x:v>
      </x:c>
      <x:c r="L28" s="14" t="n">
        <x:f>(F28-$H28)/$H28*100</x:f>
        <x:v>0</x:v>
      </x:c>
      <x:c r="M28" s="14" t="n">
        <x:f>(G28-$H28)/$H28*100</x:f>
        <x:v>0</x:v>
      </x:c>
      <x:c r="N28" s="12" t="str">
        <x:f>IF(C28=$H28,"YES","NO")</x:f>
        <x:v>NO</x:v>
      </x:c>
      <x:c r="O28" s="12" t="str">
        <x:f>IF(D28=$H28,"YES","NO")</x:f>
        <x:v>NO</x:v>
      </x:c>
      <x:c r="P28" s="12" t="str">
        <x:f>IF(E28=$H28,"YES","NO")</x:f>
        <x:v>NO</x:v>
      </x:c>
      <x:c r="Q28" s="12" t="str">
        <x:f>IF(F28=$H28,"YES","NO")</x:f>
        <x:v>YES</x:v>
      </x:c>
      <x:c r="R28" s="12" t="str">
        <x:f>IF(G28=$H28,"YES","NO")</x:f>
        <x:v>YES</x:v>
      </x:c>
    </x:row>
    <x:row r="29">
      <x:c r="A29" s="44" t="str">
        <x:v>bpps_d10000n100m5w1000_2000s100_1000f1_seed0</x:v>
      </x:c>
      <x:c r="B29" s="12" t="n">
        <x:v>100</x:v>
      </x:c>
      <x:c r="C29" s="12" t="n">
        <x:v>387</x:v>
      </x:c>
      <x:c r="D29" s="12" t="n">
        <x:v>380</x:v>
      </x:c>
      <x:c r="E29" s="12" t="n">
        <x:v>373</x:v>
      </x:c>
      <x:c r="F29" s="12" t="n">
        <x:v>254</x:v>
      </x:c>
      <x:c r="G29" s="12" t="n">
        <x:v>240</x:v>
      </x:c>
      <x:c r="H29" s="12" t="n">
        <x:f>MIN(C29:G29)</x:f>
        <x:v>240</x:v>
      </x:c>
      <x:c r="I29" s="14" t="n">
        <x:f>(C29-$H29)/$H29*100</x:f>
        <x:v>61.25000000000001</x:v>
      </x:c>
      <x:c r="J29" s="14" t="n">
        <x:f>(D29-$H29)/$H29*100</x:f>
        <x:v>58.333333333333336</x:v>
      </x:c>
      <x:c r="K29" s="14" t="n">
        <x:f>(E29-$H29)/$H29*100</x:f>
        <x:v>55.41666666666667</x:v>
      </x:c>
      <x:c r="L29" s="14" t="n">
        <x:f>(F29-$H29)/$H29*100</x:f>
        <x:v>5.833333333333333</x:v>
      </x:c>
      <x:c r="M29" s="14" t="n">
        <x:f>(G29-$H29)/$H29*100</x:f>
        <x:v>0</x:v>
      </x:c>
      <x:c r="N29" s="12" t="str">
        <x:f>IF(C29=$H29,"YES","NO")</x:f>
        <x:v>NO</x:v>
      </x:c>
      <x:c r="O29" s="12" t="str">
        <x:f>IF(D29=$H29,"YES","NO")</x:f>
        <x:v>NO</x:v>
      </x:c>
      <x:c r="P29" s="12" t="str">
        <x:f>IF(E29=$H29,"YES","NO")</x:f>
        <x:v>NO</x:v>
      </x:c>
      <x:c r="Q29" s="12" t="str">
        <x:f>IF(F29=$H29,"YES","NO")</x:f>
        <x:v>NO</x:v>
      </x:c>
      <x:c r="R29" s="12" t="str">
        <x:f>IF(G29=$H29,"YES","NO")</x:f>
        <x:v>YES</x:v>
      </x:c>
    </x:row>
    <x:row r="30">
      <x:c r="A30" s="44" t="str">
        <x:v>bpps_d10000n100m5w1000_2000s100_2000f0_seed0</x:v>
      </x:c>
      <x:c r="B30" s="12" t="n">
        <x:v>100</x:v>
      </x:c>
      <x:c r="C30" s="12" t="n">
        <x:v>23</x:v>
      </x:c>
      <x:c r="D30" s="12" t="n">
        <x:v>23</x:v>
      </x:c>
      <x:c r="E30" s="12" t="n">
        <x:v>22</x:v>
      </x:c>
      <x:c r="F30" s="12" t="n">
        <x:v>21</x:v>
      </x:c>
      <x:c r="G30" s="12" t="n">
        <x:v>19</x:v>
      </x:c>
      <x:c r="H30" s="12" t="n">
        <x:f>MIN(C30:G30)</x:f>
        <x:v>19</x:v>
      </x:c>
      <x:c r="I30" s="14" t="n">
        <x:f>(C30-$H30)/$H30*100</x:f>
        <x:v>21.052631578947366</x:v>
      </x:c>
      <x:c r="J30" s="14" t="n">
        <x:f>(D30-$H30)/$H30*100</x:f>
        <x:v>21.052631578947366</x:v>
      </x:c>
      <x:c r="K30" s="14" t="n">
        <x:f>(E30-$H30)/$H30*100</x:f>
        <x:v>15.789473684210526</x:v>
      </x:c>
      <x:c r="L30" s="14" t="n">
        <x:f>(F30-$H30)/$H30*100</x:f>
        <x:v>10.526315789473683</x:v>
      </x:c>
      <x:c r="M30" s="14" t="n">
        <x:f>(G30-$H30)/$H30*100</x:f>
        <x:v>0</x:v>
      </x:c>
      <x:c r="N30" s="12" t="str">
        <x:f>IF(C30=$H30,"YES","NO")</x:f>
        <x:v>NO</x:v>
      </x:c>
      <x:c r="O30" s="12" t="str">
        <x:f>IF(D30=$H30,"YES","NO")</x:f>
        <x:v>NO</x:v>
      </x:c>
      <x:c r="P30" s="12" t="str">
        <x:f>IF(E30=$H30,"YES","NO")</x:f>
        <x:v>NO</x:v>
      </x:c>
      <x:c r="Q30" s="12" t="str">
        <x:f>IF(F30=$H30,"YES","NO")</x:f>
        <x:v>NO</x:v>
      </x:c>
      <x:c r="R30" s="12" t="str">
        <x:f>IF(G30=$H30,"YES","NO")</x:f>
        <x:v>YES</x:v>
      </x:c>
    </x:row>
    <x:row r="31">
      <x:c r="A31" s="44" t="str">
        <x:v>bpps_d10000n100m5w1000_2000s100_2000f1_seed0</x:v>
      </x:c>
      <x:c r="B31" s="12" t="n">
        <x:v>100</x:v>
      </x:c>
      <x:c r="C31" s="12" t="n">
        <x:v>434</x:v>
      </x:c>
      <x:c r="D31" s="12" t="n">
        <x:v>434</x:v>
      </x:c>
      <x:c r="E31" s="12" t="n">
        <x:v>404</x:v>
      </x:c>
      <x:c r="F31" s="12" t="n">
        <x:v>286</x:v>
      </x:c>
      <x:c r="G31" s="12" t="n">
        <x:v>254</x:v>
      </x:c>
      <x:c r="H31" s="12" t="n">
        <x:f>MIN(C31:G31)</x:f>
        <x:v>254</x:v>
      </x:c>
      <x:c r="I31" s="14" t="n">
        <x:f>(C31-$H31)/$H31*100</x:f>
        <x:v>70.86614173228347</x:v>
      </x:c>
      <x:c r="J31" s="14" t="n">
        <x:f>(D31-$H31)/$H31*100</x:f>
        <x:v>70.86614173228347</x:v>
      </x:c>
      <x:c r="K31" s="14" t="n">
        <x:f>(E31-$H31)/$H31*100</x:f>
        <x:v>59.055118110236215</x:v>
      </x:c>
      <x:c r="L31" s="14" t="n">
        <x:f>(F31-$H31)/$H31*100</x:f>
        <x:v>12.598425196850393</x:v>
      </x:c>
      <x:c r="M31" s="14" t="n">
        <x:f>(G31-$H31)/$H31*100</x:f>
        <x:v>0</x:v>
      </x:c>
      <x:c r="N31" s="12" t="str">
        <x:f>IF(C31=$H31,"YES","NO")</x:f>
        <x:v>NO</x:v>
      </x:c>
      <x:c r="O31" s="12" t="str">
        <x:f>IF(D31=$H31,"YES","NO")</x:f>
        <x:v>NO</x:v>
      </x:c>
      <x:c r="P31" s="12" t="str">
        <x:f>IF(E31=$H31,"YES","NO")</x:f>
        <x:v>NO</x:v>
      </x:c>
      <x:c r="Q31" s="12" t="str">
        <x:f>IF(F31=$H31,"YES","NO")</x:f>
        <x:v>NO</x:v>
      </x:c>
      <x:c r="R31" s="12" t="str">
        <x:f>IF(G31=$H31,"YES","NO")</x:f>
        <x:v>YES</x:v>
      </x:c>
    </x:row>
    <x:row r="32">
      <x:c r="A32" s="44" t="str">
        <x:v>bpps_d10000n100m5w100_1000s1000_2000f0_seed0</x:v>
      </x:c>
      <x:c r="B32" s="12" t="n">
        <x:v>100</x:v>
      </x:c>
      <x:c r="C32" s="12" t="n">
        <x:v>12</x:v>
      </x:c>
      <x:c r="D32" s="12" t="n">
        <x:v>13</x:v>
      </x:c>
      <x:c r="E32" s="12" t="n">
        <x:v>11</x:v>
      </x:c>
      <x:c r="F32" s="12" t="n">
        <x:v>11</x:v>
      </x:c>
      <x:c r="G32" s="12" t="n">
        <x:v>9</x:v>
      </x:c>
      <x:c r="H32" s="12" t="n">
        <x:f>MIN(C32:G32)</x:f>
        <x:v>9</x:v>
      </x:c>
      <x:c r="I32" s="14" t="n">
        <x:f>(C32-$H32)/$H32*100</x:f>
        <x:v>33.33333333333333</x:v>
      </x:c>
      <x:c r="J32" s="14" t="n">
        <x:f>(D32-$H32)/$H32*100</x:f>
        <x:v>44.44444444444444</x:v>
      </x:c>
      <x:c r="K32" s="14" t="n">
        <x:f>(E32-$H32)/$H32*100</x:f>
        <x:v>22.22222222222222</x:v>
      </x:c>
      <x:c r="L32" s="14" t="n">
        <x:f>(F32-$H32)/$H32*100</x:f>
        <x:v>22.22222222222222</x:v>
      </x:c>
      <x:c r="M32" s="14" t="n">
        <x:f>(G32-$H32)/$H32*100</x:f>
        <x:v>0</x:v>
      </x:c>
      <x:c r="N32" s="12" t="str">
        <x:f>IF(C32=$H32,"YES","NO")</x:f>
        <x:v>NO</x:v>
      </x:c>
      <x:c r="O32" s="12" t="str">
        <x:f>IF(D32=$H32,"YES","NO")</x:f>
        <x:v>NO</x:v>
      </x:c>
      <x:c r="P32" s="12" t="str">
        <x:f>IF(E32=$H32,"YES","NO")</x:f>
        <x:v>NO</x:v>
      </x:c>
      <x:c r="Q32" s="12" t="str">
        <x:f>IF(F32=$H32,"YES","NO")</x:f>
        <x:v>NO</x:v>
      </x:c>
      <x:c r="R32" s="12" t="str">
        <x:f>IF(G32=$H32,"YES","NO")</x:f>
        <x:v>YES</x:v>
      </x:c>
    </x:row>
    <x:row r="33">
      <x:c r="A33" s="44" t="str">
        <x:v>bpps_d10000n100m5w100_1000s1000_2000f1_seed0</x:v>
      </x:c>
      <x:c r="B33" s="12" t="n">
        <x:v>100</x:v>
      </x:c>
      <x:c r="C33" s="12" t="n">
        <x:v>230</x:v>
      </x:c>
      <x:c r="D33" s="12" t="n">
        <x:v>229</x:v>
      </x:c>
      <x:c r="E33" s="12" t="n">
        <x:v>210</x:v>
      </x:c>
      <x:c r="F33" s="12" t="n">
        <x:v>165</x:v>
      </x:c>
      <x:c r="G33" s="12" t="n">
        <x:v>141</x:v>
      </x:c>
      <x:c r="H33" s="12" t="n">
        <x:f>MIN(C33:G33)</x:f>
        <x:v>141</x:v>
      </x:c>
      <x:c r="I33" s="14" t="n">
        <x:f>(C33-$H33)/$H33*100</x:f>
        <x:v>63.12056737588653</x:v>
      </x:c>
      <x:c r="J33" s="14" t="n">
        <x:f>(D33-$H33)/$H33*100</x:f>
        <x:v>62.4113475177305</x:v>
      </x:c>
      <x:c r="K33" s="14" t="n">
        <x:f>(E33-$H33)/$H33*100</x:f>
        <x:v>48.93617021276596</x:v>
      </x:c>
      <x:c r="L33" s="14" t="n">
        <x:f>(F33-$H33)/$H33*100</x:f>
        <x:v>17.02127659574468</x:v>
      </x:c>
      <x:c r="M33" s="14" t="n">
        <x:f>(G33-$H33)/$H33*100</x:f>
        <x:v>0</x:v>
      </x:c>
      <x:c r="N33" s="12" t="str">
        <x:f>IF(C33=$H33,"YES","NO")</x:f>
        <x:v>NO</x:v>
      </x:c>
      <x:c r="O33" s="12" t="str">
        <x:f>IF(D33=$H33,"YES","NO")</x:f>
        <x:v>NO</x:v>
      </x:c>
      <x:c r="P33" s="12" t="str">
        <x:f>IF(E33=$H33,"YES","NO")</x:f>
        <x:v>NO</x:v>
      </x:c>
      <x:c r="Q33" s="12" t="str">
        <x:f>IF(F33=$H33,"YES","NO")</x:f>
        <x:v>NO</x:v>
      </x:c>
      <x:c r="R33" s="12" t="str">
        <x:f>IF(G33=$H33,"YES","NO")</x:f>
        <x:v>YES</x:v>
      </x:c>
    </x:row>
    <x:row r="34">
      <x:c r="A34" s="44" t="str">
        <x:v>bpps_d10000n100m5w100_1000s100_1000f0_seed0</x:v>
      </x:c>
      <x:c r="B34" s="12" t="n">
        <x:v>100</x:v>
      </x:c>
      <x:c r="C34" s="12" t="n">
        <x:v>9</x:v>
      </x:c>
      <x:c r="D34" s="12" t="n">
        <x:v>8</x:v>
      </x:c>
      <x:c r="E34" s="12" t="n">
        <x:v>8</x:v>
      </x:c>
      <x:c r="F34" s="12" t="n">
        <x:v>11</x:v>
      </x:c>
      <x:c r="G34" s="12" t="n">
        <x:v>8</x:v>
      </x:c>
      <x:c r="H34" s="12" t="n">
        <x:f>MIN(C34:G34)</x:f>
        <x:v>8</x:v>
      </x:c>
      <x:c r="I34" s="14" t="n">
        <x:f>(C34-$H34)/$H34*100</x:f>
        <x:v>12.5</x:v>
      </x:c>
      <x:c r="J34" s="14" t="n">
        <x:f>(D34-$H34)/$H34*100</x:f>
        <x:v>0</x:v>
      </x:c>
      <x:c r="K34" s="14" t="n">
        <x:f>(E34-$H34)/$H34*100</x:f>
        <x:v>0</x:v>
      </x:c>
      <x:c r="L34" s="14" t="n">
        <x:f>(F34-$H34)/$H34*100</x:f>
        <x:v>37.5</x:v>
      </x:c>
      <x:c r="M34" s="14" t="n">
        <x:f>(G34-$H34)/$H34*100</x:f>
        <x:v>0</x:v>
      </x:c>
      <x:c r="N34" s="12" t="str">
        <x:f>IF(C34=$H34,"YES","NO")</x:f>
        <x:v>NO</x:v>
      </x:c>
      <x:c r="O34" s="12" t="str">
        <x:f>IF(D34=$H34,"YES","NO")</x:f>
        <x:v>YES</x:v>
      </x:c>
      <x:c r="P34" s="12" t="str">
        <x:f>IF(E34=$H34,"YES","NO")</x:f>
        <x:v>YES</x:v>
      </x:c>
      <x:c r="Q34" s="12" t="str">
        <x:f>IF(F34=$H34,"YES","NO")</x:f>
        <x:v>NO</x:v>
      </x:c>
      <x:c r="R34" s="12" t="str">
        <x:f>IF(G34=$H34,"YES","NO")</x:f>
        <x:v>YES</x:v>
      </x:c>
    </x:row>
    <x:row r="35">
      <x:c r="A35" s="44" t="str">
        <x:v>bpps_d10000n100m5w100_1000s100_1000f1_seed0</x:v>
      </x:c>
      <x:c r="B35" s="12" t="n">
        <x:v>100</x:v>
      </x:c>
      <x:c r="C35" s="12" t="n">
        <x:v>184</x:v>
      </x:c>
      <x:c r="D35" s="12" t="n">
        <x:v>184</x:v>
      </x:c>
      <x:c r="E35" s="12" t="n">
        <x:v>175</x:v>
      </x:c>
      <x:c r="F35" s="12" t="n">
        <x:v>164</x:v>
      </x:c>
      <x:c r="G35" s="12" t="n">
        <x:v>128</x:v>
      </x:c>
      <x:c r="H35" s="12" t="n">
        <x:f>MIN(C35:G35)</x:f>
        <x:v>128</x:v>
      </x:c>
      <x:c r="I35" s="14" t="n">
        <x:f>(C35-$H35)/$H35*100</x:f>
        <x:v>43.75</x:v>
      </x:c>
      <x:c r="J35" s="14" t="n">
        <x:f>(D35-$H35)/$H35*100</x:f>
        <x:v>43.75</x:v>
      </x:c>
      <x:c r="K35" s="14" t="n">
        <x:f>(E35-$H35)/$H35*100</x:f>
        <x:v>36.71875</x:v>
      </x:c>
      <x:c r="L35" s="14" t="n">
        <x:f>(F35-$H35)/$H35*100</x:f>
        <x:v>28.125</x:v>
      </x:c>
      <x:c r="M35" s="14" t="n">
        <x:f>(G35-$H35)/$H35*100</x:f>
        <x:v>0</x:v>
      </x:c>
      <x:c r="N35" s="12" t="str">
        <x:f>IF(C35=$H35,"YES","NO")</x:f>
        <x:v>NO</x:v>
      </x:c>
      <x:c r="O35" s="12" t="str">
        <x:f>IF(D35=$H35,"YES","NO")</x:f>
        <x:v>NO</x:v>
      </x:c>
      <x:c r="P35" s="12" t="str">
        <x:f>IF(E35=$H35,"YES","NO")</x:f>
        <x:v>NO</x:v>
      </x:c>
      <x:c r="Q35" s="12" t="str">
        <x:f>IF(F35=$H35,"YES","NO")</x:f>
        <x:v>NO</x:v>
      </x:c>
      <x:c r="R35" s="12" t="str">
        <x:f>IF(G35=$H35,"YES","NO")</x:f>
        <x:v>YES</x:v>
      </x:c>
    </x:row>
    <x:row r="36">
      <x:c r="A36" s="44" t="str">
        <x:v>bpps_d10000n100m5w100_1000s100_2000f0_seed0</x:v>
      </x:c>
      <x:c r="B36" s="12" t="n">
        <x:v>100</x:v>
      </x:c>
      <x:c r="C36" s="12" t="n">
        <x:v>9</x:v>
      </x:c>
      <x:c r="D36" s="12" t="n">
        <x:v>9</x:v>
      </x:c>
      <x:c r="E36" s="12" t="n">
        <x:v>9</x:v>
      </x:c>
      <x:c r="F36" s="12" t="n">
        <x:v>10</x:v>
      </x:c>
      <x:c r="G36" s="12" t="n">
        <x:v>8</x:v>
      </x:c>
      <x:c r="H36" s="12" t="n">
        <x:f>MIN(C36:G36)</x:f>
        <x:v>8</x:v>
      </x:c>
      <x:c r="I36" s="14" t="n">
        <x:f>(C36-$H36)/$H36*100</x:f>
        <x:v>12.5</x:v>
      </x:c>
      <x:c r="J36" s="14" t="n">
        <x:f>(D36-$H36)/$H36*100</x:f>
        <x:v>12.5</x:v>
      </x:c>
      <x:c r="K36" s="14" t="n">
        <x:f>(E36-$H36)/$H36*100</x:f>
        <x:v>12.5</x:v>
      </x:c>
      <x:c r="L36" s="14" t="n">
        <x:f>(F36-$H36)/$H36*100</x:f>
        <x:v>25</x:v>
      </x:c>
      <x:c r="M36" s="14" t="n">
        <x:f>(G36-$H36)/$H36*100</x:f>
        <x:v>0</x:v>
      </x:c>
      <x:c r="N36" s="12" t="str">
        <x:f>IF(C36=$H36,"YES","NO")</x:f>
        <x:v>NO</x:v>
      </x:c>
      <x:c r="O36" s="12" t="str">
        <x:f>IF(D36=$H36,"YES","NO")</x:f>
        <x:v>NO</x:v>
      </x:c>
      <x:c r="P36" s="12" t="str">
        <x:f>IF(E36=$H36,"YES","NO")</x:f>
        <x:v>NO</x:v>
      </x:c>
      <x:c r="Q36" s="12" t="str">
        <x:f>IF(F36=$H36,"YES","NO")</x:f>
        <x:v>NO</x:v>
      </x:c>
      <x:c r="R36" s="12" t="str">
        <x:f>IF(G36=$H36,"YES","NO")</x:f>
        <x:v>YES</x:v>
      </x:c>
    </x:row>
    <x:row r="37">
      <x:c r="A37" s="44" t="str">
        <x:v>bpps_d10000n100m5w100_1000s100_2000f1_seed0</x:v>
      </x:c>
      <x:c r="B37" s="12" t="n">
        <x:v>100</x:v>
      </x:c>
      <x:c r="C37" s="12" t="n">
        <x:v>216</x:v>
      </x:c>
      <x:c r="D37" s="12" t="n">
        <x:v>221</x:v>
      </x:c>
      <x:c r="E37" s="12" t="n">
        <x:v>194</x:v>
      </x:c>
      <x:c r="F37" s="12" t="n">
        <x:v>181</x:v>
      </x:c>
      <x:c r="G37" s="12" t="n">
        <x:v>131</x:v>
      </x:c>
      <x:c r="H37" s="12" t="n">
        <x:f>MIN(C37:G37)</x:f>
        <x:v>131</x:v>
      </x:c>
      <x:c r="I37" s="14" t="n">
        <x:f>(C37-$H37)/$H37*100</x:f>
        <x:v>64.8854961832061</x:v>
      </x:c>
      <x:c r="J37" s="14" t="n">
        <x:f>(D37-$H37)/$H37*100</x:f>
        <x:v>68.70229007633588</x:v>
      </x:c>
      <x:c r="K37" s="14" t="n">
        <x:f>(E37-$H37)/$H37*100</x:f>
        <x:v>48.091603053435115</x:v>
      </x:c>
      <x:c r="L37" s="14" t="n">
        <x:f>(F37-$H37)/$H37*100</x:f>
        <x:v>38.16793893129771</x:v>
      </x:c>
      <x:c r="M37" s="14" t="n">
        <x:f>(G37-$H37)/$H37*100</x:f>
        <x:v>0</x:v>
      </x:c>
      <x:c r="N37" s="12" t="str">
        <x:f>IF(C37=$H37,"YES","NO")</x:f>
        <x:v>NO</x:v>
      </x:c>
      <x:c r="O37" s="12" t="str">
        <x:f>IF(D37=$H37,"YES","NO")</x:f>
        <x:v>NO</x:v>
      </x:c>
      <x:c r="P37" s="12" t="str">
        <x:f>IF(E37=$H37,"YES","NO")</x:f>
        <x:v>NO</x:v>
      </x:c>
      <x:c r="Q37" s="12" t="str">
        <x:f>IF(F37=$H37,"YES","NO")</x:f>
        <x:v>NO</x:v>
      </x:c>
      <x:c r="R37" s="12" t="str">
        <x:f>IF(G37=$H37,"YES","NO")</x:f>
        <x:v>YES</x:v>
      </x:c>
    </x:row>
    <x:row r="38">
      <x:c r="A38" s="44" t="str">
        <x:v>bpps_d10000n100m5w100_3000s1000_2000f0_seed0</x:v>
      </x:c>
      <x:c r="B38" s="12" t="n">
        <x:v>100</x:v>
      </x:c>
      <x:c r="C38" s="12" t="n">
        <x:v>24</x:v>
      </x:c>
      <x:c r="D38" s="12" t="n">
        <x:v>23</x:v>
      </x:c>
      <x:c r="E38" s="12" t="n">
        <x:v>23</x:v>
      </x:c>
      <x:c r="F38" s="12" t="n">
        <x:v>21</x:v>
      </x:c>
      <x:c r="G38" s="12" t="n">
        <x:v>20</x:v>
      </x:c>
      <x:c r="H38" s="12" t="n">
        <x:f>MIN(C38:G38)</x:f>
        <x:v>20</x:v>
      </x:c>
      <x:c r="I38" s="14" t="n">
        <x:f>(C38-$H38)/$H38*100</x:f>
        <x:v>20</x:v>
      </x:c>
      <x:c r="J38" s="14" t="n">
        <x:f>(D38-$H38)/$H38*100</x:f>
        <x:v>15</x:v>
      </x:c>
      <x:c r="K38" s="14" t="n">
        <x:f>(E38-$H38)/$H38*100</x:f>
        <x:v>15</x:v>
      </x:c>
      <x:c r="L38" s="14" t="n">
        <x:f>(F38-$H38)/$H38*100</x:f>
        <x:v>5</x:v>
      </x:c>
      <x:c r="M38" s="14" t="n">
        <x:f>(G38-$H38)/$H38*100</x:f>
        <x:v>0</x:v>
      </x:c>
      <x:c r="N38" s="12" t="str">
        <x:f>IF(C38=$H38,"YES","NO")</x:f>
        <x:v>NO</x:v>
      </x:c>
      <x:c r="O38" s="12" t="str">
        <x:f>IF(D38=$H38,"YES","NO")</x:f>
        <x:v>NO</x:v>
      </x:c>
      <x:c r="P38" s="12" t="str">
        <x:f>IF(E38=$H38,"YES","NO")</x:f>
        <x:v>NO</x:v>
      </x:c>
      <x:c r="Q38" s="12" t="str">
        <x:f>IF(F38=$H38,"YES","NO")</x:f>
        <x:v>NO</x:v>
      </x:c>
      <x:c r="R38" s="12" t="str">
        <x:f>IF(G38=$H38,"YES","NO")</x:f>
        <x:v>YES</x:v>
      </x:c>
    </x:row>
    <x:row r="39">
      <x:c r="A39" s="44" t="str">
        <x:v>bpps_d10000n100m5w100_3000s1000_2000f1_seed0</x:v>
      </x:c>
      <x:c r="B39" s="12" t="n">
        <x:v>100</x:v>
      </x:c>
      <x:c r="C39" s="12" t="n">
        <x:v>387</x:v>
      </x:c>
      <x:c r="D39" s="12" t="n">
        <x:v>409</x:v>
      </x:c>
      <x:c r="E39" s="12" t="n">
        <x:v>371</x:v>
      </x:c>
      <x:c r="F39" s="12" t="n">
        <x:v>310</x:v>
      </x:c>
      <x:c r="G39" s="12" t="n">
        <x:v>266</x:v>
      </x:c>
      <x:c r="H39" s="12" t="n">
        <x:f>MIN(C39:G39)</x:f>
        <x:v>266</x:v>
      </x:c>
      <x:c r="I39" s="14" t="n">
        <x:f>(C39-$H39)/$H39*100</x:f>
        <x:v>45.48872180451128</x:v>
      </x:c>
      <x:c r="J39" s="14" t="n">
        <x:f>(D39-$H39)/$H39*100</x:f>
        <x:v>53.75939849624061</x:v>
      </x:c>
      <x:c r="K39" s="14" t="n">
        <x:f>(E39-$H39)/$H39*100</x:f>
        <x:v>39.473684210526315</x:v>
      </x:c>
      <x:c r="L39" s="14" t="n">
        <x:f>(F39-$H39)/$H39*100</x:f>
        <x:v>16.541353383458645</x:v>
      </x:c>
      <x:c r="M39" s="14" t="n">
        <x:f>(G39-$H39)/$H39*100</x:f>
        <x:v>0</x:v>
      </x:c>
      <x:c r="N39" s="12" t="str">
        <x:f>IF(C39=$H39,"YES","NO")</x:f>
        <x:v>NO</x:v>
      </x:c>
      <x:c r="O39" s="12" t="str">
        <x:f>IF(D39=$H39,"YES","NO")</x:f>
        <x:v>NO</x:v>
      </x:c>
      <x:c r="P39" s="12" t="str">
        <x:f>IF(E39=$H39,"YES","NO")</x:f>
        <x:v>NO</x:v>
      </x:c>
      <x:c r="Q39" s="12" t="str">
        <x:f>IF(F39=$H39,"YES","NO")</x:f>
        <x:v>NO</x:v>
      </x:c>
      <x:c r="R39" s="12" t="str">
        <x:f>IF(G39=$H39,"YES","NO")</x:f>
        <x:v>YES</x:v>
      </x:c>
    </x:row>
    <x:row r="40">
      <x:c r="A40" s="44" t="str">
        <x:v>bpps_d10000n100m5w100_3000s100_1000f0_seed0</x:v>
      </x:c>
      <x:c r="B40" s="12" t="n">
        <x:v>100</x:v>
      </x:c>
      <x:c r="C40" s="12" t="n">
        <x:v>19</x:v>
      </x:c>
      <x:c r="D40" s="12" t="n">
        <x:v>19</x:v>
      </x:c>
      <x:c r="E40" s="12" t="n">
        <x:v>19</x:v>
      </x:c>
      <x:c r="F40" s="12" t="n">
        <x:v>19</x:v>
      </x:c>
      <x:c r="G40" s="12" t="n">
        <x:v>18</x:v>
      </x:c>
      <x:c r="H40" s="12" t="n">
        <x:f>MIN(C40:G40)</x:f>
        <x:v>18</x:v>
      </x:c>
      <x:c r="I40" s="14" t="n">
        <x:f>(C40-$H40)/$H40*100</x:f>
        <x:v>5.555555555555555</x:v>
      </x:c>
      <x:c r="J40" s="14" t="n">
        <x:f>(D40-$H40)/$H40*100</x:f>
        <x:v>5.555555555555555</x:v>
      </x:c>
      <x:c r="K40" s="14" t="n">
        <x:f>(E40-$H40)/$H40*100</x:f>
        <x:v>5.555555555555555</x:v>
      </x:c>
      <x:c r="L40" s="14" t="n">
        <x:f>(F40-$H40)/$H40*100</x:f>
        <x:v>5.555555555555555</x:v>
      </x:c>
      <x:c r="M40" s="14" t="n">
        <x:f>(G40-$H40)/$H40*100</x:f>
        <x:v>0</x:v>
      </x:c>
      <x:c r="N40" s="12" t="str">
        <x:f>IF(C40=$H40,"YES","NO")</x:f>
        <x:v>NO</x:v>
      </x:c>
      <x:c r="O40" s="12" t="str">
        <x:f>IF(D40=$H40,"YES","NO")</x:f>
        <x:v>NO</x:v>
      </x:c>
      <x:c r="P40" s="12" t="str">
        <x:f>IF(E40=$H40,"YES","NO")</x:f>
        <x:v>NO</x:v>
      </x:c>
      <x:c r="Q40" s="12" t="str">
        <x:f>IF(F40=$H40,"YES","NO")</x:f>
        <x:v>NO</x:v>
      </x:c>
      <x:c r="R40" s="12" t="str">
        <x:f>IF(G40=$H40,"YES","NO")</x:f>
        <x:v>YES</x:v>
      </x:c>
    </x:row>
    <x:row r="41">
      <x:c r="A41" s="44" t="str">
        <x:v>bpps_d10000n100m5w100_3000s100_1000f1_seed0</x:v>
      </x:c>
      <x:c r="B41" s="12" t="n">
        <x:v>100</x:v>
      </x:c>
      <x:c r="C41" s="12" t="n">
        <x:v>344</x:v>
      </x:c>
      <x:c r="D41" s="12" t="n">
        <x:v>366</x:v>
      </x:c>
      <x:c r="E41" s="12" t="n">
        <x:v>345</x:v>
      </x:c>
      <x:c r="F41" s="12" t="n">
        <x:v>278</x:v>
      </x:c>
      <x:c r="G41" s="12" t="n">
        <x:v>245</x:v>
      </x:c>
      <x:c r="H41" s="12" t="n">
        <x:f>MIN(C41:G41)</x:f>
        <x:v>245</x:v>
      </x:c>
      <x:c r="I41" s="14" t="n">
        <x:f>(C41-$H41)/$H41*100</x:f>
        <x:v>40.40816326530612</x:v>
      </x:c>
      <x:c r="J41" s="14" t="n">
        <x:f>(D41-$H41)/$H41*100</x:f>
        <x:v>49.38775510204081</x:v>
      </x:c>
      <x:c r="K41" s="14" t="n">
        <x:f>(E41-$H41)/$H41*100</x:f>
        <x:v>40.816326530612244</x:v>
      </x:c>
      <x:c r="L41" s="14" t="n">
        <x:f>(F41-$H41)/$H41*100</x:f>
        <x:v>13.46938775510204</x:v>
      </x:c>
      <x:c r="M41" s="14" t="n">
        <x:f>(G41-$H41)/$H41*100</x:f>
        <x:v>0</x:v>
      </x:c>
      <x:c r="N41" s="12" t="str">
        <x:f>IF(C41=$H41,"YES","NO")</x:f>
        <x:v>NO</x:v>
      </x:c>
      <x:c r="O41" s="12" t="str">
        <x:f>IF(D41=$H41,"YES","NO")</x:f>
        <x:v>NO</x:v>
      </x:c>
      <x:c r="P41" s="12" t="str">
        <x:f>IF(E41=$H41,"YES","NO")</x:f>
        <x:v>NO</x:v>
      </x:c>
      <x:c r="Q41" s="12" t="str">
        <x:f>IF(F41=$H41,"YES","NO")</x:f>
        <x:v>NO</x:v>
      </x:c>
      <x:c r="R41" s="12" t="str">
        <x:f>IF(G41=$H41,"YES","NO")</x:f>
        <x:v>YES</x:v>
      </x:c>
    </x:row>
    <x:row r="42">
      <x:c r="A42" s="44" t="str">
        <x:v>bpps_d10000n100m5w100_3000s100_2000f0_seed0</x:v>
      </x:c>
      <x:c r="B42" s="12" t="n">
        <x:v>100</x:v>
      </x:c>
      <x:c r="C42" s="12" t="n">
        <x:v>22</x:v>
      </x:c>
      <x:c r="D42" s="12" t="n">
        <x:v>22</x:v>
      </x:c>
      <x:c r="E42" s="12" t="n">
        <x:v>21</x:v>
      </x:c>
      <x:c r="F42" s="12" t="n">
        <x:v>21</x:v>
      </x:c>
      <x:c r="G42" s="12" t="n">
        <x:v>19</x:v>
      </x:c>
      <x:c r="H42" s="12" t="n">
        <x:f>MIN(C42:G42)</x:f>
        <x:v>19</x:v>
      </x:c>
      <x:c r="I42" s="14" t="n">
        <x:f>(C42-$H42)/$H42*100</x:f>
        <x:v>15.789473684210526</x:v>
      </x:c>
      <x:c r="J42" s="14" t="n">
        <x:f>(D42-$H42)/$H42*100</x:f>
        <x:v>15.789473684210526</x:v>
      </x:c>
      <x:c r="K42" s="14" t="n">
        <x:f>(E42-$H42)/$H42*100</x:f>
        <x:v>10.526315789473683</x:v>
      </x:c>
      <x:c r="L42" s="14" t="n">
        <x:f>(F42-$H42)/$H42*100</x:f>
        <x:v>10.526315789473683</x:v>
      </x:c>
      <x:c r="M42" s="14" t="n">
        <x:f>(G42-$H42)/$H42*100</x:f>
        <x:v>0</x:v>
      </x:c>
      <x:c r="N42" s="12" t="str">
        <x:f>IF(C42=$H42,"YES","NO")</x:f>
        <x:v>NO</x:v>
      </x:c>
      <x:c r="O42" s="12" t="str">
        <x:f>IF(D42=$H42,"YES","NO")</x:f>
        <x:v>NO</x:v>
      </x:c>
      <x:c r="P42" s="12" t="str">
        <x:f>IF(E42=$H42,"YES","NO")</x:f>
        <x:v>NO</x:v>
      </x:c>
      <x:c r="Q42" s="12" t="str">
        <x:f>IF(F42=$H42,"YES","NO")</x:f>
        <x:v>NO</x:v>
      </x:c>
      <x:c r="R42" s="12" t="str">
        <x:f>IF(G42=$H42,"YES","NO")</x:f>
        <x:v>YES</x:v>
      </x:c>
    </x:row>
    <x:row r="43">
      <x:c r="A43" s="44" t="str">
        <x:v>bpps_d10000n100m5w100_3000s100_2000f1_seed0</x:v>
      </x:c>
      <x:c r="B43" s="12" t="n">
        <x:v>100</x:v>
      </x:c>
      <x:c r="C43" s="12" t="n">
        <x:v>365</x:v>
      </x:c>
      <x:c r="D43" s="12" t="n">
        <x:v>365</x:v>
      </x:c>
      <x:c r="E43" s="12" t="n">
        <x:v>360</x:v>
      </x:c>
      <x:c r="F43" s="12" t="n">
        <x:v>296</x:v>
      </x:c>
      <x:c r="G43" s="12" t="n">
        <x:v>248</x:v>
      </x:c>
      <x:c r="H43" s="12" t="n">
        <x:f>MIN(C43:G43)</x:f>
        <x:v>248</x:v>
      </x:c>
      <x:c r="I43" s="14" t="n">
        <x:f>(C43-$H43)/$H43*100</x:f>
        <x:v>47.17741935483871</x:v>
      </x:c>
      <x:c r="J43" s="14" t="n">
        <x:f>(D43-$H43)/$H43*100</x:f>
        <x:v>47.17741935483871</x:v>
      </x:c>
      <x:c r="K43" s="14" t="n">
        <x:f>(E43-$H43)/$H43*100</x:f>
        <x:v>45.16129032258064</x:v>
      </x:c>
      <x:c r="L43" s="14" t="n">
        <x:f>(F43-$H43)/$H43*100</x:f>
        <x:v>19.35483870967742</x:v>
      </x:c>
      <x:c r="M43" s="14" t="n">
        <x:f>(G43-$H43)/$H43*100</x:f>
        <x:v>0</x:v>
      </x:c>
      <x:c r="N43" s="12" t="str">
        <x:f>IF(C43=$H43,"YES","NO")</x:f>
        <x:v>NO</x:v>
      </x:c>
      <x:c r="O43" s="12" t="str">
        <x:f>IF(D43=$H43,"YES","NO")</x:f>
        <x:v>NO</x:v>
      </x:c>
      <x:c r="P43" s="12" t="str">
        <x:f>IF(E43=$H43,"YES","NO")</x:f>
        <x:v>NO</x:v>
      </x:c>
      <x:c r="Q43" s="12" t="str">
        <x:f>IF(F43=$H43,"YES","NO")</x:f>
        <x:v>NO</x:v>
      </x:c>
      <x:c r="R43" s="12" t="str">
        <x:f>IF(G43=$H43,"YES","NO")</x:f>
        <x:v>YES</x:v>
      </x:c>
    </x:row>
    <x:row r="44">
      <x:c r="A44" s="44" t="str">
        <x:v>bpps_d10000n100m5w2000_3000s1000_2000f0_seed0</x:v>
      </x:c>
      <x:c r="B44" s="12" t="n">
        <x:v>100</x:v>
      </x:c>
      <x:c r="C44" s="12" t="n">
        <x:v>40</x:v>
      </x:c>
      <x:c r="D44" s="12" t="n">
        <x:v>40</x:v>
      </x:c>
      <x:c r="E44" s="12" t="n">
        <x:v>41</x:v>
      </x:c>
      <x:c r="F44" s="12" t="n">
        <x:v>34</x:v>
      </x:c>
      <x:c r="G44" s="12" t="n">
        <x:v>33</x:v>
      </x:c>
      <x:c r="H44" s="12" t="n">
        <x:f>MIN(C44:G44)</x:f>
        <x:v>33</x:v>
      </x:c>
      <x:c r="I44" s="14" t="n">
        <x:f>(C44-$H44)/$H44*100</x:f>
        <x:v>21.21212121212121</x:v>
      </x:c>
      <x:c r="J44" s="14" t="n">
        <x:f>(D44-$H44)/$H44*100</x:f>
        <x:v>21.21212121212121</x:v>
      </x:c>
      <x:c r="K44" s="14" t="n">
        <x:f>(E44-$H44)/$H44*100</x:f>
        <x:v>24.242424242424242</x:v>
      </x:c>
      <x:c r="L44" s="14" t="n">
        <x:f>(F44-$H44)/$H44*100</x:f>
        <x:v>3.0303030303030303</x:v>
      </x:c>
      <x:c r="M44" s="14" t="n">
        <x:f>(G44-$H44)/$H44*100</x:f>
        <x:v>0</x:v>
      </x:c>
      <x:c r="N44" s="12" t="str">
        <x:f>IF(C44=$H44,"YES","NO")</x:f>
        <x:v>NO</x:v>
      </x:c>
      <x:c r="O44" s="12" t="str">
        <x:f>IF(D44=$H44,"YES","NO")</x:f>
        <x:v>NO</x:v>
      </x:c>
      <x:c r="P44" s="12" t="str">
        <x:f>IF(E44=$H44,"YES","NO")</x:f>
        <x:v>NO</x:v>
      </x:c>
      <x:c r="Q44" s="12" t="str">
        <x:f>IF(F44=$H44,"YES","NO")</x:f>
        <x:v>NO</x:v>
      </x:c>
      <x:c r="R44" s="12" t="str">
        <x:f>IF(G44=$H44,"YES","NO")</x:f>
        <x:v>YES</x:v>
      </x:c>
    </x:row>
    <x:row r="45">
      <x:c r="A45" s="44" t="str">
        <x:v>bpps_d10000n100m5w2000_3000s1000_2000f1_seed0</x:v>
      </x:c>
      <x:c r="B45" s="12" t="n">
        <x:v>100</x:v>
      </x:c>
      <x:c r="C45" s="12" t="n">
        <x:v>642</x:v>
      </x:c>
      <x:c r="D45" s="12" t="n">
        <x:v>642</x:v>
      </x:c>
      <x:c r="E45" s="12" t="n">
        <x:v>632</x:v>
      </x:c>
      <x:c r="F45" s="12" t="n">
        <x:v>456</x:v>
      </x:c>
      <x:c r="G45" s="12" t="n">
        <x:v>451</x:v>
      </x:c>
      <x:c r="H45" s="12" t="n">
        <x:f>MIN(C45:G45)</x:f>
        <x:v>451</x:v>
      </x:c>
      <x:c r="I45" s="14" t="n">
        <x:f>(C45-$H45)/$H45*100</x:f>
        <x:v>42.350332594235034</x:v>
      </x:c>
      <x:c r="J45" s="14" t="n">
        <x:f>(D45-$H45)/$H45*100</x:f>
        <x:v>42.350332594235034</x:v>
      </x:c>
      <x:c r="K45" s="14" t="n">
        <x:f>(E45-$H45)/$H45*100</x:f>
        <x:v>40.133037694013304</x:v>
      </x:c>
      <x:c r="L45" s="14" t="n">
        <x:f>(F45-$H45)/$H45*100</x:f>
        <x:v>1.1086474501108647</x:v>
      </x:c>
      <x:c r="M45" s="14" t="n">
        <x:f>(G45-$H45)/$H45*100</x:f>
        <x:v>0</x:v>
      </x:c>
      <x:c r="N45" s="12" t="str">
        <x:f>IF(C45=$H45,"YES","NO")</x:f>
        <x:v>NO</x:v>
      </x:c>
      <x:c r="O45" s="12" t="str">
        <x:f>IF(D45=$H45,"YES","NO")</x:f>
        <x:v>NO</x:v>
      </x:c>
      <x:c r="P45" s="12" t="str">
        <x:f>IF(E45=$H45,"YES","NO")</x:f>
        <x:v>NO</x:v>
      </x:c>
      <x:c r="Q45" s="12" t="str">
        <x:f>IF(F45=$H45,"YES","NO")</x:f>
        <x:v>NO</x:v>
      </x:c>
      <x:c r="R45" s="12" t="str">
        <x:f>IF(G45=$H45,"YES","NO")</x:f>
        <x:v>YES</x:v>
      </x:c>
    </x:row>
    <x:row r="46">
      <x:c r="A46" s="44" t="str">
        <x:v>bpps_d10000n100m5w2000_3000s100_1000f0_seed0</x:v>
      </x:c>
      <x:c r="B46" s="12" t="n">
        <x:v>100</x:v>
      </x:c>
      <x:c r="C46" s="12" t="n">
        <x:v>32</x:v>
      </x:c>
      <x:c r="D46" s="12" t="n">
        <x:v>32</x:v>
      </x:c>
      <x:c r="E46" s="12" t="n">
        <x:v>32</x:v>
      </x:c>
      <x:c r="F46" s="12" t="n">
        <x:v>31</x:v>
      </x:c>
      <x:c r="G46" s="12" t="n">
        <x:v>31</x:v>
      </x:c>
      <x:c r="H46" s="12" t="n">
        <x:f>MIN(C46:G46)</x:f>
        <x:v>31</x:v>
      </x:c>
      <x:c r="I46" s="14" t="n">
        <x:f>(C46-$H46)/$H46*100</x:f>
        <x:v>3.225806451612903</x:v>
      </x:c>
      <x:c r="J46" s="14" t="n">
        <x:f>(D46-$H46)/$H46*100</x:f>
        <x:v>3.225806451612903</x:v>
      </x:c>
      <x:c r="K46" s="14" t="n">
        <x:f>(E46-$H46)/$H46*100</x:f>
        <x:v>3.225806451612903</x:v>
      </x:c>
      <x:c r="L46" s="14" t="n">
        <x:f>(F46-$H46)/$H46*100</x:f>
        <x:v>0</x:v>
      </x:c>
      <x:c r="M46" s="14" t="n">
        <x:f>(G46-$H46)/$H46*100</x:f>
        <x:v>0</x:v>
      </x:c>
      <x:c r="N46" s="12" t="str">
        <x:f>IF(C46=$H46,"YES","NO")</x:f>
        <x:v>NO</x:v>
      </x:c>
      <x:c r="O46" s="12" t="str">
        <x:f>IF(D46=$H46,"YES","NO")</x:f>
        <x:v>NO</x:v>
      </x:c>
      <x:c r="P46" s="12" t="str">
        <x:f>IF(E46=$H46,"YES","NO")</x:f>
        <x:v>NO</x:v>
      </x:c>
      <x:c r="Q46" s="12" t="str">
        <x:f>IF(F46=$H46,"YES","NO")</x:f>
        <x:v>YES</x:v>
      </x:c>
      <x:c r="R46" s="12" t="str">
        <x:f>IF(G46=$H46,"YES","NO")</x:f>
        <x:v>YES</x:v>
      </x:c>
    </x:row>
    <x:row r="47">
      <x:c r="A47" s="44" t="str">
        <x:v>bpps_d10000n100m5w2000_3000s100_1000f1_seed0</x:v>
      </x:c>
      <x:c r="B47" s="12" t="n">
        <x:v>100</x:v>
      </x:c>
      <x:c r="C47" s="12" t="n">
        <x:v>556</x:v>
      </x:c>
      <x:c r="D47" s="12" t="n">
        <x:v>560</x:v>
      </x:c>
      <x:c r="E47" s="12" t="n">
        <x:v>566</x:v>
      </x:c>
      <x:c r="F47" s="12" t="n">
        <x:v>431</x:v>
      </x:c>
      <x:c r="G47" s="12" t="n">
        <x:v>395</x:v>
      </x:c>
      <x:c r="H47" s="12" t="n">
        <x:f>MIN(C47:G47)</x:f>
        <x:v>395</x:v>
      </x:c>
      <x:c r="I47" s="14" t="n">
        <x:f>(C47-$H47)/$H47*100</x:f>
        <x:v>40.75949367088608</x:v>
      </x:c>
      <x:c r="J47" s="14" t="n">
        <x:f>(D47-$H47)/$H47*100</x:f>
        <x:v>41.77215189873418</x:v>
      </x:c>
      <x:c r="K47" s="14" t="n">
        <x:f>(E47-$H47)/$H47*100</x:f>
        <x:v>43.291139240506325</x:v>
      </x:c>
      <x:c r="L47" s="14" t="n">
        <x:f>(F47-$H47)/$H47*100</x:f>
        <x:v>9.113924050632912</x:v>
      </x:c>
      <x:c r="M47" s="14" t="n">
        <x:f>(G47-$H47)/$H47*100</x:f>
        <x:v>0</x:v>
      </x:c>
      <x:c r="N47" s="12" t="str">
        <x:f>IF(C47=$H47,"YES","NO")</x:f>
        <x:v>NO</x:v>
      </x:c>
      <x:c r="O47" s="12" t="str">
        <x:f>IF(D47=$H47,"YES","NO")</x:f>
        <x:v>NO</x:v>
      </x:c>
      <x:c r="P47" s="12" t="str">
        <x:f>IF(E47=$H47,"YES","NO")</x:f>
        <x:v>NO</x:v>
      </x:c>
      <x:c r="Q47" s="12" t="str">
        <x:f>IF(F47=$H47,"YES","NO")</x:f>
        <x:v>NO</x:v>
      </x:c>
      <x:c r="R47" s="12" t="str">
        <x:f>IF(G47=$H47,"YES","NO")</x:f>
        <x:v>YES</x:v>
      </x:c>
    </x:row>
    <x:row r="48">
      <x:c r="A48" s="44" t="str">
        <x:v>bpps_d10000n100m5w2000_3000s100_2000f0_seed0</x:v>
      </x:c>
      <x:c r="B48" s="12" t="n">
        <x:v>100</x:v>
      </x:c>
      <x:c r="C48" s="12" t="n">
        <x:v>36</x:v>
      </x:c>
      <x:c r="D48" s="12" t="n">
        <x:v>36</x:v>
      </x:c>
      <x:c r="E48" s="12" t="n">
        <x:v>35</x:v>
      </x:c>
      <x:c r="F48" s="12" t="n">
        <x:v>33</x:v>
      </x:c>
      <x:c r="G48" s="12" t="n">
        <x:v>32</x:v>
      </x:c>
      <x:c r="H48" s="12" t="n">
        <x:f>MIN(C48:G48)</x:f>
        <x:v>32</x:v>
      </x:c>
      <x:c r="I48" s="14" t="n">
        <x:f>(C48-$H48)/$H48*100</x:f>
        <x:v>12.5</x:v>
      </x:c>
      <x:c r="J48" s="14" t="n">
        <x:f>(D48-$H48)/$H48*100</x:f>
        <x:v>12.5</x:v>
      </x:c>
      <x:c r="K48" s="14" t="n">
        <x:f>(E48-$H48)/$H48*100</x:f>
        <x:v>9.375</x:v>
      </x:c>
      <x:c r="L48" s="14" t="n">
        <x:f>(F48-$H48)/$H48*100</x:f>
        <x:v>3.125</x:v>
      </x:c>
      <x:c r="M48" s="14" t="n">
        <x:f>(G48-$H48)/$H48*100</x:f>
        <x:v>0</x:v>
      </x:c>
      <x:c r="N48" s="12" t="str">
        <x:f>IF(C48=$H48,"YES","NO")</x:f>
        <x:v>NO</x:v>
      </x:c>
      <x:c r="O48" s="12" t="str">
        <x:f>IF(D48=$H48,"YES","NO")</x:f>
        <x:v>NO</x:v>
      </x:c>
      <x:c r="P48" s="12" t="str">
        <x:f>IF(E48=$H48,"YES","NO")</x:f>
        <x:v>NO</x:v>
      </x:c>
      <x:c r="Q48" s="12" t="str">
        <x:f>IF(F48=$H48,"YES","NO")</x:f>
        <x:v>NO</x:v>
      </x:c>
      <x:c r="R48" s="12" t="str">
        <x:f>IF(G48=$H48,"YES","NO")</x:f>
        <x:v>YES</x:v>
      </x:c>
    </x:row>
    <x:row r="49">
      <x:c r="A49" s="44" t="str">
        <x:v>bpps_d10000n100m5w2000_3000s100_2000f1_seed0</x:v>
      </x:c>
      <x:c r="B49" s="12" t="n">
        <x:v>100</x:v>
      </x:c>
      <x:c r="C49" s="12" t="n">
        <x:v>578</x:v>
      </x:c>
      <x:c r="D49" s="12" t="n">
        <x:v>590</x:v>
      </x:c>
      <x:c r="E49" s="12" t="n">
        <x:v>588</x:v>
      </x:c>
      <x:c r="F49" s="12" t="n">
        <x:v>442</x:v>
      </x:c>
      <x:c r="G49" s="12" t="n">
        <x:v>431</x:v>
      </x:c>
      <x:c r="H49" s="12" t="n">
        <x:f>MIN(C49:G49)</x:f>
        <x:v>431</x:v>
      </x:c>
      <x:c r="I49" s="14" t="n">
        <x:f>(C49-$H49)/$H49*100</x:f>
        <x:v>34.106728538283065</x:v>
      </x:c>
      <x:c r="J49" s="14" t="n">
        <x:f>(D49-$H49)/$H49*100</x:f>
        <x:v>36.89095127610209</x:v>
      </x:c>
      <x:c r="K49" s="14" t="n">
        <x:f>(E49-$H49)/$H49*100</x:f>
        <x:v>36.42691415313225</x:v>
      </x:c>
      <x:c r="L49" s="14" t="n">
        <x:f>(F49-$H49)/$H49*100</x:f>
        <x:v>2.5522041763341066</x:v>
      </x:c>
      <x:c r="M49" s="14" t="n">
        <x:f>(G49-$H49)/$H49*100</x:f>
        <x:v>0</x:v>
      </x:c>
      <x:c r="N49" s="12" t="str">
        <x:f>IF(C49=$H49,"YES","NO")</x:f>
        <x:v>NO</x:v>
      </x:c>
      <x:c r="O49" s="12" t="str">
        <x:f>IF(D49=$H49,"YES","NO")</x:f>
        <x:v>NO</x:v>
      </x:c>
      <x:c r="P49" s="12" t="str">
        <x:f>IF(E49=$H49,"YES","NO")</x:f>
        <x:v>NO</x:v>
      </x:c>
      <x:c r="Q49" s="12" t="str">
        <x:f>IF(F49=$H49,"YES","NO")</x:f>
        <x:v>NO</x:v>
      </x:c>
      <x:c r="R49" s="12" t="str">
        <x:f>IF(G49=$H49,"YES","NO")</x:f>
        <x:v>YES</x:v>
      </x:c>
    </x:row>
    <x:row r="50">
      <x:c r="A50" s="44" t="str">
        <x:v>bpps_d10000n200m10w1000_2000s1000_2000f0_seed0</x:v>
      </x:c>
      <x:c r="B50" s="12" t="n">
        <x:v>200</x:v>
      </x:c>
      <x:c r="C50" s="12" t="n">
        <x:v>52</x:v>
      </x:c>
      <x:c r="D50" s="12" t="n">
        <x:v>52</x:v>
      </x:c>
      <x:c r="E50" s="12" t="n">
        <x:v>51</x:v>
      </x:c>
      <x:c r="F50" s="12" t="n">
        <x:v>39</x:v>
      </x:c>
      <x:c r="G50" s="12" t="n">
        <x:v>39</x:v>
      </x:c>
      <x:c r="H50" s="12" t="n">
        <x:f>MIN(C50:G50)</x:f>
        <x:v>39</x:v>
      </x:c>
      <x:c r="I50" s="14" t="n">
        <x:f>(C50-$H50)/$H50*100</x:f>
        <x:v>33.33333333333333</x:v>
      </x:c>
      <x:c r="J50" s="14" t="n">
        <x:f>(D50-$H50)/$H50*100</x:f>
        <x:v>33.33333333333333</x:v>
      </x:c>
      <x:c r="K50" s="14" t="n">
        <x:f>(E50-$H50)/$H50*100</x:f>
        <x:v>30.76923076923077</x:v>
      </x:c>
      <x:c r="L50" s="14" t="n">
        <x:f>(F50-$H50)/$H50*100</x:f>
        <x:v>0</x:v>
      </x:c>
      <x:c r="M50" s="14" t="n">
        <x:f>(G50-$H50)/$H50*100</x:f>
        <x:v>0</x:v>
      </x:c>
      <x:c r="N50" s="12" t="str">
        <x:f>IF(C50=$H50,"YES","NO")</x:f>
        <x:v>NO</x:v>
      </x:c>
      <x:c r="O50" s="12" t="str">
        <x:f>IF(D50=$H50,"YES","NO")</x:f>
        <x:v>NO</x:v>
      </x:c>
      <x:c r="P50" s="12" t="str">
        <x:f>IF(E50=$H50,"YES","NO")</x:f>
        <x:v>NO</x:v>
      </x:c>
      <x:c r="Q50" s="12" t="str">
        <x:f>IF(F50=$H50,"YES","NO")</x:f>
        <x:v>YES</x:v>
      </x:c>
      <x:c r="R50" s="12" t="str">
        <x:f>IF(G50=$H50,"YES","NO")</x:f>
        <x:v>YES</x:v>
      </x:c>
    </x:row>
    <x:row r="51">
      <x:c r="A51" s="44" t="str">
        <x:v>bpps_d10000n200m10w1000_2000s1000_2000f1_seed0</x:v>
      </x:c>
      <x:c r="B51" s="12" t="n">
        <x:v>200</x:v>
      </x:c>
      <x:c r="C51" s="12" t="n">
        <x:v>1016</x:v>
      </x:c>
      <x:c r="D51" s="12" t="n">
        <x:v>1013</x:v>
      </x:c>
      <x:c r="E51" s="12" t="n">
        <x:v>981</x:v>
      </x:c>
      <x:c r="F51" s="12" t="n">
        <x:v>564</x:v>
      </x:c>
      <x:c r="G51" s="12" t="n">
        <x:v>513</x:v>
      </x:c>
      <x:c r="H51" s="12" t="n">
        <x:f>MIN(C51:G51)</x:f>
        <x:v>513</x:v>
      </x:c>
      <x:c r="I51" s="14" t="n">
        <x:f>(C51-$H51)/$H51*100</x:f>
        <x:v>98.05068226120858</x:v>
      </x:c>
      <x:c r="J51" s="14" t="n">
        <x:f>(D51-$H51)/$H51*100</x:f>
        <x:v>97.46588693957115</x:v>
      </x:c>
      <x:c r="K51" s="14" t="n">
        <x:f>(E51-$H51)/$H51*100</x:f>
        <x:v>91.22807017543859</x:v>
      </x:c>
      <x:c r="L51" s="14" t="n">
        <x:f>(F51-$H51)/$H51*100</x:f>
        <x:v>9.941520467836257</x:v>
      </x:c>
      <x:c r="M51" s="14" t="n">
        <x:f>(G51-$H51)/$H51*100</x:f>
        <x:v>0</x:v>
      </x:c>
      <x:c r="N51" s="12" t="str">
        <x:f>IF(C51=$H51,"YES","NO")</x:f>
        <x:v>NO</x:v>
      </x:c>
      <x:c r="O51" s="12" t="str">
        <x:f>IF(D51=$H51,"YES","NO")</x:f>
        <x:v>NO</x:v>
      </x:c>
      <x:c r="P51" s="12" t="str">
        <x:f>IF(E51=$H51,"YES","NO")</x:f>
        <x:v>NO</x:v>
      </x:c>
      <x:c r="Q51" s="12" t="str">
        <x:f>IF(F51=$H51,"YES","NO")</x:f>
        <x:v>NO</x:v>
      </x:c>
      <x:c r="R51" s="12" t="str">
        <x:f>IF(G51=$H51,"YES","NO")</x:f>
        <x:v>YES</x:v>
      </x:c>
    </x:row>
    <x:row r="52">
      <x:c r="A52" s="44" t="str">
        <x:v>bpps_d10000n200m10w1000_2000s100_1000f0_seed0</x:v>
      </x:c>
      <x:c r="B52" s="12" t="n">
        <x:v>200</x:v>
      </x:c>
      <x:c r="C52" s="12" t="n">
        <x:v>39</x:v>
      </x:c>
      <x:c r="D52" s="12" t="n">
        <x:v>39</x:v>
      </x:c>
      <x:c r="E52" s="12" t="n">
        <x:v>38</x:v>
      </x:c>
      <x:c r="F52" s="12" t="n">
        <x:v>35</x:v>
      </x:c>
      <x:c r="G52" s="12" t="n">
        <x:v>35</x:v>
      </x:c>
      <x:c r="H52" s="12" t="n">
        <x:f>MIN(C52:G52)</x:f>
        <x:v>35</x:v>
      </x:c>
      <x:c r="I52" s="14" t="n">
        <x:f>(C52-$H52)/$H52*100</x:f>
        <x:v>11.428571428571429</x:v>
      </x:c>
      <x:c r="J52" s="14" t="n">
        <x:f>(D52-$H52)/$H52*100</x:f>
        <x:v>11.428571428571429</x:v>
      </x:c>
      <x:c r="K52" s="14" t="n">
        <x:f>(E52-$H52)/$H52*100</x:f>
        <x:v>8.571428571428571</x:v>
      </x:c>
      <x:c r="L52" s="14" t="n">
        <x:f>(F52-$H52)/$H52*100</x:f>
        <x:v>0</x:v>
      </x:c>
      <x:c r="M52" s="14" t="n">
        <x:f>(G52-$H52)/$H52*100</x:f>
        <x:v>0</x:v>
      </x:c>
      <x:c r="N52" s="12" t="str">
        <x:f>IF(C52=$H52,"YES","NO")</x:f>
        <x:v>NO</x:v>
      </x:c>
      <x:c r="O52" s="12" t="str">
        <x:f>IF(D52=$H52,"YES","NO")</x:f>
        <x:v>NO</x:v>
      </x:c>
      <x:c r="P52" s="12" t="str">
        <x:f>IF(E52=$H52,"YES","NO")</x:f>
        <x:v>NO</x:v>
      </x:c>
      <x:c r="Q52" s="12" t="str">
        <x:f>IF(F52=$H52,"YES","NO")</x:f>
        <x:v>YES</x:v>
      </x:c>
      <x:c r="R52" s="12" t="str">
        <x:f>IF(G52=$H52,"YES","NO")</x:f>
        <x:v>YES</x:v>
      </x:c>
    </x:row>
    <x:row r="53">
      <x:c r="A53" s="44" t="str">
        <x:v>bpps_d10000n200m10w1000_2000s100_1000f1_seed0</x:v>
      </x:c>
      <x:c r="B53" s="12" t="n">
        <x:v>200</x:v>
      </x:c>
      <x:c r="C53" s="12" t="n">
        <x:v>849</x:v>
      </x:c>
      <x:c r="D53" s="12" t="n">
        <x:v>849</x:v>
      </x:c>
      <x:c r="E53" s="12" t="n">
        <x:v>832</x:v>
      </x:c>
      <x:c r="F53" s="12" t="n">
        <x:v>508</x:v>
      </x:c>
      <x:c r="G53" s="12" t="n">
        <x:v>471</x:v>
      </x:c>
      <x:c r="H53" s="12" t="n">
        <x:f>MIN(C53:G53)</x:f>
        <x:v>471</x:v>
      </x:c>
      <x:c r="I53" s="14" t="n">
        <x:f>(C53-$H53)/$H53*100</x:f>
        <x:v>80.2547770700637</x:v>
      </x:c>
      <x:c r="J53" s="14" t="n">
        <x:f>(D53-$H53)/$H53*100</x:f>
        <x:v>80.2547770700637</x:v>
      </x:c>
      <x:c r="K53" s="14" t="n">
        <x:f>(E53-$H53)/$H53*100</x:f>
        <x:v>76.64543524416136</x:v>
      </x:c>
      <x:c r="L53" s="14" t="n">
        <x:f>(F53-$H53)/$H53*100</x:f>
        <x:v>7.855626326963907</x:v>
      </x:c>
      <x:c r="M53" s="14" t="n">
        <x:f>(G53-$H53)/$H53*100</x:f>
        <x:v>0</x:v>
      </x:c>
      <x:c r="N53" s="12" t="str">
        <x:f>IF(C53=$H53,"YES","NO")</x:f>
        <x:v>NO</x:v>
      </x:c>
      <x:c r="O53" s="12" t="str">
        <x:f>IF(D53=$H53,"YES","NO")</x:f>
        <x:v>NO</x:v>
      </x:c>
      <x:c r="P53" s="12" t="str">
        <x:f>IF(E53=$H53,"YES","NO")</x:f>
        <x:v>NO</x:v>
      </x:c>
      <x:c r="Q53" s="12" t="str">
        <x:f>IF(F53=$H53,"YES","NO")</x:f>
        <x:v>NO</x:v>
      </x:c>
      <x:c r="R53" s="12" t="str">
        <x:f>IF(G53=$H53,"YES","NO")</x:f>
        <x:v>YES</x:v>
      </x:c>
    </x:row>
    <x:row r="54">
      <x:c r="A54" s="44" t="str">
        <x:v>bpps_d10000n200m10w1000_2000s100_2000f0_seed0</x:v>
      </x:c>
      <x:c r="B54" s="12" t="n">
        <x:v>200</x:v>
      </x:c>
      <x:c r="C54" s="12" t="n">
        <x:v>44</x:v>
      </x:c>
      <x:c r="D54" s="12" t="n">
        <x:v>44</x:v>
      </x:c>
      <x:c r="E54" s="12" t="n">
        <x:v>43</x:v>
      </x:c>
      <x:c r="F54" s="12" t="n">
        <x:v>37</x:v>
      </x:c>
      <x:c r="G54" s="12" t="n">
        <x:v>36</x:v>
      </x:c>
      <x:c r="H54" s="12" t="n">
        <x:f>MIN(C54:G54)</x:f>
        <x:v>36</x:v>
      </x:c>
      <x:c r="I54" s="14" t="n">
        <x:f>(C54-$H54)/$H54*100</x:f>
        <x:v>22.22222222222222</x:v>
      </x:c>
      <x:c r="J54" s="14" t="n">
        <x:f>(D54-$H54)/$H54*100</x:f>
        <x:v>22.22222222222222</x:v>
      </x:c>
      <x:c r="K54" s="14" t="n">
        <x:f>(E54-$H54)/$H54*100</x:f>
        <x:v>19.444444444444446</x:v>
      </x:c>
      <x:c r="L54" s="14" t="n">
        <x:f>(F54-$H54)/$H54*100</x:f>
        <x:v>2.7777777777777777</x:v>
      </x:c>
      <x:c r="M54" s="14" t="n">
        <x:f>(G54-$H54)/$H54*100</x:f>
        <x:v>0</x:v>
      </x:c>
      <x:c r="N54" s="12" t="str">
        <x:f>IF(C54=$H54,"YES","NO")</x:f>
        <x:v>NO</x:v>
      </x:c>
      <x:c r="O54" s="12" t="str">
        <x:f>IF(D54=$H54,"YES","NO")</x:f>
        <x:v>NO</x:v>
      </x:c>
      <x:c r="P54" s="12" t="str">
        <x:f>IF(E54=$H54,"YES","NO")</x:f>
        <x:v>NO</x:v>
      </x:c>
      <x:c r="Q54" s="12" t="str">
        <x:f>IF(F54=$H54,"YES","NO")</x:f>
        <x:v>NO</x:v>
      </x:c>
      <x:c r="R54" s="12" t="str">
        <x:f>IF(G54=$H54,"YES","NO")</x:f>
        <x:v>YES</x:v>
      </x:c>
    </x:row>
    <x:row r="55">
      <x:c r="A55" s="44" t="str">
        <x:v>bpps_d10000n200m10w1000_2000s100_2000f1_seed0</x:v>
      </x:c>
      <x:c r="B55" s="12" t="n">
        <x:v>200</x:v>
      </x:c>
      <x:c r="C55" s="12" t="n">
        <x:v>927</x:v>
      </x:c>
      <x:c r="D55" s="12" t="n">
        <x:v>929</x:v>
      </x:c>
      <x:c r="E55" s="12" t="n">
        <x:v>878</x:v>
      </x:c>
      <x:c r="F55" s="12" t="n">
        <x:v>516</x:v>
      </x:c>
      <x:c r="G55" s="12" t="n">
        <x:v>491</x:v>
      </x:c>
      <x:c r="H55" s="12" t="n">
        <x:f>MIN(C55:G55)</x:f>
        <x:v>491</x:v>
      </x:c>
      <x:c r="I55" s="14" t="n">
        <x:f>(C55-$H55)/$H55*100</x:f>
        <x:v>88.79837067209776</x:v>
      </x:c>
      <x:c r="J55" s="14" t="n">
        <x:f>(D55-$H55)/$H55*100</x:f>
        <x:v>89.20570264765783</x:v>
      </x:c>
      <x:c r="K55" s="14" t="n">
        <x:f>(E55-$H55)/$H55*100</x:f>
        <x:v>78.81873727087576</x:v>
      </x:c>
      <x:c r="L55" s="14" t="n">
        <x:f>(F55-$H55)/$H55*100</x:f>
        <x:v>5.091649694501019</x:v>
      </x:c>
      <x:c r="M55" s="14" t="n">
        <x:f>(G55-$H55)/$H55*100</x:f>
        <x:v>0</x:v>
      </x:c>
      <x:c r="N55" s="12" t="str">
        <x:f>IF(C55=$H55,"YES","NO")</x:f>
        <x:v>NO</x:v>
      </x:c>
      <x:c r="O55" s="12" t="str">
        <x:f>IF(D55=$H55,"YES","NO")</x:f>
        <x:v>NO</x:v>
      </x:c>
      <x:c r="P55" s="12" t="str">
        <x:f>IF(E55=$H55,"YES","NO")</x:f>
        <x:v>NO</x:v>
      </x:c>
      <x:c r="Q55" s="12" t="str">
        <x:f>IF(F55=$H55,"YES","NO")</x:f>
        <x:v>NO</x:v>
      </x:c>
      <x:c r="R55" s="12" t="str">
        <x:f>IF(G55=$H55,"YES","NO")</x:f>
        <x:v>YES</x:v>
      </x:c>
    </x:row>
    <x:row r="56">
      <x:c r="A56" s="44" t="str">
        <x:v>bpps_d10000n200m10w100_1000s1000_2000f0_seed0</x:v>
      </x:c>
      <x:c r="B56" s="12" t="n">
        <x:v>200</x:v>
      </x:c>
      <x:c r="C56" s="12" t="n">
        <x:v>26</x:v>
      </x:c>
      <x:c r="D56" s="12" t="n">
        <x:v>26</x:v>
      </x:c>
      <x:c r="E56" s="12" t="n">
        <x:v>24</x:v>
      </x:c>
      <x:c r="F56" s="12" t="n">
        <x:v>21</x:v>
      </x:c>
      <x:c r="G56" s="12" t="n">
        <x:v>18</x:v>
      </x:c>
      <x:c r="H56" s="12" t="n">
        <x:f>MIN(C56:G56)</x:f>
        <x:v>18</x:v>
      </x:c>
      <x:c r="I56" s="14" t="n">
        <x:f>(C56-$H56)/$H56*100</x:f>
        <x:v>44.44444444444444</x:v>
      </x:c>
      <x:c r="J56" s="14" t="n">
        <x:f>(D56-$H56)/$H56*100</x:f>
        <x:v>44.44444444444444</x:v>
      </x:c>
      <x:c r="K56" s="14" t="n">
        <x:f>(E56-$H56)/$H56*100</x:f>
        <x:v>33.33333333333333</x:v>
      </x:c>
      <x:c r="L56" s="14" t="n">
        <x:f>(F56-$H56)/$H56*100</x:f>
        <x:v>16.666666666666664</x:v>
      </x:c>
      <x:c r="M56" s="14" t="n">
        <x:f>(G56-$H56)/$H56*100</x:f>
        <x:v>0</x:v>
      </x:c>
      <x:c r="N56" s="12" t="str">
        <x:f>IF(C56=$H56,"YES","NO")</x:f>
        <x:v>NO</x:v>
      </x:c>
      <x:c r="O56" s="12" t="str">
        <x:f>IF(D56=$H56,"YES","NO")</x:f>
        <x:v>NO</x:v>
      </x:c>
      <x:c r="P56" s="12" t="str">
        <x:f>IF(E56=$H56,"YES","NO")</x:f>
        <x:v>NO</x:v>
      </x:c>
      <x:c r="Q56" s="12" t="str">
        <x:f>IF(F56=$H56,"YES","NO")</x:f>
        <x:v>NO</x:v>
      </x:c>
      <x:c r="R56" s="12" t="str">
        <x:f>IF(G56=$H56,"YES","NO")</x:f>
        <x:v>YES</x:v>
      </x:c>
    </x:row>
    <x:row r="57">
      <x:c r="A57" s="44" t="str">
        <x:v>bpps_d10000n200m10w100_1000s1000_2000f1_seed0</x:v>
      </x:c>
      <x:c r="B57" s="12" t="n">
        <x:v>200</x:v>
      </x:c>
      <x:c r="C57" s="12" t="n">
        <x:v>638</x:v>
      </x:c>
      <x:c r="D57" s="12" t="n">
        <x:v>626</x:v>
      </x:c>
      <x:c r="E57" s="12" t="n">
        <x:v>521</x:v>
      </x:c>
      <x:c r="F57" s="12" t="n">
        <x:v>336</x:v>
      </x:c>
      <x:c r="G57" s="12" t="n">
        <x:v>280</x:v>
      </x:c>
      <x:c r="H57" s="12" t="n">
        <x:f>MIN(C57:G57)</x:f>
        <x:v>280</x:v>
      </x:c>
      <x:c r="I57" s="14" t="n">
        <x:f>(C57-$H57)/$H57*100</x:f>
        <x:v>127.85714285714285</x:v>
      </x:c>
      <x:c r="J57" s="14" t="n">
        <x:f>(D57-$H57)/$H57*100</x:f>
        <x:v>123.57142857142858</x:v>
      </x:c>
      <x:c r="K57" s="14" t="n">
        <x:f>(E57-$H57)/$H57*100</x:f>
        <x:v>86.07142857142858</x:v>
      </x:c>
      <x:c r="L57" s="14" t="n">
        <x:f>(F57-$H57)/$H57*100</x:f>
        <x:v>20</x:v>
      </x:c>
      <x:c r="M57" s="14" t="n">
        <x:f>(G57-$H57)/$H57*100</x:f>
        <x:v>0</x:v>
      </x:c>
      <x:c r="N57" s="12" t="str">
        <x:f>IF(C57=$H57,"YES","NO")</x:f>
        <x:v>NO</x:v>
      </x:c>
      <x:c r="O57" s="12" t="str">
        <x:f>IF(D57=$H57,"YES","NO")</x:f>
        <x:v>NO</x:v>
      </x:c>
      <x:c r="P57" s="12" t="str">
        <x:f>IF(E57=$H57,"YES","NO")</x:f>
        <x:v>NO</x:v>
      </x:c>
      <x:c r="Q57" s="12" t="str">
        <x:f>IF(F57=$H57,"YES","NO")</x:f>
        <x:v>NO</x:v>
      </x:c>
      <x:c r="R57" s="12" t="str">
        <x:f>IF(G57=$H57,"YES","NO")</x:f>
        <x:v>YES</x:v>
      </x:c>
    </x:row>
    <x:row r="58">
      <x:c r="A58" s="44" t="str">
        <x:v>bpps_d10000n200m10w100_1000s100_1000f0_seed0</x:v>
      </x:c>
      <x:c r="B58" s="12" t="n">
        <x:v>200</x:v>
      </x:c>
      <x:c r="C58" s="12" t="n">
        <x:v>16</x:v>
      </x:c>
      <x:c r="D58" s="12" t="n">
        <x:v>16</x:v>
      </x:c>
      <x:c r="E58" s="12" t="n">
        <x:v>15</x:v>
      </x:c>
      <x:c r="F58" s="12" t="n">
        <x:v>21</x:v>
      </x:c>
      <x:c r="G58" s="12" t="n">
        <x:v>14</x:v>
      </x:c>
      <x:c r="H58" s="12" t="n">
        <x:f>MIN(C58:G58)</x:f>
        <x:v>14</x:v>
      </x:c>
      <x:c r="I58" s="14" t="n">
        <x:f>(C58-$H58)/$H58*100</x:f>
        <x:v>14.285714285714285</x:v>
      </x:c>
      <x:c r="J58" s="14" t="n">
        <x:f>(D58-$H58)/$H58*100</x:f>
        <x:v>14.285714285714285</x:v>
      </x:c>
      <x:c r="K58" s="14" t="n">
        <x:f>(E58-$H58)/$H58*100</x:f>
        <x:v>7.142857142857142</x:v>
      </x:c>
      <x:c r="L58" s="14" t="n">
        <x:f>(F58-$H58)/$H58*100</x:f>
        <x:v>50</x:v>
      </x:c>
      <x:c r="M58" s="14" t="n">
        <x:f>(G58-$H58)/$H58*100</x:f>
        <x:v>0</x:v>
      </x:c>
      <x:c r="N58" s="12" t="str">
        <x:f>IF(C58=$H58,"YES","NO")</x:f>
        <x:v>NO</x:v>
      </x:c>
      <x:c r="O58" s="12" t="str">
        <x:f>IF(D58=$H58,"YES","NO")</x:f>
        <x:v>NO</x:v>
      </x:c>
      <x:c r="P58" s="12" t="str">
        <x:f>IF(E58=$H58,"YES","NO")</x:f>
        <x:v>NO</x:v>
      </x:c>
      <x:c r="Q58" s="12" t="str">
        <x:f>IF(F58=$H58,"YES","NO")</x:f>
        <x:v>NO</x:v>
      </x:c>
      <x:c r="R58" s="12" t="str">
        <x:f>IF(G58=$H58,"YES","NO")</x:f>
        <x:v>YES</x:v>
      </x:c>
    </x:row>
    <x:row r="59">
      <x:c r="A59" s="44" t="str">
        <x:v>bpps_d10000n200m10w100_1000s100_1000f1_seed0</x:v>
      </x:c>
      <x:c r="B59" s="12" t="n">
        <x:v>200</x:v>
      </x:c>
      <x:c r="C59" s="12" t="n">
        <x:v>494</x:v>
      </x:c>
      <x:c r="D59" s="12" t="n">
        <x:v>491</x:v>
      </x:c>
      <x:c r="E59" s="12" t="n">
        <x:v>415</x:v>
      </x:c>
      <x:c r="F59" s="12" t="n">
        <x:v>317</x:v>
      </x:c>
      <x:c r="G59" s="12" t="n">
        <x:v>255</x:v>
      </x:c>
      <x:c r="H59" s="12" t="n">
        <x:f>MIN(C59:G59)</x:f>
        <x:v>255</x:v>
      </x:c>
      <x:c r="I59" s="14" t="n">
        <x:f>(C59-$H59)/$H59*100</x:f>
        <x:v>93.72549019607843</x:v>
      </x:c>
      <x:c r="J59" s="14" t="n">
        <x:f>(D59-$H59)/$H59*100</x:f>
        <x:v>92.54901960784314</x:v>
      </x:c>
      <x:c r="K59" s="14" t="n">
        <x:f>(E59-$H59)/$H59*100</x:f>
        <x:v>62.745098039215684</x:v>
      </x:c>
      <x:c r="L59" s="14" t="n">
        <x:f>(F59-$H59)/$H59*100</x:f>
        <x:v>24.313725490196077</x:v>
      </x:c>
      <x:c r="M59" s="14" t="n">
        <x:f>(G59-$H59)/$H59*100</x:f>
        <x:v>0</x:v>
      </x:c>
      <x:c r="N59" s="12" t="str">
        <x:f>IF(C59=$H59,"YES","NO")</x:f>
        <x:v>NO</x:v>
      </x:c>
      <x:c r="O59" s="12" t="str">
        <x:f>IF(D59=$H59,"YES","NO")</x:f>
        <x:v>NO</x:v>
      </x:c>
      <x:c r="P59" s="12" t="str">
        <x:f>IF(E59=$H59,"YES","NO")</x:f>
        <x:v>NO</x:v>
      </x:c>
      <x:c r="Q59" s="12" t="str">
        <x:f>IF(F59=$H59,"YES","NO")</x:f>
        <x:v>NO</x:v>
      </x:c>
      <x:c r="R59" s="12" t="str">
        <x:f>IF(G59=$H59,"YES","NO")</x:f>
        <x:v>YES</x:v>
      </x:c>
    </x:row>
    <x:row r="60">
      <x:c r="A60" s="44" t="str">
        <x:v>bpps_d10000n200m10w100_1000s100_2000f0_seed0</x:v>
      </x:c>
      <x:c r="B60" s="12" t="n">
        <x:v>200</x:v>
      </x:c>
      <x:c r="C60" s="12" t="n">
        <x:v>19</x:v>
      </x:c>
      <x:c r="D60" s="12" t="n">
        <x:v>20</x:v>
      </x:c>
      <x:c r="E60" s="12" t="n">
        <x:v>18</x:v>
      </x:c>
      <x:c r="F60" s="12" t="n">
        <x:v>19</x:v>
      </x:c>
      <x:c r="G60" s="12" t="n">
        <x:v>15</x:v>
      </x:c>
      <x:c r="H60" s="12" t="n">
        <x:f>MIN(C60:G60)</x:f>
        <x:v>15</x:v>
      </x:c>
      <x:c r="I60" s="14" t="n">
        <x:f>(C60-$H60)/$H60*100</x:f>
        <x:v>26.666666666666668</x:v>
      </x:c>
      <x:c r="J60" s="14" t="n">
        <x:f>(D60-$H60)/$H60*100</x:f>
        <x:v>33.33333333333333</x:v>
      </x:c>
      <x:c r="K60" s="14" t="n">
        <x:f>(E60-$H60)/$H60*100</x:f>
        <x:v>20</x:v>
      </x:c>
      <x:c r="L60" s="14" t="n">
        <x:f>(F60-$H60)/$H60*100</x:f>
        <x:v>26.666666666666668</x:v>
      </x:c>
      <x:c r="M60" s="14" t="n">
        <x:f>(G60-$H60)/$H60*100</x:f>
        <x:v>0</x:v>
      </x:c>
      <x:c r="N60" s="12" t="str">
        <x:f>IF(C60=$H60,"YES","NO")</x:f>
        <x:v>NO</x:v>
      </x:c>
      <x:c r="O60" s="12" t="str">
        <x:f>IF(D60=$H60,"YES","NO")</x:f>
        <x:v>NO</x:v>
      </x:c>
      <x:c r="P60" s="12" t="str">
        <x:f>IF(E60=$H60,"YES","NO")</x:f>
        <x:v>NO</x:v>
      </x:c>
      <x:c r="Q60" s="12" t="str">
        <x:f>IF(F60=$H60,"YES","NO")</x:f>
        <x:v>NO</x:v>
      </x:c>
      <x:c r="R60" s="12" t="str">
        <x:f>IF(G60=$H60,"YES","NO")</x:f>
        <x:v>YES</x:v>
      </x:c>
    </x:row>
    <x:row r="61">
      <x:c r="A61" s="44" t="str">
        <x:v>bpps_d10000n200m10w100_1000s100_2000f1_seed0</x:v>
      </x:c>
      <x:c r="B61" s="12" t="n">
        <x:v>200</x:v>
      </x:c>
      <x:c r="C61" s="12" t="n">
        <x:v>526</x:v>
      </x:c>
      <x:c r="D61" s="12" t="n">
        <x:v>520</x:v>
      </x:c>
      <x:c r="E61" s="12" t="n">
        <x:v>466</x:v>
      </x:c>
      <x:c r="F61" s="12" t="n">
        <x:v>312</x:v>
      </x:c>
      <x:c r="G61" s="12" t="n">
        <x:v>264</x:v>
      </x:c>
      <x:c r="H61" s="12" t="n">
        <x:f>MIN(C61:G61)</x:f>
        <x:v>264</x:v>
      </x:c>
      <x:c r="I61" s="14" t="n">
        <x:f>(C61-$H61)/$H61*100</x:f>
        <x:v>99.24242424242425</x:v>
      </x:c>
      <x:c r="J61" s="14" t="n">
        <x:f>(D61-$H61)/$H61*100</x:f>
        <x:v>96.96969696969697</x:v>
      </x:c>
      <x:c r="K61" s="14" t="n">
        <x:f>(E61-$H61)/$H61*100</x:f>
        <x:v>76.51515151515152</x:v>
      </x:c>
      <x:c r="L61" s="14" t="n">
        <x:f>(F61-$H61)/$H61*100</x:f>
        <x:v>18.181818181818183</x:v>
      </x:c>
      <x:c r="M61" s="14" t="n">
        <x:f>(G61-$H61)/$H61*100</x:f>
        <x:v>0</x:v>
      </x:c>
      <x:c r="N61" s="12" t="str">
        <x:f>IF(C61=$H61,"YES","NO")</x:f>
        <x:v>NO</x:v>
      </x:c>
      <x:c r="O61" s="12" t="str">
        <x:f>IF(D61=$H61,"YES","NO")</x:f>
        <x:v>NO</x:v>
      </x:c>
      <x:c r="P61" s="12" t="str">
        <x:f>IF(E61=$H61,"YES","NO")</x:f>
        <x:v>NO</x:v>
      </x:c>
      <x:c r="Q61" s="12" t="str">
        <x:f>IF(F61=$H61,"YES","NO")</x:f>
        <x:v>NO</x:v>
      </x:c>
      <x:c r="R61" s="12" t="str">
        <x:f>IF(G61=$H61,"YES","NO")</x:f>
        <x:v>YES</x:v>
      </x:c>
    </x:row>
    <x:row r="62">
      <x:c r="A62" s="44" t="str">
        <x:v>bpps_d10000n200m10w100_3000s1000_2000f0_seed0</x:v>
      </x:c>
      <x:c r="B62" s="12" t="n">
        <x:v>200</x:v>
      </x:c>
      <x:c r="C62" s="12" t="n">
        <x:v>48</x:v>
      </x:c>
      <x:c r="D62" s="12" t="n">
        <x:v>48</x:v>
      </x:c>
      <x:c r="E62" s="12" t="n">
        <x:v>47</x:v>
      </x:c>
      <x:c r="F62" s="12" t="n">
        <x:v>41</x:v>
      </x:c>
      <x:c r="G62" s="12" t="n">
        <x:v>39</x:v>
      </x:c>
      <x:c r="H62" s="12" t="n">
        <x:f>MIN(C62:G62)</x:f>
        <x:v>39</x:v>
      </x:c>
      <x:c r="I62" s="14" t="n">
        <x:f>(C62-$H62)/$H62*100</x:f>
        <x:v>23.076923076923077</x:v>
      </x:c>
      <x:c r="J62" s="14" t="n">
        <x:f>(D62-$H62)/$H62*100</x:f>
        <x:v>23.076923076923077</x:v>
      </x:c>
      <x:c r="K62" s="14" t="n">
        <x:f>(E62-$H62)/$H62*100</x:f>
        <x:v>20.51282051282051</x:v>
      </x:c>
      <x:c r="L62" s="14" t="n">
        <x:f>(F62-$H62)/$H62*100</x:f>
        <x:v>5.128205128205128</x:v>
      </x:c>
      <x:c r="M62" s="14" t="n">
        <x:f>(G62-$H62)/$H62*100</x:f>
        <x:v>0</x:v>
      </x:c>
      <x:c r="N62" s="12" t="str">
        <x:f>IF(C62=$H62,"YES","NO")</x:f>
        <x:v>NO</x:v>
      </x:c>
      <x:c r="O62" s="12" t="str">
        <x:f>IF(D62=$H62,"YES","NO")</x:f>
        <x:v>NO</x:v>
      </x:c>
      <x:c r="P62" s="12" t="str">
        <x:f>IF(E62=$H62,"YES","NO")</x:f>
        <x:v>NO</x:v>
      </x:c>
      <x:c r="Q62" s="12" t="str">
        <x:f>IF(F62=$H62,"YES","NO")</x:f>
        <x:v>NO</x:v>
      </x:c>
      <x:c r="R62" s="12" t="str">
        <x:f>IF(G62=$H62,"YES","NO")</x:f>
        <x:v>YES</x:v>
      </x:c>
    </x:row>
    <x:row r="63">
      <x:c r="A63" s="44" t="str">
        <x:v>bpps_d10000n200m10w100_3000s1000_2000f1_seed0</x:v>
      </x:c>
      <x:c r="B63" s="12" t="n">
        <x:v>200</x:v>
      </x:c>
      <x:c r="C63" s="12" t="n">
        <x:v>883</x:v>
      </x:c>
      <x:c r="D63" s="12" t="n">
        <x:v>900</x:v>
      </x:c>
      <x:c r="E63" s="12" t="n">
        <x:v>858</x:v>
      </x:c>
      <x:c r="F63" s="12" t="n">
        <x:v>601</x:v>
      </x:c>
      <x:c r="G63" s="12" t="n">
        <x:v>544</x:v>
      </x:c>
      <x:c r="H63" s="12" t="n">
        <x:f>MIN(C63:G63)</x:f>
        <x:v>544</x:v>
      </x:c>
      <x:c r="I63" s="14" t="n">
        <x:f>(C63-$H63)/$H63*100</x:f>
        <x:v>62.31617647058824</x:v>
      </x:c>
      <x:c r="J63" s="14" t="n">
        <x:f>(D63-$H63)/$H63*100</x:f>
        <x:v>65.44117647058823</x:v>
      </x:c>
      <x:c r="K63" s="14" t="n">
        <x:f>(E63-$H63)/$H63*100</x:f>
        <x:v>57.720588235294116</x:v>
      </x:c>
      <x:c r="L63" s="14" t="n">
        <x:f>(F63-$H63)/$H63*100</x:f>
        <x:v>10.477941176470589</x:v>
      </x:c>
      <x:c r="M63" s="14" t="n">
        <x:f>(G63-$H63)/$H63*100</x:f>
        <x:v>0</x:v>
      </x:c>
      <x:c r="N63" s="12" t="str">
        <x:f>IF(C63=$H63,"YES","NO")</x:f>
        <x:v>NO</x:v>
      </x:c>
      <x:c r="O63" s="12" t="str">
        <x:f>IF(D63=$H63,"YES","NO")</x:f>
        <x:v>NO</x:v>
      </x:c>
      <x:c r="P63" s="12" t="str">
        <x:f>IF(E63=$H63,"YES","NO")</x:f>
        <x:v>NO</x:v>
      </x:c>
      <x:c r="Q63" s="12" t="str">
        <x:f>IF(F63=$H63,"YES","NO")</x:f>
        <x:v>NO</x:v>
      </x:c>
      <x:c r="R63" s="12" t="str">
        <x:f>IF(G63=$H63,"YES","NO")</x:f>
        <x:v>YES</x:v>
      </x:c>
    </x:row>
    <x:row r="64">
      <x:c r="A64" s="44" t="str">
        <x:v>bpps_d10000n200m10w100_3000s100_1000f0_seed0</x:v>
      </x:c>
      <x:c r="B64" s="12" t="n">
        <x:v>200</x:v>
      </x:c>
      <x:c r="C64" s="12" t="n">
        <x:v>38</x:v>
      </x:c>
      <x:c r="D64" s="12" t="n">
        <x:v>38</x:v>
      </x:c>
      <x:c r="E64" s="12" t="n">
        <x:v>38</x:v>
      </x:c>
      <x:c r="F64" s="12" t="n">
        <x:v>36</x:v>
      </x:c>
      <x:c r="G64" s="12" t="n">
        <x:v>34</x:v>
      </x:c>
      <x:c r="H64" s="12" t="n">
        <x:f>MIN(C64:G64)</x:f>
        <x:v>34</x:v>
      </x:c>
      <x:c r="I64" s="14" t="n">
        <x:f>(C64-$H64)/$H64*100</x:f>
        <x:v>11.76470588235294</x:v>
      </x:c>
      <x:c r="J64" s="14" t="n">
        <x:f>(D64-$H64)/$H64*100</x:f>
        <x:v>11.76470588235294</x:v>
      </x:c>
      <x:c r="K64" s="14" t="n">
        <x:f>(E64-$H64)/$H64*100</x:f>
        <x:v>11.76470588235294</x:v>
      </x:c>
      <x:c r="L64" s="14" t="n">
        <x:f>(F64-$H64)/$H64*100</x:f>
        <x:v>5.88235294117647</x:v>
      </x:c>
      <x:c r="M64" s="14" t="n">
        <x:f>(G64-$H64)/$H64*100</x:f>
        <x:v>0</x:v>
      </x:c>
      <x:c r="N64" s="12" t="str">
        <x:f>IF(C64=$H64,"YES","NO")</x:f>
        <x:v>NO</x:v>
      </x:c>
      <x:c r="O64" s="12" t="str">
        <x:f>IF(D64=$H64,"YES","NO")</x:f>
        <x:v>NO</x:v>
      </x:c>
      <x:c r="P64" s="12" t="str">
        <x:f>IF(E64=$H64,"YES","NO")</x:f>
        <x:v>NO</x:v>
      </x:c>
      <x:c r="Q64" s="12" t="str">
        <x:f>IF(F64=$H64,"YES","NO")</x:f>
        <x:v>NO</x:v>
      </x:c>
      <x:c r="R64" s="12" t="str">
        <x:f>IF(G64=$H64,"YES","NO")</x:f>
        <x:v>YES</x:v>
      </x:c>
    </x:row>
    <x:row r="65">
      <x:c r="A65" s="44" t="str">
        <x:v>bpps_d10000n200m10w100_3000s100_1000f1_seed0</x:v>
      </x:c>
      <x:c r="B65" s="12" t="n">
        <x:v>200</x:v>
      </x:c>
      <x:c r="C65" s="12" t="n">
        <x:v>838</x:v>
      </x:c>
      <x:c r="D65" s="12" t="n">
        <x:v>847</x:v>
      </x:c>
      <x:c r="E65" s="12" t="n">
        <x:v>794</x:v>
      </x:c>
      <x:c r="F65" s="12" t="n">
        <x:v>539</x:v>
      </x:c>
      <x:c r="G65" s="12" t="n">
        <x:v>486</x:v>
      </x:c>
      <x:c r="H65" s="12" t="n">
        <x:f>MIN(C65:G65)</x:f>
        <x:v>486</x:v>
      </x:c>
      <x:c r="I65" s="14" t="n">
        <x:f>(C65-$H65)/$H65*100</x:f>
        <x:v>72.42798353909465</x:v>
      </x:c>
      <x:c r="J65" s="14" t="n">
        <x:f>(D65-$H65)/$H65*100</x:f>
        <x:v>74.2798353909465</x:v>
      </x:c>
      <x:c r="K65" s="14" t="n">
        <x:f>(E65-$H65)/$H65*100</x:f>
        <x:v>63.37448559670782</x:v>
      </x:c>
      <x:c r="L65" s="14" t="n">
        <x:f>(F65-$H65)/$H65*100</x:f>
        <x:v>10.905349794238683</x:v>
      </x:c>
      <x:c r="M65" s="14" t="n">
        <x:f>(G65-$H65)/$H65*100</x:f>
        <x:v>0</x:v>
      </x:c>
      <x:c r="N65" s="12" t="str">
        <x:f>IF(C65=$H65,"YES","NO")</x:f>
        <x:v>NO</x:v>
      </x:c>
      <x:c r="O65" s="12" t="str">
        <x:f>IF(D65=$H65,"YES","NO")</x:f>
        <x:v>NO</x:v>
      </x:c>
      <x:c r="P65" s="12" t="str">
        <x:f>IF(E65=$H65,"YES","NO")</x:f>
        <x:v>NO</x:v>
      </x:c>
      <x:c r="Q65" s="12" t="str">
        <x:f>IF(F65=$H65,"YES","NO")</x:f>
        <x:v>NO</x:v>
      </x:c>
      <x:c r="R65" s="12" t="str">
        <x:f>IF(G65=$H65,"YES","NO")</x:f>
        <x:v>YES</x:v>
      </x:c>
    </x:row>
    <x:row r="66">
      <x:c r="A66" s="44" t="str">
        <x:v>bpps_d10000n200m10w100_3000s100_2000f0_seed0</x:v>
      </x:c>
      <x:c r="B66" s="12" t="n">
        <x:v>200</x:v>
      </x:c>
      <x:c r="C66" s="12" t="n">
        <x:v>42</x:v>
      </x:c>
      <x:c r="D66" s="12" t="n">
        <x:v>42</x:v>
      </x:c>
      <x:c r="E66" s="12" t="n">
        <x:v>41</x:v>
      </x:c>
      <x:c r="F66" s="12" t="n">
        <x:v>37</x:v>
      </x:c>
      <x:c r="G66" s="12" t="n">
        <x:v>36</x:v>
      </x:c>
      <x:c r="H66" s="12" t="n">
        <x:f>MIN(C66:G66)</x:f>
        <x:v>36</x:v>
      </x:c>
      <x:c r="I66" s="14" t="n">
        <x:f>(C66-$H66)/$H66*100</x:f>
        <x:v>16.666666666666664</x:v>
      </x:c>
      <x:c r="J66" s="14" t="n">
        <x:f>(D66-$H66)/$H66*100</x:f>
        <x:v>16.666666666666664</x:v>
      </x:c>
      <x:c r="K66" s="14" t="n">
        <x:f>(E66-$H66)/$H66*100</x:f>
        <x:v>13.88888888888889</x:v>
      </x:c>
      <x:c r="L66" s="14" t="n">
        <x:f>(F66-$H66)/$H66*100</x:f>
        <x:v>2.7777777777777777</x:v>
      </x:c>
      <x:c r="M66" s="14" t="n">
        <x:f>(G66-$H66)/$H66*100</x:f>
        <x:v>0</x:v>
      </x:c>
      <x:c r="N66" s="12" t="str">
        <x:f>IF(C66=$H66,"YES","NO")</x:f>
        <x:v>NO</x:v>
      </x:c>
      <x:c r="O66" s="12" t="str">
        <x:f>IF(D66=$H66,"YES","NO")</x:f>
        <x:v>NO</x:v>
      </x:c>
      <x:c r="P66" s="12" t="str">
        <x:f>IF(E66=$H66,"YES","NO")</x:f>
        <x:v>NO</x:v>
      </x:c>
      <x:c r="Q66" s="12" t="str">
        <x:f>IF(F66=$H66,"YES","NO")</x:f>
        <x:v>NO</x:v>
      </x:c>
      <x:c r="R66" s="12" t="str">
        <x:f>IF(G66=$H66,"YES","NO")</x:f>
        <x:v>YES</x:v>
      </x:c>
    </x:row>
    <x:row r="67">
      <x:c r="A67" s="44" t="str">
        <x:v>bpps_d10000n200m10w100_3000s100_2000f1_seed0</x:v>
      </x:c>
      <x:c r="B67" s="12" t="n">
        <x:v>200</x:v>
      </x:c>
      <x:c r="C67" s="12" t="n">
        <x:v>867</x:v>
      </x:c>
      <x:c r="D67" s="12" t="n">
        <x:v>880</x:v>
      </x:c>
      <x:c r="E67" s="12" t="n">
        <x:v>830</x:v>
      </x:c>
      <x:c r="F67" s="12" t="n">
        <x:v>569</x:v>
      </x:c>
      <x:c r="G67" s="12" t="n">
        <x:v>525</x:v>
      </x:c>
      <x:c r="H67" s="12" t="n">
        <x:f>MIN(C67:G67)</x:f>
        <x:v>525</x:v>
      </x:c>
      <x:c r="I67" s="14" t="n">
        <x:f>(C67-$H67)/$H67*100</x:f>
        <x:v>65.14285714285715</x:v>
      </x:c>
      <x:c r="J67" s="14" t="n">
        <x:f>(D67-$H67)/$H67*100</x:f>
        <x:v>67.61904761904762</x:v>
      </x:c>
      <x:c r="K67" s="14" t="n">
        <x:f>(E67-$H67)/$H67*100</x:f>
        <x:v>58.0952380952381</x:v>
      </x:c>
      <x:c r="L67" s="14" t="n">
        <x:f>(F67-$H67)/$H67*100</x:f>
        <x:v>8.380952380952381</x:v>
      </x:c>
      <x:c r="M67" s="14" t="n">
        <x:f>(G67-$H67)/$H67*100</x:f>
        <x:v>0</x:v>
      </x:c>
      <x:c r="N67" s="12" t="str">
        <x:f>IF(C67=$H67,"YES","NO")</x:f>
        <x:v>NO</x:v>
      </x:c>
      <x:c r="O67" s="12" t="str">
        <x:f>IF(D67=$H67,"YES","NO")</x:f>
        <x:v>NO</x:v>
      </x:c>
      <x:c r="P67" s="12" t="str">
        <x:f>IF(E67=$H67,"YES","NO")</x:f>
        <x:v>NO</x:v>
      </x:c>
      <x:c r="Q67" s="12" t="str">
        <x:f>IF(F67=$H67,"YES","NO")</x:f>
        <x:v>NO</x:v>
      </x:c>
      <x:c r="R67" s="12" t="str">
        <x:f>IF(G67=$H67,"YES","NO")</x:f>
        <x:v>YES</x:v>
      </x:c>
    </x:row>
    <x:row r="68">
      <x:c r="A68" s="44" t="str">
        <x:v>bpps_d10000n200m10w2000_3000s1000_2000f0_seed0</x:v>
      </x:c>
      <x:c r="B68" s="12" t="n">
        <x:v>200</x:v>
      </x:c>
      <x:c r="C68" s="12" t="n">
        <x:v>77</x:v>
      </x:c>
      <x:c r="D68" s="12" t="n">
        <x:v>77</x:v>
      </x:c>
      <x:c r="E68" s="12" t="n">
        <x:v>78</x:v>
      </x:c>
      <x:c r="F68" s="12" t="n">
        <x:v>66</x:v>
      </x:c>
      <x:c r="G68" s="12" t="n">
        <x:v>65</x:v>
      </x:c>
      <x:c r="H68" s="12" t="n">
        <x:f>MIN(C68:G68)</x:f>
        <x:v>65</x:v>
      </x:c>
      <x:c r="I68" s="14" t="n">
        <x:f>(C68-$H68)/$H68*100</x:f>
        <x:v>18.461538461538463</x:v>
      </x:c>
      <x:c r="J68" s="14" t="n">
        <x:f>(D68-$H68)/$H68*100</x:f>
        <x:v>18.461538461538463</x:v>
      </x:c>
      <x:c r="K68" s="14" t="n">
        <x:f>(E68-$H68)/$H68*100</x:f>
        <x:v>20</x:v>
      </x:c>
      <x:c r="L68" s="14" t="n">
        <x:f>(F68-$H68)/$H68*100</x:f>
        <x:v>1.5384615384615385</x:v>
      </x:c>
      <x:c r="M68" s="14" t="n">
        <x:f>(G68-$H68)/$H68*100</x:f>
        <x:v>0</x:v>
      </x:c>
      <x:c r="N68" s="12" t="str">
        <x:f>IF(C68=$H68,"YES","NO")</x:f>
        <x:v>NO</x:v>
      </x:c>
      <x:c r="O68" s="12" t="str">
        <x:f>IF(D68=$H68,"YES","NO")</x:f>
        <x:v>NO</x:v>
      </x:c>
      <x:c r="P68" s="12" t="str">
        <x:f>IF(E68=$H68,"YES","NO")</x:f>
        <x:v>NO</x:v>
      </x:c>
      <x:c r="Q68" s="12" t="str">
        <x:f>IF(F68=$H68,"YES","NO")</x:f>
        <x:v>NO</x:v>
      </x:c>
      <x:c r="R68" s="12" t="str">
        <x:f>IF(G68=$H68,"YES","NO")</x:f>
        <x:v>YES</x:v>
      </x:c>
    </x:row>
    <x:row r="69">
      <x:c r="A69" s="44" t="str">
        <x:v>bpps_d10000n200m10w2000_3000s1000_2000f1_seed0</x:v>
      </x:c>
      <x:c r="B69" s="12" t="n">
        <x:v>200</x:v>
      </x:c>
      <x:c r="C69" s="12" t="n">
        <x:v>1267</x:v>
      </x:c>
      <x:c r="D69" s="12" t="n">
        <x:v>1249</x:v>
      </x:c>
      <x:c r="E69" s="12" t="n">
        <x:v>1261</x:v>
      </x:c>
      <x:c r="F69" s="12" t="n">
        <x:v>898</x:v>
      </x:c>
      <x:c r="G69" s="12" t="n">
        <x:v>874</x:v>
      </x:c>
      <x:c r="H69" s="12" t="n">
        <x:f>MIN(C69:G69)</x:f>
        <x:v>874</x:v>
      </x:c>
      <x:c r="I69" s="14" t="n">
        <x:f>(C69-$H69)/$H69*100</x:f>
        <x:v>44.96567505720824</x:v>
      </x:c>
      <x:c r="J69" s="14" t="n">
        <x:f>(D69-$H69)/$H69*100</x:f>
        <x:v>42.90617848970252</x:v>
      </x:c>
      <x:c r="K69" s="14" t="n">
        <x:f>(E69-$H69)/$H69*100</x:f>
        <x:v>44.279176201373</x:v>
      </x:c>
      <x:c r="L69" s="14" t="n">
        <x:f>(F69-$H69)/$H69*100</x:f>
        <x:v>2.745995423340961</x:v>
      </x:c>
      <x:c r="M69" s="14" t="n">
        <x:f>(G69-$H69)/$H69*100</x:f>
        <x:v>0</x:v>
      </x:c>
      <x:c r="N69" s="12" t="str">
        <x:f>IF(C69=$H69,"YES","NO")</x:f>
        <x:v>NO</x:v>
      </x:c>
      <x:c r="O69" s="12" t="str">
        <x:f>IF(D69=$H69,"YES","NO")</x:f>
        <x:v>NO</x:v>
      </x:c>
      <x:c r="P69" s="12" t="str">
        <x:f>IF(E69=$H69,"YES","NO")</x:f>
        <x:v>NO</x:v>
      </x:c>
      <x:c r="Q69" s="12" t="str">
        <x:f>IF(F69=$H69,"YES","NO")</x:f>
        <x:v>NO</x:v>
      </x:c>
      <x:c r="R69" s="12" t="str">
        <x:f>IF(G69=$H69,"YES","NO")</x:f>
        <x:v>YES</x:v>
      </x:c>
    </x:row>
    <x:row r="70">
      <x:c r="A70" s="44" t="str">
        <x:v>bpps_d10000n200m10w2000_3000s100_1000f0_seed0</x:v>
      </x:c>
      <x:c r="B70" s="12" t="n">
        <x:v>200</x:v>
      </x:c>
      <x:c r="C70" s="12" t="n">
        <x:v>62</x:v>
      </x:c>
      <x:c r="D70" s="12" t="n">
        <x:v>62</x:v>
      </x:c>
      <x:c r="E70" s="12" t="n">
        <x:v>62</x:v>
      </x:c>
      <x:c r="F70" s="12" t="n">
        <x:v>59</x:v>
      </x:c>
      <x:c r="G70" s="12" t="n">
        <x:v>60</x:v>
      </x:c>
      <x:c r="H70" s="12" t="n">
        <x:f>MIN(C70:G70)</x:f>
        <x:v>59</x:v>
      </x:c>
      <x:c r="I70" s="14" t="n">
        <x:f>(C70-$H70)/$H70*100</x:f>
        <x:v>5.084745762711865</x:v>
      </x:c>
      <x:c r="J70" s="14" t="n">
        <x:f>(D70-$H70)/$H70*100</x:f>
        <x:v>5.084745762711865</x:v>
      </x:c>
      <x:c r="K70" s="14" t="n">
        <x:f>(E70-$H70)/$H70*100</x:f>
        <x:v>5.084745762711865</x:v>
      </x:c>
      <x:c r="L70" s="14" t="n">
        <x:f>(F70-$H70)/$H70*100</x:f>
        <x:v>0</x:v>
      </x:c>
      <x:c r="M70" s="14" t="n">
        <x:f>(G70-$H70)/$H70*100</x:f>
        <x:v>1.694915254237288</x:v>
      </x:c>
      <x:c r="N70" s="12" t="str">
        <x:f>IF(C70=$H70,"YES","NO")</x:f>
        <x:v>NO</x:v>
      </x:c>
      <x:c r="O70" s="12" t="str">
        <x:f>IF(D70=$H70,"YES","NO")</x:f>
        <x:v>NO</x:v>
      </x:c>
      <x:c r="P70" s="12" t="str">
        <x:f>IF(E70=$H70,"YES","NO")</x:f>
        <x:v>NO</x:v>
      </x:c>
      <x:c r="Q70" s="12" t="str">
        <x:f>IF(F70=$H70,"YES","NO")</x:f>
        <x:v>YES</x:v>
      </x:c>
      <x:c r="R70" s="12" t="str">
        <x:f>IF(G70=$H70,"YES","NO")</x:f>
        <x:v>NO</x:v>
      </x:c>
    </x:row>
    <x:row r="71">
      <x:c r="A71" s="44" t="str">
        <x:v>bpps_d10000n200m10w2000_3000s100_1000f1_seed0</x:v>
      </x:c>
      <x:c r="B71" s="12" t="n">
        <x:v>200</x:v>
      </x:c>
      <x:c r="C71" s="12" t="n">
        <x:v>1183</x:v>
      </x:c>
      <x:c r="D71" s="12" t="n">
        <x:v>1183</x:v>
      </x:c>
      <x:c r="E71" s="12" t="n">
        <x:v>1172</x:v>
      </x:c>
      <x:c r="F71" s="12" t="n">
        <x:v>828</x:v>
      </x:c>
      <x:c r="G71" s="12" t="n">
        <x:v>764</x:v>
      </x:c>
      <x:c r="H71" s="12" t="n">
        <x:f>MIN(C71:G71)</x:f>
        <x:v>764</x:v>
      </x:c>
      <x:c r="I71" s="14" t="n">
        <x:f>(C71-$H71)/$H71*100</x:f>
        <x:v>54.84293193717278</x:v>
      </x:c>
      <x:c r="J71" s="14" t="n">
        <x:f>(D71-$H71)/$H71*100</x:f>
        <x:v>54.84293193717278</x:v>
      </x:c>
      <x:c r="K71" s="14" t="n">
        <x:f>(E71-$H71)/$H71*100</x:f>
        <x:v>53.403141361256544</x:v>
      </x:c>
      <x:c r="L71" s="14" t="n">
        <x:f>(F71-$H71)/$H71*100</x:f>
        <x:v>8.37696335078534</x:v>
      </x:c>
      <x:c r="M71" s="14" t="n">
        <x:f>(G71-$H71)/$H71*100</x:f>
        <x:v>0</x:v>
      </x:c>
      <x:c r="N71" s="12" t="str">
        <x:f>IF(C71=$H71,"YES","NO")</x:f>
        <x:v>NO</x:v>
      </x:c>
      <x:c r="O71" s="12" t="str">
        <x:f>IF(D71=$H71,"YES","NO")</x:f>
        <x:v>NO</x:v>
      </x:c>
      <x:c r="P71" s="12" t="str">
        <x:f>IF(E71=$H71,"YES","NO")</x:f>
        <x:v>NO</x:v>
      </x:c>
      <x:c r="Q71" s="12" t="str">
        <x:f>IF(F71=$H71,"YES","NO")</x:f>
        <x:v>NO</x:v>
      </x:c>
      <x:c r="R71" s="12" t="str">
        <x:f>IF(G71=$H71,"YES","NO")</x:f>
        <x:v>YES</x:v>
      </x:c>
    </x:row>
    <x:row r="72">
      <x:c r="A72" s="44" t="str">
        <x:v>bpps_d10000n200m10w2000_3000s100_2000f0_seed0</x:v>
      </x:c>
      <x:c r="B72" s="12" t="n">
        <x:v>200</x:v>
      </x:c>
      <x:c r="C72" s="12" t="n">
        <x:v>67</x:v>
      </x:c>
      <x:c r="D72" s="12" t="n">
        <x:v>67</x:v>
      </x:c>
      <x:c r="E72" s="12" t="n">
        <x:v>67</x:v>
      </x:c>
      <x:c r="F72" s="12" t="n">
        <x:v>62</x:v>
      </x:c>
      <x:c r="G72" s="12" t="n">
        <x:v>62</x:v>
      </x:c>
      <x:c r="H72" s="12" t="n">
        <x:f>MIN(C72:G72)</x:f>
        <x:v>62</x:v>
      </x:c>
      <x:c r="I72" s="14" t="n">
        <x:f>(C72-$H72)/$H72*100</x:f>
        <x:v>8.064516129032258</x:v>
      </x:c>
      <x:c r="J72" s="14" t="n">
        <x:f>(D72-$H72)/$H72*100</x:f>
        <x:v>8.064516129032258</x:v>
      </x:c>
      <x:c r="K72" s="14" t="n">
        <x:f>(E72-$H72)/$H72*100</x:f>
        <x:v>8.064516129032258</x:v>
      </x:c>
      <x:c r="L72" s="14" t="n">
        <x:f>(F72-$H72)/$H72*100</x:f>
        <x:v>0</x:v>
      </x:c>
      <x:c r="M72" s="14" t="n">
        <x:f>(G72-$H72)/$H72*100</x:f>
        <x:v>0</x:v>
      </x:c>
      <x:c r="N72" s="12" t="str">
        <x:f>IF(C72=$H72,"YES","NO")</x:f>
        <x:v>NO</x:v>
      </x:c>
      <x:c r="O72" s="12" t="str">
        <x:f>IF(D72=$H72,"YES","NO")</x:f>
        <x:v>NO</x:v>
      </x:c>
      <x:c r="P72" s="12" t="str">
        <x:f>IF(E72=$H72,"YES","NO")</x:f>
        <x:v>NO</x:v>
      </x:c>
      <x:c r="Q72" s="12" t="str">
        <x:f>IF(F72=$H72,"YES","NO")</x:f>
        <x:v>YES</x:v>
      </x:c>
      <x:c r="R72" s="12" t="str">
        <x:f>IF(G72=$H72,"YES","NO")</x:f>
        <x:v>YES</x:v>
      </x:c>
    </x:row>
    <x:row r="73">
      <x:c r="A73" s="44" t="str">
        <x:v>bpps_d10000n200m10w2000_3000s100_2000f1_seed0</x:v>
      </x:c>
      <x:c r="B73" s="12" t="n">
        <x:v>200</x:v>
      </x:c>
      <x:c r="C73" s="12" t="n">
        <x:v>1209</x:v>
      </x:c>
      <x:c r="D73" s="12" t="n">
        <x:v>1192</x:v>
      </x:c>
      <x:c r="E73" s="12" t="n">
        <x:v>1195</x:v>
      </x:c>
      <x:c r="F73" s="12" t="n">
        <x:v>846</x:v>
      </x:c>
      <x:c r="G73" s="12" t="n">
        <x:v>806</x:v>
      </x:c>
      <x:c r="H73" s="12" t="n">
        <x:f>MIN(C73:G73)</x:f>
        <x:v>806</x:v>
      </x:c>
      <x:c r="I73" s="14" t="n">
        <x:f>(C73-$H73)/$H73*100</x:f>
        <x:v>50</x:v>
      </x:c>
      <x:c r="J73" s="14" t="n">
        <x:f>(D73-$H73)/$H73*100</x:f>
        <x:v>47.8908188585608</x:v>
      </x:c>
      <x:c r="K73" s="14" t="n">
        <x:f>(E73-$H73)/$H73*100</x:f>
        <x:v>48.26302729528536</x:v>
      </x:c>
      <x:c r="L73" s="14" t="n">
        <x:f>(F73-$H73)/$H73*100</x:f>
        <x:v>4.962779156327544</x:v>
      </x:c>
      <x:c r="M73" s="14" t="n">
        <x:f>(G73-$H73)/$H73*100</x:f>
        <x:v>0</x:v>
      </x:c>
      <x:c r="N73" s="12" t="str">
        <x:f>IF(C73=$H73,"YES","NO")</x:f>
        <x:v>NO</x:v>
      </x:c>
      <x:c r="O73" s="12" t="str">
        <x:f>IF(D73=$H73,"YES","NO")</x:f>
        <x:v>NO</x:v>
      </x:c>
      <x:c r="P73" s="12" t="str">
        <x:f>IF(E73=$H73,"YES","NO")</x:f>
        <x:v>NO</x:v>
      </x:c>
      <x:c r="Q73" s="12" t="str">
        <x:f>IF(F73=$H73,"YES","NO")</x:f>
        <x:v>NO</x:v>
      </x:c>
      <x:c r="R73" s="12" t="str">
        <x:f>IF(G73=$H73,"YES","NO")</x:f>
        <x:v>YES</x:v>
      </x:c>
    </x:row>
    <x:row r="74">
      <x:c r="A74" s="44" t="str">
        <x:v>bpps_d10000n200m5w1000_2000s1000_2000f0_seed0</x:v>
      </x:c>
      <x:c r="B74" s="12" t="n">
        <x:v>200</x:v>
      </x:c>
      <x:c r="C74" s="12" t="n">
        <x:v>49</x:v>
      </x:c>
      <x:c r="D74" s="12" t="n">
        <x:v>49</x:v>
      </x:c>
      <x:c r="E74" s="12" t="n">
        <x:v>48</x:v>
      </x:c>
      <x:c r="F74" s="12" t="n">
        <x:v>40</x:v>
      </x:c>
      <x:c r="G74" s="12" t="n">
        <x:v>39</x:v>
      </x:c>
      <x:c r="H74" s="12" t="n">
        <x:f>MIN(C74:G74)</x:f>
        <x:v>39</x:v>
      </x:c>
      <x:c r="I74" s="14" t="n">
        <x:f>(C74-$H74)/$H74*100</x:f>
        <x:v>25.64102564102564</x:v>
      </x:c>
      <x:c r="J74" s="14" t="n">
        <x:f>(D74-$H74)/$H74*100</x:f>
        <x:v>25.64102564102564</x:v>
      </x:c>
      <x:c r="K74" s="14" t="n">
        <x:f>(E74-$H74)/$H74*100</x:f>
        <x:v>23.076923076923077</x:v>
      </x:c>
      <x:c r="L74" s="14" t="n">
        <x:f>(F74-$H74)/$H74*100</x:f>
        <x:v>2.564102564102564</x:v>
      </x:c>
      <x:c r="M74" s="14" t="n">
        <x:f>(G74-$H74)/$H74*100</x:f>
        <x:v>0</x:v>
      </x:c>
      <x:c r="N74" s="12" t="str">
        <x:f>IF(C74=$H74,"YES","NO")</x:f>
        <x:v>NO</x:v>
      </x:c>
      <x:c r="O74" s="12" t="str">
        <x:f>IF(D74=$H74,"YES","NO")</x:f>
        <x:v>NO</x:v>
      </x:c>
      <x:c r="P74" s="12" t="str">
        <x:f>IF(E74=$H74,"YES","NO")</x:f>
        <x:v>NO</x:v>
      </x:c>
      <x:c r="Q74" s="12" t="str">
        <x:f>IF(F74=$H74,"YES","NO")</x:f>
        <x:v>NO</x:v>
      </x:c>
      <x:c r="R74" s="12" t="str">
        <x:f>IF(G74=$H74,"YES","NO")</x:f>
        <x:v>YES</x:v>
      </x:c>
    </x:row>
    <x:row r="75">
      <x:c r="A75" s="44" t="str">
        <x:v>bpps_d10000n200m5w1000_2000s1000_2000f1_seed0</x:v>
      </x:c>
      <x:c r="B75" s="12" t="n">
        <x:v>200</x:v>
      </x:c>
      <x:c r="C75" s="12" t="n">
        <x:v>848</x:v>
      </x:c>
      <x:c r="D75" s="12" t="n">
        <x:v>879</x:v>
      </x:c>
      <x:c r="E75" s="12" t="n">
        <x:v>850</x:v>
      </x:c>
      <x:c r="F75" s="12" t="n">
        <x:v>560</x:v>
      </x:c>
      <x:c r="G75" s="12" t="n">
        <x:v>504</x:v>
      </x:c>
      <x:c r="H75" s="12" t="n">
        <x:f>MIN(C75:G75)</x:f>
        <x:v>504</x:v>
      </x:c>
      <x:c r="I75" s="14" t="n">
        <x:f>(C75-$H75)/$H75*100</x:f>
        <x:v>68.25396825396825</x:v>
      </x:c>
      <x:c r="J75" s="14" t="n">
        <x:f>(D75-$H75)/$H75*100</x:f>
        <x:v>74.40476190476191</x:v>
      </x:c>
      <x:c r="K75" s="14" t="n">
        <x:f>(E75-$H75)/$H75*100</x:f>
        <x:v>68.65079365079364</x:v>
      </x:c>
      <x:c r="L75" s="14" t="n">
        <x:f>(F75-$H75)/$H75*100</x:f>
        <x:v>11.11111111111111</x:v>
      </x:c>
      <x:c r="M75" s="14" t="n">
        <x:f>(G75-$H75)/$H75*100</x:f>
        <x:v>0</x:v>
      </x:c>
      <x:c r="N75" s="12" t="str">
        <x:f>IF(C75=$H75,"YES","NO")</x:f>
        <x:v>NO</x:v>
      </x:c>
      <x:c r="O75" s="12" t="str">
        <x:f>IF(D75=$H75,"YES","NO")</x:f>
        <x:v>NO</x:v>
      </x:c>
      <x:c r="P75" s="12" t="str">
        <x:f>IF(E75=$H75,"YES","NO")</x:f>
        <x:v>NO</x:v>
      </x:c>
      <x:c r="Q75" s="12" t="str">
        <x:f>IF(F75=$H75,"YES","NO")</x:f>
        <x:v>NO</x:v>
      </x:c>
      <x:c r="R75" s="12" t="str">
        <x:f>IF(G75=$H75,"YES","NO")</x:f>
        <x:v>YES</x:v>
      </x:c>
    </x:row>
    <x:row r="76">
      <x:c r="A76" s="44" t="str">
        <x:v>bpps_d10000n200m5w1000_2000s100_1000f0_seed0</x:v>
      </x:c>
      <x:c r="B76" s="12" t="n">
        <x:v>200</x:v>
      </x:c>
      <x:c r="C76" s="12" t="n">
        <x:v>38</x:v>
      </x:c>
      <x:c r="D76" s="12" t="n">
        <x:v>38</x:v>
      </x:c>
      <x:c r="E76" s="12" t="n">
        <x:v>38</x:v>
      </x:c>
      <x:c r="F76" s="12" t="n">
        <x:v>36</x:v>
      </x:c>
      <x:c r="G76" s="12" t="n">
        <x:v>35</x:v>
      </x:c>
      <x:c r="H76" s="12" t="n">
        <x:f>MIN(C76:G76)</x:f>
        <x:v>35</x:v>
      </x:c>
      <x:c r="I76" s="14" t="n">
        <x:f>(C76-$H76)/$H76*100</x:f>
        <x:v>8.571428571428571</x:v>
      </x:c>
      <x:c r="J76" s="14" t="n">
        <x:f>(D76-$H76)/$H76*100</x:f>
        <x:v>8.571428571428571</x:v>
      </x:c>
      <x:c r="K76" s="14" t="n">
        <x:f>(E76-$H76)/$H76*100</x:f>
        <x:v>8.571428571428571</x:v>
      </x:c>
      <x:c r="L76" s="14" t="n">
        <x:f>(F76-$H76)/$H76*100</x:f>
        <x:v>2.857142857142857</x:v>
      </x:c>
      <x:c r="M76" s="14" t="n">
        <x:f>(G76-$H76)/$H76*100</x:f>
        <x:v>0</x:v>
      </x:c>
      <x:c r="N76" s="12" t="str">
        <x:f>IF(C76=$H76,"YES","NO")</x:f>
        <x:v>NO</x:v>
      </x:c>
      <x:c r="O76" s="12" t="str">
        <x:f>IF(D76=$H76,"YES","NO")</x:f>
        <x:v>NO</x:v>
      </x:c>
      <x:c r="P76" s="12" t="str">
        <x:f>IF(E76=$H76,"YES","NO")</x:f>
        <x:v>NO</x:v>
      </x:c>
      <x:c r="Q76" s="12" t="str">
        <x:f>IF(F76=$H76,"YES","NO")</x:f>
        <x:v>NO</x:v>
      </x:c>
      <x:c r="R76" s="12" t="str">
        <x:f>IF(G76=$H76,"YES","NO")</x:f>
        <x:v>YES</x:v>
      </x:c>
    </x:row>
    <x:row r="77">
      <x:c r="A77" s="44" t="str">
        <x:v>bpps_d10000n200m5w1000_2000s100_1000f1_seed0</x:v>
      </x:c>
      <x:c r="B77" s="12" t="n">
        <x:v>200</x:v>
      </x:c>
      <x:c r="C77" s="12" t="n">
        <x:v>747</x:v>
      </x:c>
      <x:c r="D77" s="12" t="n">
        <x:v>752</x:v>
      </x:c>
      <x:c r="E77" s="12" t="n">
        <x:v>740</x:v>
      </x:c>
      <x:c r="F77" s="12" t="n">
        <x:v>483</x:v>
      </x:c>
      <x:c r="G77" s="12" t="n">
        <x:v>450</x:v>
      </x:c>
      <x:c r="H77" s="12" t="n">
        <x:f>MIN(C77:G77)</x:f>
        <x:v>450</x:v>
      </x:c>
      <x:c r="I77" s="14" t="n">
        <x:f>(C77-$H77)/$H77*100</x:f>
        <x:v>66</x:v>
      </x:c>
      <x:c r="J77" s="14" t="n">
        <x:f>(D77-$H77)/$H77*100</x:f>
        <x:v>67.11111111111111</x:v>
      </x:c>
      <x:c r="K77" s="14" t="n">
        <x:f>(E77-$H77)/$H77*100</x:f>
        <x:v>64.44444444444444</x:v>
      </x:c>
      <x:c r="L77" s="14" t="n">
        <x:f>(F77-$H77)/$H77*100</x:f>
        <x:v>7.333333333333333</x:v>
      </x:c>
      <x:c r="M77" s="14" t="n">
        <x:f>(G77-$H77)/$H77*100</x:f>
        <x:v>0</x:v>
      </x:c>
      <x:c r="N77" s="12" t="str">
        <x:f>IF(C77=$H77,"YES","NO")</x:f>
        <x:v>NO</x:v>
      </x:c>
      <x:c r="O77" s="12" t="str">
        <x:f>IF(D77=$H77,"YES","NO")</x:f>
        <x:v>NO</x:v>
      </x:c>
      <x:c r="P77" s="12" t="str">
        <x:f>IF(E77=$H77,"YES","NO")</x:f>
        <x:v>NO</x:v>
      </x:c>
      <x:c r="Q77" s="12" t="str">
        <x:f>IF(F77=$H77,"YES","NO")</x:f>
        <x:v>NO</x:v>
      </x:c>
      <x:c r="R77" s="12" t="str">
        <x:f>IF(G77=$H77,"YES","NO")</x:f>
        <x:v>YES</x:v>
      </x:c>
    </x:row>
    <x:row r="78">
      <x:c r="A78" s="44" t="str">
        <x:v>bpps_d10000n200m5w1000_2000s100_2000f0_seed0</x:v>
      </x:c>
      <x:c r="B78" s="12" t="n">
        <x:v>200</x:v>
      </x:c>
      <x:c r="C78" s="12" t="n">
        <x:v>43</x:v>
      </x:c>
      <x:c r="D78" s="12" t="n">
        <x:v>44</x:v>
      </x:c>
      <x:c r="E78" s="12" t="n">
        <x:v>43</x:v>
      </x:c>
      <x:c r="F78" s="12" t="n">
        <x:v>37</x:v>
      </x:c>
      <x:c r="G78" s="12" t="n">
        <x:v>37</x:v>
      </x:c>
      <x:c r="H78" s="12" t="n">
        <x:f>MIN(C78:G78)</x:f>
        <x:v>37</x:v>
      </x:c>
      <x:c r="I78" s="14" t="n">
        <x:f>(C78-$H78)/$H78*100</x:f>
        <x:v>16.216216216216218</x:v>
      </x:c>
      <x:c r="J78" s="14" t="n">
        <x:f>(D78-$H78)/$H78*100</x:f>
        <x:v>18.91891891891892</x:v>
      </x:c>
      <x:c r="K78" s="14" t="n">
        <x:f>(E78-$H78)/$H78*100</x:f>
        <x:v>16.216216216216218</x:v>
      </x:c>
      <x:c r="L78" s="14" t="n">
        <x:f>(F78-$H78)/$H78*100</x:f>
        <x:v>0</x:v>
      </x:c>
      <x:c r="M78" s="14" t="n">
        <x:f>(G78-$H78)/$H78*100</x:f>
        <x:v>0</x:v>
      </x:c>
      <x:c r="N78" s="12" t="str">
        <x:f>IF(C78=$H78,"YES","NO")</x:f>
        <x:v>NO</x:v>
      </x:c>
      <x:c r="O78" s="12" t="str">
        <x:f>IF(D78=$H78,"YES","NO")</x:f>
        <x:v>NO</x:v>
      </x:c>
      <x:c r="P78" s="12" t="str">
        <x:f>IF(E78=$H78,"YES","NO")</x:f>
        <x:v>NO</x:v>
      </x:c>
      <x:c r="Q78" s="12" t="str">
        <x:f>IF(F78=$H78,"YES","NO")</x:f>
        <x:v>YES</x:v>
      </x:c>
      <x:c r="R78" s="12" t="str">
        <x:f>IF(G78=$H78,"YES","NO")</x:f>
        <x:v>YES</x:v>
      </x:c>
    </x:row>
    <x:row r="79">
      <x:c r="A79" s="44" t="str">
        <x:v>bpps_d10000n200m5w1000_2000s100_2000f1_seed0</x:v>
      </x:c>
      <x:c r="B79" s="12" t="n">
        <x:v>200</x:v>
      </x:c>
      <x:c r="C79" s="12" t="n">
        <x:v>803</x:v>
      </x:c>
      <x:c r="D79" s="12" t="n">
        <x:v>808</x:v>
      </x:c>
      <x:c r="E79" s="12" t="n">
        <x:v>769</x:v>
      </x:c>
      <x:c r="F79" s="12" t="n">
        <x:v>504</x:v>
      </x:c>
      <x:c r="G79" s="12" t="n">
        <x:v>475</x:v>
      </x:c>
      <x:c r="H79" s="12" t="n">
        <x:f>MIN(C79:G79)</x:f>
        <x:v>475</x:v>
      </x:c>
      <x:c r="I79" s="14" t="n">
        <x:f>(C79-$H79)/$H79*100</x:f>
        <x:v>69.05263157894737</x:v>
      </x:c>
      <x:c r="J79" s="14" t="n">
        <x:f>(D79-$H79)/$H79*100</x:f>
        <x:v>70.10526315789474</x:v>
      </x:c>
      <x:c r="K79" s="14" t="n">
        <x:f>(E79-$H79)/$H79*100</x:f>
        <x:v>61.89473684210526</x:v>
      </x:c>
      <x:c r="L79" s="14" t="n">
        <x:f>(F79-$H79)/$H79*100</x:f>
        <x:v>6.105263157894736</x:v>
      </x:c>
      <x:c r="M79" s="14" t="n">
        <x:f>(G79-$H79)/$H79*100</x:f>
        <x:v>0</x:v>
      </x:c>
      <x:c r="N79" s="12" t="str">
        <x:f>IF(C79=$H79,"YES","NO")</x:f>
        <x:v>NO</x:v>
      </x:c>
      <x:c r="O79" s="12" t="str">
        <x:f>IF(D79=$H79,"YES","NO")</x:f>
        <x:v>NO</x:v>
      </x:c>
      <x:c r="P79" s="12" t="str">
        <x:f>IF(E79=$H79,"YES","NO")</x:f>
        <x:v>NO</x:v>
      </x:c>
      <x:c r="Q79" s="12" t="str">
        <x:f>IF(F79=$H79,"YES","NO")</x:f>
        <x:v>NO</x:v>
      </x:c>
      <x:c r="R79" s="12" t="str">
        <x:f>IF(G79=$H79,"YES","NO")</x:f>
        <x:v>YES</x:v>
      </x:c>
    </x:row>
    <x:row r="80">
      <x:c r="A80" s="44" t="str">
        <x:v>bpps_d10000n200m5w100_1000s1000_2000f0_seed0</x:v>
      </x:c>
      <x:c r="B80" s="12" t="n">
        <x:v>200</x:v>
      </x:c>
      <x:c r="C80" s="12" t="n">
        <x:v>22</x:v>
      </x:c>
      <x:c r="D80" s="12" t="n">
        <x:v>23</x:v>
      </x:c>
      <x:c r="E80" s="12" t="n">
        <x:v>20</x:v>
      </x:c>
      <x:c r="F80" s="12" t="n">
        <x:v>18</x:v>
      </x:c>
      <x:c r="G80" s="12" t="n">
        <x:v>16</x:v>
      </x:c>
      <x:c r="H80" s="12" t="n">
        <x:f>MIN(C80:G80)</x:f>
        <x:v>16</x:v>
      </x:c>
      <x:c r="I80" s="14" t="n">
        <x:f>(C80-$H80)/$H80*100</x:f>
        <x:v>37.5</x:v>
      </x:c>
      <x:c r="J80" s="14" t="n">
        <x:f>(D80-$H80)/$H80*100</x:f>
        <x:v>43.75</x:v>
      </x:c>
      <x:c r="K80" s="14" t="n">
        <x:f>(E80-$H80)/$H80*100</x:f>
        <x:v>25</x:v>
      </x:c>
      <x:c r="L80" s="14" t="n">
        <x:f>(F80-$H80)/$H80*100</x:f>
        <x:v>12.5</x:v>
      </x:c>
      <x:c r="M80" s="14" t="n">
        <x:f>(G80-$H80)/$H80*100</x:f>
        <x:v>0</x:v>
      </x:c>
      <x:c r="N80" s="12" t="str">
        <x:f>IF(C80=$H80,"YES","NO")</x:f>
        <x:v>NO</x:v>
      </x:c>
      <x:c r="O80" s="12" t="str">
        <x:f>IF(D80=$H80,"YES","NO")</x:f>
        <x:v>NO</x:v>
      </x:c>
      <x:c r="P80" s="12" t="str">
        <x:f>IF(E80=$H80,"YES","NO")</x:f>
        <x:v>NO</x:v>
      </x:c>
      <x:c r="Q80" s="12" t="str">
        <x:f>IF(F80=$H80,"YES","NO")</x:f>
        <x:v>NO</x:v>
      </x:c>
      <x:c r="R80" s="12" t="str">
        <x:f>IF(G80=$H80,"YES","NO")</x:f>
        <x:v>YES</x:v>
      </x:c>
    </x:row>
    <x:row r="81">
      <x:c r="A81" s="44" t="str">
        <x:v>bpps_d10000n200m5w100_1000s1000_2000f1_seed0</x:v>
      </x:c>
      <x:c r="B81" s="12" t="n">
        <x:v>200</x:v>
      </x:c>
      <x:c r="C81" s="12" t="n">
        <x:v>447</x:v>
      </x:c>
      <x:c r="D81" s="12" t="n">
        <x:v>480</x:v>
      </x:c>
      <x:c r="E81" s="12" t="n">
        <x:v>392</x:v>
      </x:c>
      <x:c r="F81" s="12" t="n">
        <x:v>303</x:v>
      </x:c>
      <x:c r="G81" s="12" t="n">
        <x:v>221</x:v>
      </x:c>
      <x:c r="H81" s="12" t="n">
        <x:f>MIN(C81:G81)</x:f>
        <x:v>221</x:v>
      </x:c>
      <x:c r="I81" s="14" t="n">
        <x:f>(C81-$H81)/$H81*100</x:f>
        <x:v>102.26244343891402</x:v>
      </x:c>
      <x:c r="J81" s="14" t="n">
        <x:f>(D81-$H81)/$H81*100</x:f>
        <x:v>117.19457013574662</x:v>
      </x:c>
      <x:c r="K81" s="14" t="n">
        <x:f>(E81-$H81)/$H81*100</x:f>
        <x:v>77.37556561085974</x:v>
      </x:c>
      <x:c r="L81" s="14" t="n">
        <x:f>(F81-$H81)/$H81*100</x:f>
        <x:v>37.10407239819005</x:v>
      </x:c>
      <x:c r="M81" s="14" t="n">
        <x:f>(G81-$H81)/$H81*100</x:f>
        <x:v>0</x:v>
      </x:c>
      <x:c r="N81" s="12" t="str">
        <x:f>IF(C81=$H81,"YES","NO")</x:f>
        <x:v>NO</x:v>
      </x:c>
      <x:c r="O81" s="12" t="str">
        <x:f>IF(D81=$H81,"YES","NO")</x:f>
        <x:v>NO</x:v>
      </x:c>
      <x:c r="P81" s="12" t="str">
        <x:f>IF(E81=$H81,"YES","NO")</x:f>
        <x:v>NO</x:v>
      </x:c>
      <x:c r="Q81" s="12" t="str">
        <x:f>IF(F81=$H81,"YES","NO")</x:f>
        <x:v>NO</x:v>
      </x:c>
      <x:c r="R81" s="12" t="str">
        <x:f>IF(G81=$H81,"YES","NO")</x:f>
        <x:v>YES</x:v>
      </x:c>
    </x:row>
    <x:row r="82">
      <x:c r="A82" s="44" t="str">
        <x:v>bpps_d10000n200m5w100_1000s100_1000f0_seed0</x:v>
      </x:c>
      <x:c r="B82" s="12" t="n">
        <x:v>200</x:v>
      </x:c>
      <x:c r="C82" s="12" t="n">
        <x:v>14</x:v>
      </x:c>
      <x:c r="D82" s="12" t="n">
        <x:v>14</x:v>
      </x:c>
      <x:c r="E82" s="12" t="n">
        <x:v>14</x:v>
      </x:c>
      <x:c r="F82" s="12" t="n">
        <x:v>19</x:v>
      </x:c>
      <x:c r="G82" s="12" t="n">
        <x:v>14</x:v>
      </x:c>
      <x:c r="H82" s="12" t="n">
        <x:f>MIN(C82:G82)</x:f>
        <x:v>14</x:v>
      </x:c>
      <x:c r="I82" s="14" t="n">
        <x:f>(C82-$H82)/$H82*100</x:f>
        <x:v>0</x:v>
      </x:c>
      <x:c r="J82" s="14" t="n">
        <x:f>(D82-$H82)/$H82*100</x:f>
        <x:v>0</x:v>
      </x:c>
      <x:c r="K82" s="14" t="n">
        <x:f>(E82-$H82)/$H82*100</x:f>
        <x:v>0</x:v>
      </x:c>
      <x:c r="L82" s="14" t="n">
        <x:f>(F82-$H82)/$H82*100</x:f>
        <x:v>35.714285714285715</x:v>
      </x:c>
      <x:c r="M82" s="14" t="n">
        <x:f>(G82-$H82)/$H82*100</x:f>
        <x:v>0</x:v>
      </x:c>
      <x:c r="N82" s="12" t="str">
        <x:f>IF(C82=$H82,"YES","NO")</x:f>
        <x:v>YES</x:v>
      </x:c>
      <x:c r="O82" s="12" t="str">
        <x:f>IF(D82=$H82,"YES","NO")</x:f>
        <x:v>YES</x:v>
      </x:c>
      <x:c r="P82" s="12" t="str">
        <x:f>IF(E82=$H82,"YES","NO")</x:f>
        <x:v>YES</x:v>
      </x:c>
      <x:c r="Q82" s="12" t="str">
        <x:f>IF(F82=$H82,"YES","NO")</x:f>
        <x:v>NO</x:v>
      </x:c>
      <x:c r="R82" s="12" t="str">
        <x:f>IF(G82=$H82,"YES","NO")</x:f>
        <x:v>YES</x:v>
      </x:c>
    </x:row>
    <x:row r="83">
      <x:c r="A83" s="44" t="str">
        <x:v>bpps_d10000n200m5w100_1000s100_1000f1_seed0</x:v>
      </x:c>
      <x:c r="B83" s="12" t="n">
        <x:v>200</x:v>
      </x:c>
      <x:c r="C83" s="12" t="n">
        <x:v>333</x:v>
      </x:c>
      <x:c r="D83" s="12" t="n">
        <x:v>342</x:v>
      </x:c>
      <x:c r="E83" s="12" t="n">
        <x:v>300</x:v>
      </x:c>
      <x:c r="F83" s="12" t="n">
        <x:v>272</x:v>
      </x:c>
      <x:c r="G83" s="12" t="n">
        <x:v>214</x:v>
      </x:c>
      <x:c r="H83" s="12" t="n">
        <x:f>MIN(C83:G83)</x:f>
        <x:v>214</x:v>
      </x:c>
      <x:c r="I83" s="14" t="n">
        <x:f>(C83-$H83)/$H83*100</x:f>
        <x:v>55.60747663551402</x:v>
      </x:c>
      <x:c r="J83" s="14" t="n">
        <x:f>(D83-$H83)/$H83*100</x:f>
        <x:v>59.813084112149525</x:v>
      </x:c>
      <x:c r="K83" s="14" t="n">
        <x:f>(E83-$H83)/$H83*100</x:f>
        <x:v>40.18691588785047</x:v>
      </x:c>
      <x:c r="L83" s="14" t="n">
        <x:f>(F83-$H83)/$H83*100</x:f>
        <x:v>27.102803738317753</x:v>
      </x:c>
      <x:c r="M83" s="14" t="n">
        <x:f>(G83-$H83)/$H83*100</x:f>
        <x:v>0</x:v>
      </x:c>
      <x:c r="N83" s="12" t="str">
        <x:f>IF(C83=$H83,"YES","NO")</x:f>
        <x:v>NO</x:v>
      </x:c>
      <x:c r="O83" s="12" t="str">
        <x:f>IF(D83=$H83,"YES","NO")</x:f>
        <x:v>NO</x:v>
      </x:c>
      <x:c r="P83" s="12" t="str">
        <x:f>IF(E83=$H83,"YES","NO")</x:f>
        <x:v>NO</x:v>
      </x:c>
      <x:c r="Q83" s="12" t="str">
        <x:f>IF(F83=$H83,"YES","NO")</x:f>
        <x:v>NO</x:v>
      </x:c>
      <x:c r="R83" s="12" t="str">
        <x:f>IF(G83=$H83,"YES","NO")</x:f>
        <x:v>YES</x:v>
      </x:c>
    </x:row>
    <x:row r="84">
      <x:c r="A84" s="44" t="str">
        <x:v>bpps_d10000n200m5w100_1000s100_2000f0_seed0</x:v>
      </x:c>
      <x:c r="B84" s="12" t="n">
        <x:v>200</x:v>
      </x:c>
      <x:c r="C84" s="12" t="n">
        <x:v>18</x:v>
      </x:c>
      <x:c r="D84" s="12" t="n">
        <x:v>18</x:v>
      </x:c>
      <x:c r="E84" s="12" t="n">
        <x:v>16</x:v>
      </x:c>
      <x:c r="F84" s="12" t="n">
        <x:v>18</x:v>
      </x:c>
      <x:c r="G84" s="12" t="n">
        <x:v>14</x:v>
      </x:c>
      <x:c r="H84" s="12" t="n">
        <x:f>MIN(C84:G84)</x:f>
        <x:v>14</x:v>
      </x:c>
      <x:c r="I84" s="14" t="n">
        <x:f>(C84-$H84)/$H84*100</x:f>
        <x:v>28.57142857142857</x:v>
      </x:c>
      <x:c r="J84" s="14" t="n">
        <x:f>(D84-$H84)/$H84*100</x:f>
        <x:v>28.57142857142857</x:v>
      </x:c>
      <x:c r="K84" s="14" t="n">
        <x:f>(E84-$H84)/$H84*100</x:f>
        <x:v>14.285714285714285</x:v>
      </x:c>
      <x:c r="L84" s="14" t="n">
        <x:f>(F84-$H84)/$H84*100</x:f>
        <x:v>28.57142857142857</x:v>
      </x:c>
      <x:c r="M84" s="14" t="n">
        <x:f>(G84-$H84)/$H84*100</x:f>
        <x:v>0</x:v>
      </x:c>
      <x:c r="N84" s="12" t="str">
        <x:f>IF(C84=$H84,"YES","NO")</x:f>
        <x:v>NO</x:v>
      </x:c>
      <x:c r="O84" s="12" t="str">
        <x:f>IF(D84=$H84,"YES","NO")</x:f>
        <x:v>NO</x:v>
      </x:c>
      <x:c r="P84" s="12" t="str">
        <x:f>IF(E84=$H84,"YES","NO")</x:f>
        <x:v>NO</x:v>
      </x:c>
      <x:c r="Q84" s="12" t="str">
        <x:f>IF(F84=$H84,"YES","NO")</x:f>
        <x:v>NO</x:v>
      </x:c>
      <x:c r="R84" s="12" t="str">
        <x:f>IF(G84=$H84,"YES","NO")</x:f>
        <x:v>YES</x:v>
      </x:c>
    </x:row>
    <x:row r="85">
      <x:c r="A85" s="44" t="str">
        <x:v>bpps_d10000n200m5w100_1000s100_2000f1_seed0</x:v>
      </x:c>
      <x:c r="B85" s="12" t="n">
        <x:v>200</x:v>
      </x:c>
      <x:c r="C85" s="12" t="n">
        <x:v>392</x:v>
      </x:c>
      <x:c r="D85" s="12" t="n">
        <x:v>387</x:v>
      </x:c>
      <x:c r="E85" s="12" t="n">
        <x:v>357</x:v>
      </x:c>
      <x:c r="F85" s="12" t="n">
        <x:v>266</x:v>
      </x:c>
      <x:c r="G85" s="12" t="n">
        <x:v>216</x:v>
      </x:c>
      <x:c r="H85" s="12" t="n">
        <x:f>MIN(C85:G85)</x:f>
        <x:v>216</x:v>
      </x:c>
      <x:c r="I85" s="14" t="n">
        <x:f>(C85-$H85)/$H85*100</x:f>
        <x:v>81.48148148148148</x:v>
      </x:c>
      <x:c r="J85" s="14" t="n">
        <x:f>(D85-$H85)/$H85*100</x:f>
        <x:v>79.16666666666666</x:v>
      </x:c>
      <x:c r="K85" s="14" t="n">
        <x:f>(E85-$H85)/$H85*100</x:f>
        <x:v>65.27777777777779</x:v>
      </x:c>
      <x:c r="L85" s="14" t="n">
        <x:f>(F85-$H85)/$H85*100</x:f>
        <x:v>23.14814814814815</x:v>
      </x:c>
      <x:c r="M85" s="14" t="n">
        <x:f>(G85-$H85)/$H85*100</x:f>
        <x:v>0</x:v>
      </x:c>
      <x:c r="N85" s="12" t="str">
        <x:f>IF(C85=$H85,"YES","NO")</x:f>
        <x:v>NO</x:v>
      </x:c>
      <x:c r="O85" s="12" t="str">
        <x:f>IF(D85=$H85,"YES","NO")</x:f>
        <x:v>NO</x:v>
      </x:c>
      <x:c r="P85" s="12" t="str">
        <x:f>IF(E85=$H85,"YES","NO")</x:f>
        <x:v>NO</x:v>
      </x:c>
      <x:c r="Q85" s="12" t="str">
        <x:f>IF(F85=$H85,"YES","NO")</x:f>
        <x:v>NO</x:v>
      </x:c>
      <x:c r="R85" s="12" t="str">
        <x:f>IF(G85=$H85,"YES","NO")</x:f>
        <x:v>YES</x:v>
      </x:c>
    </x:row>
    <x:row r="86">
      <x:c r="A86" s="44" t="str">
        <x:v>bpps_d10000n200m5w100_3000s1000_2000f0_seed0</x:v>
      </x:c>
      <x:c r="B86" s="12" t="n">
        <x:v>200</x:v>
      </x:c>
      <x:c r="C86" s="12" t="n">
        <x:v>45</x:v>
      </x:c>
      <x:c r="D86" s="12" t="n">
        <x:v>45</x:v>
      </x:c>
      <x:c r="E86" s="12" t="n">
        <x:v>44</x:v>
      </x:c>
      <x:c r="F86" s="12" t="n">
        <x:v>40</x:v>
      </x:c>
      <x:c r="G86" s="12" t="n">
        <x:v>38</x:v>
      </x:c>
      <x:c r="H86" s="12" t="n">
        <x:f>MIN(C86:G86)</x:f>
        <x:v>38</x:v>
      </x:c>
      <x:c r="I86" s="14" t="n">
        <x:f>(C86-$H86)/$H86*100</x:f>
        <x:v>18.421052631578945</x:v>
      </x:c>
      <x:c r="J86" s="14" t="n">
        <x:f>(D86-$H86)/$H86*100</x:f>
        <x:v>18.421052631578945</x:v>
      </x:c>
      <x:c r="K86" s="14" t="n">
        <x:f>(E86-$H86)/$H86*100</x:f>
        <x:v>15.789473684210526</x:v>
      </x:c>
      <x:c r="L86" s="14" t="n">
        <x:f>(F86-$H86)/$H86*100</x:f>
        <x:v>5.263157894736842</x:v>
      </x:c>
      <x:c r="M86" s="14" t="n">
        <x:f>(G86-$H86)/$H86*100</x:f>
        <x:v>0</x:v>
      </x:c>
      <x:c r="N86" s="12" t="str">
        <x:f>IF(C86=$H86,"YES","NO")</x:f>
        <x:v>NO</x:v>
      </x:c>
      <x:c r="O86" s="12" t="str">
        <x:f>IF(D86=$H86,"YES","NO")</x:f>
        <x:v>NO</x:v>
      </x:c>
      <x:c r="P86" s="12" t="str">
        <x:f>IF(E86=$H86,"YES","NO")</x:f>
        <x:v>NO</x:v>
      </x:c>
      <x:c r="Q86" s="12" t="str">
        <x:f>IF(F86=$H86,"YES","NO")</x:f>
        <x:v>NO</x:v>
      </x:c>
      <x:c r="R86" s="12" t="str">
        <x:f>IF(G86=$H86,"YES","NO")</x:f>
        <x:v>YES</x:v>
      </x:c>
    </x:row>
    <x:row r="87">
      <x:c r="A87" s="44" t="str">
        <x:v>bpps_d10000n200m5w100_3000s1000_2000f1_seed0</x:v>
      </x:c>
      <x:c r="B87" s="12" t="n">
        <x:v>200</x:v>
      </x:c>
      <x:c r="C87" s="12" t="n">
        <x:v>774</x:v>
      </x:c>
      <x:c r="D87" s="12" t="n">
        <x:v>770</x:v>
      </x:c>
      <x:c r="E87" s="12" t="n">
        <x:v>736</x:v>
      </x:c>
      <x:c r="F87" s="12" t="n">
        <x:v>555</x:v>
      </x:c>
      <x:c r="G87" s="12" t="n">
        <x:v>506</x:v>
      </x:c>
      <x:c r="H87" s="12" t="n">
        <x:f>MIN(C87:G87)</x:f>
        <x:v>506</x:v>
      </x:c>
      <x:c r="I87" s="14" t="n">
        <x:f>(C87-$H87)/$H87*100</x:f>
        <x:v>52.96442687747036</x:v>
      </x:c>
      <x:c r="J87" s="14" t="n">
        <x:f>(D87-$H87)/$H87*100</x:f>
        <x:v>52.17391304347826</x:v>
      </x:c>
      <x:c r="K87" s="14" t="n">
        <x:f>(E87-$H87)/$H87*100</x:f>
        <x:v>45.45454545454545</x:v>
      </x:c>
      <x:c r="L87" s="14" t="n">
        <x:f>(F87-$H87)/$H87*100</x:f>
        <x:v>9.683794466403162</x:v>
      </x:c>
      <x:c r="M87" s="14" t="n">
        <x:f>(G87-$H87)/$H87*100</x:f>
        <x:v>0</x:v>
      </x:c>
      <x:c r="N87" s="12" t="str">
        <x:f>IF(C87=$H87,"YES","NO")</x:f>
        <x:v>NO</x:v>
      </x:c>
      <x:c r="O87" s="12" t="str">
        <x:f>IF(D87=$H87,"YES","NO")</x:f>
        <x:v>NO</x:v>
      </x:c>
      <x:c r="P87" s="12" t="str">
        <x:f>IF(E87=$H87,"YES","NO")</x:f>
        <x:v>NO</x:v>
      </x:c>
      <x:c r="Q87" s="12" t="str">
        <x:f>IF(F87=$H87,"YES","NO")</x:f>
        <x:v>NO</x:v>
      </x:c>
      <x:c r="R87" s="12" t="str">
        <x:f>IF(G87=$H87,"YES","NO")</x:f>
        <x:v>YES</x:v>
      </x:c>
    </x:row>
    <x:row r="88">
      <x:c r="A88" s="44" t="str">
        <x:v>bpps_d10000n200m5w100_3000s100_1000f0_seed0</x:v>
      </x:c>
      <x:c r="B88" s="12" t="n">
        <x:v>200</x:v>
      </x:c>
      <x:c r="C88" s="12" t="n">
        <x:v>37</x:v>
      </x:c>
      <x:c r="D88" s="12" t="n">
        <x:v>37</x:v>
      </x:c>
      <x:c r="E88" s="12" t="n">
        <x:v>37</x:v>
      </x:c>
      <x:c r="F88" s="12" t="n">
        <x:v>36</x:v>
      </x:c>
      <x:c r="G88" s="12" t="n">
        <x:v>34</x:v>
      </x:c>
      <x:c r="H88" s="12" t="n">
        <x:f>MIN(C88:G88)</x:f>
        <x:v>34</x:v>
      </x:c>
      <x:c r="I88" s="14" t="n">
        <x:f>(C88-$H88)/$H88*100</x:f>
        <x:v>8.823529411764707</x:v>
      </x:c>
      <x:c r="J88" s="14" t="n">
        <x:f>(D88-$H88)/$H88*100</x:f>
        <x:v>8.823529411764707</x:v>
      </x:c>
      <x:c r="K88" s="14" t="n">
        <x:f>(E88-$H88)/$H88*100</x:f>
        <x:v>8.823529411764707</x:v>
      </x:c>
      <x:c r="L88" s="14" t="n">
        <x:f>(F88-$H88)/$H88*100</x:f>
        <x:v>5.88235294117647</x:v>
      </x:c>
      <x:c r="M88" s="14" t="n">
        <x:f>(G88-$H88)/$H88*100</x:f>
        <x:v>0</x:v>
      </x:c>
      <x:c r="N88" s="12" t="str">
        <x:f>IF(C88=$H88,"YES","NO")</x:f>
        <x:v>NO</x:v>
      </x:c>
      <x:c r="O88" s="12" t="str">
        <x:f>IF(D88=$H88,"YES","NO")</x:f>
        <x:v>NO</x:v>
      </x:c>
      <x:c r="P88" s="12" t="str">
        <x:f>IF(E88=$H88,"YES","NO")</x:f>
        <x:v>NO</x:v>
      </x:c>
      <x:c r="Q88" s="12" t="str">
        <x:f>IF(F88=$H88,"YES","NO")</x:f>
        <x:v>NO</x:v>
      </x:c>
      <x:c r="R88" s="12" t="str">
        <x:f>IF(G88=$H88,"YES","NO")</x:f>
        <x:v>YES</x:v>
      </x:c>
    </x:row>
    <x:row r="89">
      <x:c r="A89" s="44" t="str">
        <x:v>bpps_d10000n200m5w100_3000s100_1000f1_seed0</x:v>
      </x:c>
      <x:c r="B89" s="12" t="n">
        <x:v>200</x:v>
      </x:c>
      <x:c r="C89" s="12" t="n">
        <x:v>679</x:v>
      </x:c>
      <x:c r="D89" s="12" t="n">
        <x:v>672</x:v>
      </x:c>
      <x:c r="E89" s="12" t="n">
        <x:v>648</x:v>
      </x:c>
      <x:c r="F89" s="12" t="n">
        <x:v>498</x:v>
      </x:c>
      <x:c r="G89" s="12" t="n">
        <x:v>458</x:v>
      </x:c>
      <x:c r="H89" s="12" t="n">
        <x:f>MIN(C89:G89)</x:f>
        <x:v>458</x:v>
      </x:c>
      <x:c r="I89" s="14" t="n">
        <x:f>(C89-$H89)/$H89*100</x:f>
        <x:v>48.25327510917031</x:v>
      </x:c>
      <x:c r="J89" s="14" t="n">
        <x:f>(D89-$H89)/$H89*100</x:f>
        <x:v>46.724890829694324</x:v>
      </x:c>
      <x:c r="K89" s="14" t="n">
        <x:f>(E89-$H89)/$H89*100</x:f>
        <x:v>41.48471615720524</x:v>
      </x:c>
      <x:c r="L89" s="14" t="n">
        <x:f>(F89-$H89)/$H89*100</x:f>
        <x:v>8.73362445414847</x:v>
      </x:c>
      <x:c r="M89" s="14" t="n">
        <x:f>(G89-$H89)/$H89*100</x:f>
        <x:v>0</x:v>
      </x:c>
      <x:c r="N89" s="12" t="str">
        <x:f>IF(C89=$H89,"YES","NO")</x:f>
        <x:v>NO</x:v>
      </x:c>
      <x:c r="O89" s="12" t="str">
        <x:f>IF(D89=$H89,"YES","NO")</x:f>
        <x:v>NO</x:v>
      </x:c>
      <x:c r="P89" s="12" t="str">
        <x:f>IF(E89=$H89,"YES","NO")</x:f>
        <x:v>NO</x:v>
      </x:c>
      <x:c r="Q89" s="12" t="str">
        <x:f>IF(F89=$H89,"YES","NO")</x:f>
        <x:v>NO</x:v>
      </x:c>
      <x:c r="R89" s="12" t="str">
        <x:f>IF(G89=$H89,"YES","NO")</x:f>
        <x:v>YES</x:v>
      </x:c>
    </x:row>
    <x:row r="90">
      <x:c r="A90" s="44" t="str">
        <x:v>bpps_d10000n200m5w100_3000s100_2000f0_seed0</x:v>
      </x:c>
      <x:c r="B90" s="12" t="n">
        <x:v>200</x:v>
      </x:c>
      <x:c r="C90" s="12" t="n">
        <x:v>39</x:v>
      </x:c>
      <x:c r="D90" s="12" t="n">
        <x:v>39</x:v>
      </x:c>
      <x:c r="E90" s="12" t="n">
        <x:v>39</x:v>
      </x:c>
      <x:c r="F90" s="12" t="n">
        <x:v>37</x:v>
      </x:c>
      <x:c r="G90" s="12" t="n">
        <x:v>35</x:v>
      </x:c>
      <x:c r="H90" s="12" t="n">
        <x:f>MIN(C90:G90)</x:f>
        <x:v>35</x:v>
      </x:c>
      <x:c r="I90" s="14" t="n">
        <x:f>(C90-$H90)/$H90*100</x:f>
        <x:v>11.428571428571429</x:v>
      </x:c>
      <x:c r="J90" s="14" t="n">
        <x:f>(D90-$H90)/$H90*100</x:f>
        <x:v>11.428571428571429</x:v>
      </x:c>
      <x:c r="K90" s="14" t="n">
        <x:f>(E90-$H90)/$H90*100</x:f>
        <x:v>11.428571428571429</x:v>
      </x:c>
      <x:c r="L90" s="14" t="n">
        <x:f>(F90-$H90)/$H90*100</x:f>
        <x:v>5.714285714285714</x:v>
      </x:c>
      <x:c r="M90" s="14" t="n">
        <x:f>(G90-$H90)/$H90*100</x:f>
        <x:v>0</x:v>
      </x:c>
      <x:c r="N90" s="12" t="str">
        <x:f>IF(C90=$H90,"YES","NO")</x:f>
        <x:v>NO</x:v>
      </x:c>
      <x:c r="O90" s="12" t="str">
        <x:f>IF(D90=$H90,"YES","NO")</x:f>
        <x:v>NO</x:v>
      </x:c>
      <x:c r="P90" s="12" t="str">
        <x:f>IF(E90=$H90,"YES","NO")</x:f>
        <x:v>NO</x:v>
      </x:c>
      <x:c r="Q90" s="12" t="str">
        <x:f>IF(F90=$H90,"YES","NO")</x:f>
        <x:v>NO</x:v>
      </x:c>
      <x:c r="R90" s="12" t="str">
        <x:f>IF(G90=$H90,"YES","NO")</x:f>
        <x:v>YES</x:v>
      </x:c>
    </x:row>
    <x:row r="91">
      <x:c r="A91" s="44" t="str">
        <x:v>bpps_d10000n200m5w100_3000s100_2000f1_seed0</x:v>
      </x:c>
      <x:c r="B91" s="12" t="n">
        <x:v>200</x:v>
      </x:c>
      <x:c r="C91" s="12" t="n">
        <x:v>732</x:v>
      </x:c>
      <x:c r="D91" s="12" t="n">
        <x:v>738</x:v>
      </x:c>
      <x:c r="E91" s="12" t="n">
        <x:v>715</x:v>
      </x:c>
      <x:c r="F91" s="12" t="n">
        <x:v>510</x:v>
      </x:c>
      <x:c r="G91" s="12" t="n">
        <x:v>469</x:v>
      </x:c>
      <x:c r="H91" s="12" t="n">
        <x:f>MIN(C91:G91)</x:f>
        <x:v>469</x:v>
      </x:c>
      <x:c r="I91" s="14" t="n">
        <x:f>(C91-$H91)/$H91*100</x:f>
        <x:v>56.07675906183369</x:v>
      </x:c>
      <x:c r="J91" s="14" t="n">
        <x:f>(D91-$H91)/$H91*100</x:f>
        <x:v>57.356076759061835</x:v>
      </x:c>
      <x:c r="K91" s="14" t="n">
        <x:f>(E91-$H91)/$H91*100</x:f>
        <x:v>52.45202558635395</x:v>
      </x:c>
      <x:c r="L91" s="14" t="n">
        <x:f>(F91-$H91)/$H91*100</x:f>
        <x:v>8.742004264392325</x:v>
      </x:c>
      <x:c r="M91" s="14" t="n">
        <x:f>(G91-$H91)/$H91*100</x:f>
        <x:v>0</x:v>
      </x:c>
      <x:c r="N91" s="12" t="str">
        <x:f>IF(C91=$H91,"YES","NO")</x:f>
        <x:v>NO</x:v>
      </x:c>
      <x:c r="O91" s="12" t="str">
        <x:f>IF(D91=$H91,"YES","NO")</x:f>
        <x:v>NO</x:v>
      </x:c>
      <x:c r="P91" s="12" t="str">
        <x:f>IF(E91=$H91,"YES","NO")</x:f>
        <x:v>NO</x:v>
      </x:c>
      <x:c r="Q91" s="12" t="str">
        <x:f>IF(F91=$H91,"YES","NO")</x:f>
        <x:v>NO</x:v>
      </x:c>
      <x:c r="R91" s="12" t="str">
        <x:f>IF(G91=$H91,"YES","NO")</x:f>
        <x:v>YES</x:v>
      </x:c>
    </x:row>
    <x:row r="92">
      <x:c r="A92" s="44" t="str">
        <x:v>bpps_d10000n200m5w2000_3000s1000_2000f0_seed0</x:v>
      </x:c>
      <x:c r="B92" s="12" t="n">
        <x:v>200</x:v>
      </x:c>
      <x:c r="C92" s="12" t="n">
        <x:v>78</x:v>
      </x:c>
      <x:c r="D92" s="12" t="n">
        <x:v>78</x:v>
      </x:c>
      <x:c r="E92" s="12" t="n">
        <x:v>78</x:v>
      </x:c>
      <x:c r="F92" s="12" t="n">
        <x:v>65</x:v>
      </x:c>
      <x:c r="G92" s="12" t="n">
        <x:v>65</x:v>
      </x:c>
      <x:c r="H92" s="12" t="n">
        <x:f>MIN(C92:G92)</x:f>
        <x:v>65</x:v>
      </x:c>
      <x:c r="I92" s="14" t="n">
        <x:f>(C92-$H92)/$H92*100</x:f>
        <x:v>20</x:v>
      </x:c>
      <x:c r="J92" s="14" t="n">
        <x:f>(D92-$H92)/$H92*100</x:f>
        <x:v>20</x:v>
      </x:c>
      <x:c r="K92" s="14" t="n">
        <x:f>(E92-$H92)/$H92*100</x:f>
        <x:v>20</x:v>
      </x:c>
      <x:c r="L92" s="14" t="n">
        <x:f>(F92-$H92)/$H92*100</x:f>
        <x:v>0</x:v>
      </x:c>
      <x:c r="M92" s="14" t="n">
        <x:f>(G92-$H92)/$H92*100</x:f>
        <x:v>0</x:v>
      </x:c>
      <x:c r="N92" s="12" t="str">
        <x:f>IF(C92=$H92,"YES","NO")</x:f>
        <x:v>NO</x:v>
      </x:c>
      <x:c r="O92" s="12" t="str">
        <x:f>IF(D92=$H92,"YES","NO")</x:f>
        <x:v>NO</x:v>
      </x:c>
      <x:c r="P92" s="12" t="str">
        <x:f>IF(E92=$H92,"YES","NO")</x:f>
        <x:v>NO</x:v>
      </x:c>
      <x:c r="Q92" s="12" t="str">
        <x:f>IF(F92=$H92,"YES","NO")</x:f>
        <x:v>YES</x:v>
      </x:c>
      <x:c r="R92" s="12" t="str">
        <x:f>IF(G92=$H92,"YES","NO")</x:f>
        <x:v>YES</x:v>
      </x:c>
    </x:row>
    <x:row r="93">
      <x:c r="A93" s="44" t="str">
        <x:v>bpps_d10000n200m5w2000_3000s1000_2000f1_seed0</x:v>
      </x:c>
      <x:c r="B93" s="12" t="n">
        <x:v>200</x:v>
      </x:c>
      <x:c r="C93" s="12" t="n">
        <x:v>1231</x:v>
      </x:c>
      <x:c r="D93" s="12" t="n">
        <x:v>1222</x:v>
      </x:c>
      <x:c r="E93" s="12" t="n">
        <x:v>1212</x:v>
      </x:c>
      <x:c r="F93" s="12" t="n">
        <x:v>877</x:v>
      </x:c>
      <x:c r="G93" s="12" t="n">
        <x:v>849</x:v>
      </x:c>
      <x:c r="H93" s="12" t="n">
        <x:f>MIN(C93:G93)</x:f>
        <x:v>849</x:v>
      </x:c>
      <x:c r="I93" s="14" t="n">
        <x:f>(C93-$H93)/$H93*100</x:f>
        <x:v>44.994110718492344</x:v>
      </x:c>
      <x:c r="J93" s="14" t="n">
        <x:f>(D93-$H93)/$H93*100</x:f>
        <x:v>43.93404004711425</x:v>
      </x:c>
      <x:c r="K93" s="14" t="n">
        <x:f>(E93-$H93)/$H93*100</x:f>
        <x:v>42.75618374558304</x:v>
      </x:c>
      <x:c r="L93" s="14" t="n">
        <x:f>(F93-$H93)/$H93*100</x:f>
        <x:v>3.297997644287397</x:v>
      </x:c>
      <x:c r="M93" s="14" t="n">
        <x:f>(G93-$H93)/$H93*100</x:f>
        <x:v>0</x:v>
      </x:c>
      <x:c r="N93" s="12" t="str">
        <x:f>IF(C93=$H93,"YES","NO")</x:f>
        <x:v>NO</x:v>
      </x:c>
      <x:c r="O93" s="12" t="str">
        <x:f>IF(D93=$H93,"YES","NO")</x:f>
        <x:v>NO</x:v>
      </x:c>
      <x:c r="P93" s="12" t="str">
        <x:f>IF(E93=$H93,"YES","NO")</x:f>
        <x:v>NO</x:v>
      </x:c>
      <x:c r="Q93" s="12" t="str">
        <x:f>IF(F93=$H93,"YES","NO")</x:f>
        <x:v>NO</x:v>
      </x:c>
      <x:c r="R93" s="12" t="str">
        <x:f>IF(G93=$H93,"YES","NO")</x:f>
        <x:v>YES</x:v>
      </x:c>
    </x:row>
    <x:row r="94">
      <x:c r="A94" s="44" t="str">
        <x:v>bpps_d10000n200m5w2000_3000s100_1000f0_seed0</x:v>
      </x:c>
      <x:c r="B94" s="12" t="n">
        <x:v>200</x:v>
      </x:c>
      <x:c r="C94" s="12" t="n">
        <x:v>62</x:v>
      </x:c>
      <x:c r="D94" s="12" t="n">
        <x:v>62</x:v>
      </x:c>
      <x:c r="E94" s="12" t="n">
        <x:v>62</x:v>
      </x:c>
      <x:c r="F94" s="12" t="n">
        <x:v>60</x:v>
      </x:c>
      <x:c r="G94" s="12" t="n">
        <x:v>60</x:v>
      </x:c>
      <x:c r="H94" s="12" t="n">
        <x:f>MIN(C94:G94)</x:f>
        <x:v>60</x:v>
      </x:c>
      <x:c r="I94" s="14" t="n">
        <x:f>(C94-$H94)/$H94*100</x:f>
        <x:v>3.3333333333333335</x:v>
      </x:c>
      <x:c r="J94" s="14" t="n">
        <x:f>(D94-$H94)/$H94*100</x:f>
        <x:v>3.3333333333333335</x:v>
      </x:c>
      <x:c r="K94" s="14" t="n">
        <x:f>(E94-$H94)/$H94*100</x:f>
        <x:v>3.3333333333333335</x:v>
      </x:c>
      <x:c r="L94" s="14" t="n">
        <x:f>(F94-$H94)/$H94*100</x:f>
        <x:v>0</x:v>
      </x:c>
      <x:c r="M94" s="14" t="n">
        <x:f>(G94-$H94)/$H94*100</x:f>
        <x:v>0</x:v>
      </x:c>
      <x:c r="N94" s="12" t="str">
        <x:f>IF(C94=$H94,"YES","NO")</x:f>
        <x:v>NO</x:v>
      </x:c>
      <x:c r="O94" s="12" t="str">
        <x:f>IF(D94=$H94,"YES","NO")</x:f>
        <x:v>NO</x:v>
      </x:c>
      <x:c r="P94" s="12" t="str">
        <x:f>IF(E94=$H94,"YES","NO")</x:f>
        <x:v>NO</x:v>
      </x:c>
      <x:c r="Q94" s="12" t="str">
        <x:f>IF(F94=$H94,"YES","NO")</x:f>
        <x:v>YES</x:v>
      </x:c>
      <x:c r="R94" s="12" t="str">
        <x:f>IF(G94=$H94,"YES","NO")</x:f>
        <x:v>YES</x:v>
      </x:c>
    </x:row>
    <x:row r="95">
      <x:c r="A95" s="44" t="str">
        <x:v>bpps_d10000n200m5w2000_3000s100_1000f1_seed0</x:v>
      </x:c>
      <x:c r="B95" s="12" t="n">
        <x:v>200</x:v>
      </x:c>
      <x:c r="C95" s="12" t="n">
        <x:v>1103</x:v>
      </x:c>
      <x:c r="D95" s="12" t="n">
        <x:v>1094</x:v>
      </x:c>
      <x:c r="E95" s="12" t="n">
        <x:v>1080</x:v>
      </x:c>
      <x:c r="F95" s="12" t="n">
        <x:v>817</x:v>
      </x:c>
      <x:c r="G95" s="12" t="n">
        <x:v>772</x:v>
      </x:c>
      <x:c r="H95" s="12" t="n">
        <x:f>MIN(C95:G95)</x:f>
        <x:v>772</x:v>
      </x:c>
      <x:c r="I95" s="14" t="n">
        <x:f>(C95-$H95)/$H95*100</x:f>
        <x:v>42.87564766839378</x:v>
      </x:c>
      <x:c r="J95" s="14" t="n">
        <x:f>(D95-$H95)/$H95*100</x:f>
        <x:v>41.70984455958549</x:v>
      </x:c>
      <x:c r="K95" s="14" t="n">
        <x:f>(E95-$H95)/$H95*100</x:f>
        <x:v>39.89637305699482</x:v>
      </x:c>
      <x:c r="L95" s="14" t="n">
        <x:f>(F95-$H95)/$H95*100</x:f>
        <x:v>5.829015544041451</x:v>
      </x:c>
      <x:c r="M95" s="14" t="n">
        <x:f>(G95-$H95)/$H95*100</x:f>
        <x:v>0</x:v>
      </x:c>
      <x:c r="N95" s="12" t="str">
        <x:f>IF(C95=$H95,"YES","NO")</x:f>
        <x:v>NO</x:v>
      </x:c>
      <x:c r="O95" s="12" t="str">
        <x:f>IF(D95=$H95,"YES","NO")</x:f>
        <x:v>NO</x:v>
      </x:c>
      <x:c r="P95" s="12" t="str">
        <x:f>IF(E95=$H95,"YES","NO")</x:f>
        <x:v>NO</x:v>
      </x:c>
      <x:c r="Q95" s="12" t="str">
        <x:f>IF(F95=$H95,"YES","NO")</x:f>
        <x:v>NO</x:v>
      </x:c>
      <x:c r="R95" s="12" t="str">
        <x:f>IF(G95=$H95,"YES","NO")</x:f>
        <x:v>YES</x:v>
      </x:c>
    </x:row>
    <x:row r="96">
      <x:c r="A96" s="44" t="str">
        <x:v>bpps_d10000n200m5w2000_3000s100_2000f0_seed0</x:v>
      </x:c>
      <x:c r="B96" s="12" t="n">
        <x:v>200</x:v>
      </x:c>
      <x:c r="C96" s="12" t="n">
        <x:v>70</x:v>
      </x:c>
      <x:c r="D96" s="12" t="n">
        <x:v>70</x:v>
      </x:c>
      <x:c r="E96" s="12" t="n">
        <x:v>69</x:v>
      </x:c>
      <x:c r="F96" s="12" t="n">
        <x:v>63</x:v>
      </x:c>
      <x:c r="G96" s="12" t="n">
        <x:v>62</x:v>
      </x:c>
      <x:c r="H96" s="12" t="n">
        <x:f>MIN(C96:G96)</x:f>
        <x:v>62</x:v>
      </x:c>
      <x:c r="I96" s="14" t="n">
        <x:f>(C96-$H96)/$H96*100</x:f>
        <x:v>12.903225806451612</x:v>
      </x:c>
      <x:c r="J96" s="14" t="n">
        <x:f>(D96-$H96)/$H96*100</x:f>
        <x:v>12.903225806451612</x:v>
      </x:c>
      <x:c r="K96" s="14" t="n">
        <x:f>(E96-$H96)/$H96*100</x:f>
        <x:v>11.29032258064516</x:v>
      </x:c>
      <x:c r="L96" s="14" t="n">
        <x:f>(F96-$H96)/$H96*100</x:f>
        <x:v>1.6129032258064515</x:v>
      </x:c>
      <x:c r="M96" s="14" t="n">
        <x:f>(G96-$H96)/$H96*100</x:f>
        <x:v>0</x:v>
      </x:c>
      <x:c r="N96" s="12" t="str">
        <x:f>IF(C96=$H96,"YES","NO")</x:f>
        <x:v>NO</x:v>
      </x:c>
      <x:c r="O96" s="12" t="str">
        <x:f>IF(D96=$H96,"YES","NO")</x:f>
        <x:v>NO</x:v>
      </x:c>
      <x:c r="P96" s="12" t="str">
        <x:f>IF(E96=$H96,"YES","NO")</x:f>
        <x:v>NO</x:v>
      </x:c>
      <x:c r="Q96" s="12" t="str">
        <x:f>IF(F96=$H96,"YES","NO")</x:f>
        <x:v>NO</x:v>
      </x:c>
      <x:c r="R96" s="12" t="str">
        <x:f>IF(G96=$H96,"YES","NO")</x:f>
        <x:v>YES</x:v>
      </x:c>
    </x:row>
    <x:row r="97">
      <x:c r="A97" s="44" t="str">
        <x:v>bpps_d10000n200m5w2000_3000s100_2000f1_seed0</x:v>
      </x:c>
      <x:c r="B97" s="12" t="n">
        <x:v>200</x:v>
      </x:c>
      <x:c r="C97" s="12" t="n">
        <x:v>1156</x:v>
      </x:c>
      <x:c r="D97" s="12" t="n">
        <x:v>1159</x:v>
      </x:c>
      <x:c r="E97" s="12" t="n">
        <x:v>1114</x:v>
      </x:c>
      <x:c r="F97" s="12" t="n">
        <x:v>848</x:v>
      </x:c>
      <x:c r="G97" s="12" t="n">
        <x:v>797</x:v>
      </x:c>
      <x:c r="H97" s="12" t="n">
        <x:f>MIN(C97:G97)</x:f>
        <x:v>797</x:v>
      </x:c>
      <x:c r="I97" s="14" t="n">
        <x:f>(C97-$H97)/$H97*100</x:f>
        <x:v>45.04391468005019</x:v>
      </x:c>
      <x:c r="J97" s="14" t="n">
        <x:f>(D97-$H97)/$H97*100</x:f>
        <x:v>45.42032622333751</x:v>
      </x:c>
      <x:c r="K97" s="14" t="n">
        <x:f>(E97-$H97)/$H97*100</x:f>
        <x:v>39.7741530740276</x:v>
      </x:c>
      <x:c r="L97" s="14" t="n">
        <x:f>(F97-$H97)/$H97*100</x:f>
        <x:v>6.398996235884567</x:v>
      </x:c>
      <x:c r="M97" s="14" t="n">
        <x:f>(G97-$H97)/$H97*100</x:f>
        <x:v>0</x:v>
      </x:c>
      <x:c r="N97" s="12" t="str">
        <x:f>IF(C97=$H97,"YES","NO")</x:f>
        <x:v>NO</x:v>
      </x:c>
      <x:c r="O97" s="12" t="str">
        <x:f>IF(D97=$H97,"YES","NO")</x:f>
        <x:v>NO</x:v>
      </x:c>
      <x:c r="P97" s="12" t="str">
        <x:f>IF(E97=$H97,"YES","NO")</x:f>
        <x:v>NO</x:v>
      </x:c>
      <x:c r="Q97" s="12" t="str">
        <x:f>IF(F97=$H97,"YES","NO")</x:f>
        <x:v>NO</x:v>
      </x:c>
      <x:c r="R97" s="12" t="str">
        <x:f>IF(G97=$H97,"YES","NO")</x:f>
        <x:v>YES</x:v>
      </x:c>
    </x:row>
    <x:row r="98">
      <x:c r="A98" s="44" t="str">
        <x:v>bpps_d10000n25m10w1000_2000s1000_2000f0_seed0</x:v>
      </x:c>
      <x:c r="B98" s="12" t="n">
        <x:v>25</x:v>
      </x:c>
      <x:c r="C98" s="12" t="n">
        <x:v>7</x:v>
      </x:c>
      <x:c r="D98" s="12" t="n">
        <x:v>7</x:v>
      </x:c>
      <x:c r="E98" s="12" t="n">
        <x:v>7</x:v>
      </x:c>
      <x:c r="F98" s="12" t="n">
        <x:v>6</x:v>
      </x:c>
      <x:c r="G98" s="12" t="n">
        <x:v>6</x:v>
      </x:c>
      <x:c r="H98" s="12" t="n">
        <x:f>MIN(C98:G98)</x:f>
        <x:v>6</x:v>
      </x:c>
      <x:c r="I98" s="14" t="n">
        <x:f>(C98-$H98)/$H98*100</x:f>
        <x:v>16.666666666666664</x:v>
      </x:c>
      <x:c r="J98" s="14" t="n">
        <x:f>(D98-$H98)/$H98*100</x:f>
        <x:v>16.666666666666664</x:v>
      </x:c>
      <x:c r="K98" s="14" t="n">
        <x:f>(E98-$H98)/$H98*100</x:f>
        <x:v>16.666666666666664</x:v>
      </x:c>
      <x:c r="L98" s="14" t="n">
        <x:f>(F98-$H98)/$H98*100</x:f>
        <x:v>0</x:v>
      </x:c>
      <x:c r="M98" s="14" t="n">
        <x:f>(G98-$H98)/$H98*100</x:f>
        <x:v>0</x:v>
      </x:c>
      <x:c r="N98" s="12" t="str">
        <x:f>IF(C98=$H98,"YES","NO")</x:f>
        <x:v>NO</x:v>
      </x:c>
      <x:c r="O98" s="12" t="str">
        <x:f>IF(D98=$H98,"YES","NO")</x:f>
        <x:v>NO</x:v>
      </x:c>
      <x:c r="P98" s="12" t="str">
        <x:f>IF(E98=$H98,"YES","NO")</x:f>
        <x:v>NO</x:v>
      </x:c>
      <x:c r="Q98" s="12" t="str">
        <x:f>IF(F98=$H98,"YES","NO")</x:f>
        <x:v>YES</x:v>
      </x:c>
      <x:c r="R98" s="12" t="str">
        <x:f>IF(G98=$H98,"YES","NO")</x:f>
        <x:v>YES</x:v>
      </x:c>
    </x:row>
    <x:row r="99">
      <x:c r="A99" s="44" t="str">
        <x:v>bpps_d10000n25m10w1000_2000s1000_2000f1_seed0</x:v>
      </x:c>
      <x:c r="B99" s="12" t="n">
        <x:v>25</x:v>
      </x:c>
      <x:c r="C99" s="12" t="n">
        <x:v>136</x:v>
      </x:c>
      <x:c r="D99" s="12" t="n">
        <x:v>136</x:v>
      </x:c>
      <x:c r="E99" s="12" t="n">
        <x:v>140</x:v>
      </x:c>
      <x:c r="F99" s="12" t="n">
        <x:v>110</x:v>
      </x:c>
      <x:c r="G99" s="12" t="n">
        <x:v>100</x:v>
      </x:c>
      <x:c r="H99" s="12" t="n">
        <x:f>MIN(C99:G99)</x:f>
        <x:v>100</x:v>
      </x:c>
      <x:c r="I99" s="14" t="n">
        <x:f>(C99-$H99)/$H99*100</x:f>
        <x:v>36</x:v>
      </x:c>
      <x:c r="J99" s="14" t="n">
        <x:f>(D99-$H99)/$H99*100</x:f>
        <x:v>36</x:v>
      </x:c>
      <x:c r="K99" s="14" t="n">
        <x:f>(E99-$H99)/$H99*100</x:f>
        <x:v>40</x:v>
      </x:c>
      <x:c r="L99" s="14" t="n">
        <x:f>(F99-$H99)/$H99*100</x:f>
        <x:v>10</x:v>
      </x:c>
      <x:c r="M99" s="14" t="n">
        <x:f>(G99-$H99)/$H99*100</x:f>
        <x:v>0</x:v>
      </x:c>
      <x:c r="N99" s="12" t="str">
        <x:f>IF(C99=$H99,"YES","NO")</x:f>
        <x:v>NO</x:v>
      </x:c>
      <x:c r="O99" s="12" t="str">
        <x:f>IF(D99=$H99,"YES","NO")</x:f>
        <x:v>NO</x:v>
      </x:c>
      <x:c r="P99" s="12" t="str">
        <x:f>IF(E99=$H99,"YES","NO")</x:f>
        <x:v>NO</x:v>
      </x:c>
      <x:c r="Q99" s="12" t="str">
        <x:f>IF(F99=$H99,"YES","NO")</x:f>
        <x:v>NO</x:v>
      </x:c>
      <x:c r="R99" s="12" t="str">
        <x:f>IF(G99=$H99,"YES","NO")</x:f>
        <x:v>YES</x:v>
      </x:c>
    </x:row>
    <x:row r="100">
      <x:c r="A100" s="44" t="str">
        <x:v>bpps_d10000n25m10w1000_2000s100_1000f0_seed0</x:v>
      </x:c>
      <x:c r="B100" s="12" t="n">
        <x:v>25</x:v>
      </x:c>
      <x:c r="C100" s="12" t="n">
        <x:v>6</x:v>
      </x:c>
      <x:c r="D100" s="12" t="n">
        <x:v>6</x:v>
      </x:c>
      <x:c r="E100" s="12" t="n">
        <x:v>6</x:v>
      </x:c>
      <x:c r="F100" s="12" t="n">
        <x:v>6</x:v>
      </x:c>
      <x:c r="G100" s="12" t="n">
        <x:v>5</x:v>
      </x:c>
      <x:c r="H100" s="12" t="n">
        <x:f>MIN(C100:G100)</x:f>
        <x:v>5</x:v>
      </x:c>
      <x:c r="I100" s="14" t="n">
        <x:f>(C100-$H100)/$H100*100</x:f>
        <x:v>20</x:v>
      </x:c>
      <x:c r="J100" s="14" t="n">
        <x:f>(D100-$H100)/$H100*100</x:f>
        <x:v>20</x:v>
      </x:c>
      <x:c r="K100" s="14" t="n">
        <x:f>(E100-$H100)/$H100*100</x:f>
        <x:v>20</x:v>
      </x:c>
      <x:c r="L100" s="14" t="n">
        <x:f>(F100-$H100)/$H100*100</x:f>
        <x:v>20</x:v>
      </x:c>
      <x:c r="M100" s="14" t="n">
        <x:f>(G100-$H100)/$H100*100</x:f>
        <x:v>0</x:v>
      </x:c>
      <x:c r="N100" s="12" t="str">
        <x:f>IF(C100=$H100,"YES","NO")</x:f>
        <x:v>NO</x:v>
      </x:c>
      <x:c r="O100" s="12" t="str">
        <x:f>IF(D100=$H100,"YES","NO")</x:f>
        <x:v>NO</x:v>
      </x:c>
      <x:c r="P100" s="12" t="str">
        <x:f>IF(E100=$H100,"YES","NO")</x:f>
        <x:v>NO</x:v>
      </x:c>
      <x:c r="Q100" s="12" t="str">
        <x:f>IF(F100=$H100,"YES","NO")</x:f>
        <x:v>NO</x:v>
      </x:c>
      <x:c r="R100" s="12" t="str">
        <x:f>IF(G100=$H100,"YES","NO")</x:f>
        <x:v>YES</x:v>
      </x:c>
    </x:row>
    <x:row r="101">
      <x:c r="A101" s="44" t="str">
        <x:v>bpps_d10000n25m10w1000_2000s100_1000f1_seed0</x:v>
      </x:c>
      <x:c r="B101" s="12" t="n">
        <x:v>25</x:v>
      </x:c>
      <x:c r="C101" s="12" t="n">
        <x:v>120</x:v>
      </x:c>
      <x:c r="D101" s="12" t="n">
        <x:v>120</x:v>
      </x:c>
      <x:c r="E101" s="12" t="n">
        <x:v>121</x:v>
      </x:c>
      <x:c r="F101" s="12" t="n">
        <x:v>84</x:v>
      </x:c>
      <x:c r="G101" s="12" t="n">
        <x:v>84</x:v>
      </x:c>
      <x:c r="H101" s="12" t="n">
        <x:f>MIN(C101:G101)</x:f>
        <x:v>84</x:v>
      </x:c>
      <x:c r="I101" s="14" t="n">
        <x:f>(C101-$H101)/$H101*100</x:f>
        <x:v>42.857142857142854</x:v>
      </x:c>
      <x:c r="J101" s="14" t="n">
        <x:f>(D101-$H101)/$H101*100</x:f>
        <x:v>42.857142857142854</x:v>
      </x:c>
      <x:c r="K101" s="14" t="n">
        <x:f>(E101-$H101)/$H101*100</x:f>
        <x:v>44.047619047619044</x:v>
      </x:c>
      <x:c r="L101" s="14" t="n">
        <x:f>(F101-$H101)/$H101*100</x:f>
        <x:v>0</x:v>
      </x:c>
      <x:c r="M101" s="14" t="n">
        <x:f>(G101-$H101)/$H101*100</x:f>
        <x:v>0</x:v>
      </x:c>
      <x:c r="N101" s="12" t="str">
        <x:f>IF(C101=$H101,"YES","NO")</x:f>
        <x:v>NO</x:v>
      </x:c>
      <x:c r="O101" s="12" t="str">
        <x:f>IF(D101=$H101,"YES","NO")</x:f>
        <x:v>NO</x:v>
      </x:c>
      <x:c r="P101" s="12" t="str">
        <x:f>IF(E101=$H101,"YES","NO")</x:f>
        <x:v>NO</x:v>
      </x:c>
      <x:c r="Q101" s="12" t="str">
        <x:f>IF(F101=$H101,"YES","NO")</x:f>
        <x:v>YES</x:v>
      </x:c>
      <x:c r="R101" s="12" t="str">
        <x:f>IF(G101=$H101,"YES","NO")</x:f>
        <x:v>YES</x:v>
      </x:c>
    </x:row>
    <x:row r="102">
      <x:c r="A102" s="44" t="str">
        <x:v>bpps_d10000n25m10w1000_2000s100_2000f0_seed0</x:v>
      </x:c>
      <x:c r="B102" s="12" t="n">
        <x:v>25</x:v>
      </x:c>
      <x:c r="C102" s="12" t="n">
        <x:v>6</x:v>
      </x:c>
      <x:c r="D102" s="12" t="n">
        <x:v>6</x:v>
      </x:c>
      <x:c r="E102" s="12" t="n">
        <x:v>6</x:v>
      </x:c>
      <x:c r="F102" s="12" t="n">
        <x:v>6</x:v>
      </x:c>
      <x:c r="G102" s="12" t="n">
        <x:v>6</x:v>
      </x:c>
      <x:c r="H102" s="12" t="n">
        <x:f>MIN(C102:G102)</x:f>
        <x:v>6</x:v>
      </x:c>
      <x:c r="I102" s="14" t="n">
        <x:f>(C102-$H102)/$H102*100</x:f>
        <x:v>0</x:v>
      </x:c>
      <x:c r="J102" s="14" t="n">
        <x:f>(D102-$H102)/$H102*100</x:f>
        <x:v>0</x:v>
      </x:c>
      <x:c r="K102" s="14" t="n">
        <x:f>(E102-$H102)/$H102*100</x:f>
        <x:v>0</x:v>
      </x:c>
      <x:c r="L102" s="14" t="n">
        <x:f>(F102-$H102)/$H102*100</x:f>
        <x:v>0</x:v>
      </x:c>
      <x:c r="M102" s="14" t="n">
        <x:f>(G102-$H102)/$H102*100</x:f>
        <x:v>0</x:v>
      </x:c>
      <x:c r="N102" s="12" t="str">
        <x:f>IF(C102=$H102,"YES","NO")</x:f>
        <x:v>YES</x:v>
      </x:c>
      <x:c r="O102" s="12" t="str">
        <x:f>IF(D102=$H102,"YES","NO")</x:f>
        <x:v>YES</x:v>
      </x:c>
      <x:c r="P102" s="12" t="str">
        <x:f>IF(E102=$H102,"YES","NO")</x:f>
        <x:v>YES</x:v>
      </x:c>
      <x:c r="Q102" s="12" t="str">
        <x:f>IF(F102=$H102,"YES","NO")</x:f>
        <x:v>YES</x:v>
      </x:c>
      <x:c r="R102" s="12" t="str">
        <x:f>IF(G102=$H102,"YES","NO")</x:f>
        <x:v>YES</x:v>
      </x:c>
    </x:row>
    <x:row r="103">
      <x:c r="A103" s="44" t="str">
        <x:v>bpps_d10000n25m10w1000_2000s100_2000f1_seed0</x:v>
      </x:c>
      <x:c r="B103" s="12" t="n">
        <x:v>25</x:v>
      </x:c>
      <x:c r="C103" s="12" t="n">
        <x:v>126</x:v>
      </x:c>
      <x:c r="D103" s="12" t="n">
        <x:v>126</x:v>
      </x:c>
      <x:c r="E103" s="12" t="n">
        <x:v>126</x:v>
      </x:c>
      <x:c r="F103" s="12" t="n">
        <x:v>108</x:v>
      </x:c>
      <x:c r="G103" s="12" t="n">
        <x:v>98</x:v>
      </x:c>
      <x:c r="H103" s="12" t="n">
        <x:f>MIN(C103:G103)</x:f>
        <x:v>98</x:v>
      </x:c>
      <x:c r="I103" s="14" t="n">
        <x:f>(C103-$H103)/$H103*100</x:f>
        <x:v>28.57142857142857</x:v>
      </x:c>
      <x:c r="J103" s="14" t="n">
        <x:f>(D103-$H103)/$H103*100</x:f>
        <x:v>28.57142857142857</x:v>
      </x:c>
      <x:c r="K103" s="14" t="n">
        <x:f>(E103-$H103)/$H103*100</x:f>
        <x:v>28.57142857142857</x:v>
      </x:c>
      <x:c r="L103" s="14" t="n">
        <x:f>(F103-$H103)/$H103*100</x:f>
        <x:v>10.204081632653061</x:v>
      </x:c>
      <x:c r="M103" s="14" t="n">
        <x:f>(G103-$H103)/$H103*100</x:f>
        <x:v>0</x:v>
      </x:c>
      <x:c r="N103" s="12" t="str">
        <x:f>IF(C103=$H103,"YES","NO")</x:f>
        <x:v>NO</x:v>
      </x:c>
      <x:c r="O103" s="12" t="str">
        <x:f>IF(D103=$H103,"YES","NO")</x:f>
        <x:v>NO</x:v>
      </x:c>
      <x:c r="P103" s="12" t="str">
        <x:f>IF(E103=$H103,"YES","NO")</x:f>
        <x:v>NO</x:v>
      </x:c>
      <x:c r="Q103" s="12" t="str">
        <x:f>IF(F103=$H103,"YES","NO")</x:f>
        <x:v>NO</x:v>
      </x:c>
      <x:c r="R103" s="12" t="str">
        <x:f>IF(G103=$H103,"YES","NO")</x:f>
        <x:v>YES</x:v>
      </x:c>
    </x:row>
    <x:row r="104">
      <x:c r="A104" s="44" t="str">
        <x:v>bpps_d10000n25m10w100_1000s1000_2000f0_seed0</x:v>
      </x:c>
      <x:c r="B104" s="12" t="n">
        <x:v>25</x:v>
      </x:c>
      <x:c r="C104" s="12" t="n">
        <x:v>4</x:v>
      </x:c>
      <x:c r="D104" s="12" t="n">
        <x:v>4</x:v>
      </x:c>
      <x:c r="E104" s="12" t="n">
        <x:v>4</x:v>
      </x:c>
      <x:c r="F104" s="12" t="n">
        <x:v>4</x:v>
      </x:c>
      <x:c r="G104" s="12" t="n">
        <x:v>4</x:v>
      </x:c>
      <x:c r="H104" s="12" t="n">
        <x:f>MIN(C104:G104)</x:f>
        <x:v>4</x:v>
      </x:c>
      <x:c r="I104" s="14" t="n">
        <x:f>(C104-$H104)/$H104*100</x:f>
        <x:v>0</x:v>
      </x:c>
      <x:c r="J104" s="14" t="n">
        <x:f>(D104-$H104)/$H104*100</x:f>
        <x:v>0</x:v>
      </x:c>
      <x:c r="K104" s="14" t="n">
        <x:f>(E104-$H104)/$H104*100</x:f>
        <x:v>0</x:v>
      </x:c>
      <x:c r="L104" s="14" t="n">
        <x:f>(F104-$H104)/$H104*100</x:f>
        <x:v>0</x:v>
      </x:c>
      <x:c r="M104" s="14" t="n">
        <x:f>(G104-$H104)/$H104*100</x:f>
        <x:v>0</x:v>
      </x:c>
      <x:c r="N104" s="12" t="str">
        <x:f>IF(C104=$H104,"YES","NO")</x:f>
        <x:v>YES</x:v>
      </x:c>
      <x:c r="O104" s="12" t="str">
        <x:f>IF(D104=$H104,"YES","NO")</x:f>
        <x:v>YES</x:v>
      </x:c>
      <x:c r="P104" s="12" t="str">
        <x:f>IF(E104=$H104,"YES","NO")</x:f>
        <x:v>YES</x:v>
      </x:c>
      <x:c r="Q104" s="12" t="str">
        <x:f>IF(F104=$H104,"YES","NO")</x:f>
        <x:v>YES</x:v>
      </x:c>
      <x:c r="R104" s="12" t="str">
        <x:f>IF(G104=$H104,"YES","NO")</x:f>
        <x:v>YES</x:v>
      </x:c>
    </x:row>
    <x:row r="105">
      <x:c r="A105" s="44" t="str">
        <x:v>bpps_d10000n25m10w100_1000s1000_2000f1_seed0</x:v>
      </x:c>
      <x:c r="B105" s="12" t="n">
        <x:v>25</x:v>
      </x:c>
      <x:c r="C105" s="12" t="n">
        <x:v>87</x:v>
      </x:c>
      <x:c r="D105" s="12" t="n">
        <x:v>95</x:v>
      </x:c>
      <x:c r="E105" s="12" t="n">
        <x:v>87</x:v>
      </x:c>
      <x:c r="F105" s="12" t="n">
        <x:v>88</x:v>
      </x:c>
      <x:c r="G105" s="12" t="n">
        <x:v>78</x:v>
      </x:c>
      <x:c r="H105" s="12" t="n">
        <x:f>MIN(C105:G105)</x:f>
        <x:v>78</x:v>
      </x:c>
      <x:c r="I105" s="14" t="n">
        <x:f>(C105-$H105)/$H105*100</x:f>
        <x:v>11.538461538461538</x:v>
      </x:c>
      <x:c r="J105" s="14" t="n">
        <x:f>(D105-$H105)/$H105*100</x:f>
        <x:v>21.794871794871796</x:v>
      </x:c>
      <x:c r="K105" s="14" t="n">
        <x:f>(E105-$H105)/$H105*100</x:f>
        <x:v>11.538461538461538</x:v>
      </x:c>
      <x:c r="L105" s="14" t="n">
        <x:f>(F105-$H105)/$H105*100</x:f>
        <x:v>12.82051282051282</x:v>
      </x:c>
      <x:c r="M105" s="14" t="n">
        <x:f>(G105-$H105)/$H105*100</x:f>
        <x:v>0</x:v>
      </x:c>
      <x:c r="N105" s="12" t="str">
        <x:f>IF(C105=$H105,"YES","NO")</x:f>
        <x:v>NO</x:v>
      </x:c>
      <x:c r="O105" s="12" t="str">
        <x:f>IF(D105=$H105,"YES","NO")</x:f>
        <x:v>NO</x:v>
      </x:c>
      <x:c r="P105" s="12" t="str">
        <x:f>IF(E105=$H105,"YES","NO")</x:f>
        <x:v>NO</x:v>
      </x:c>
      <x:c r="Q105" s="12" t="str">
        <x:f>IF(F105=$H105,"YES","NO")</x:f>
        <x:v>NO</x:v>
      </x:c>
      <x:c r="R105" s="12" t="str">
        <x:f>IF(G105=$H105,"YES","NO")</x:f>
        <x:v>YES</x:v>
      </x:c>
    </x:row>
    <x:row r="106">
      <x:c r="A106" s="44" t="str">
        <x:v>bpps_d10000n25m10w100_1000s100_1000f0_seed0</x:v>
      </x:c>
      <x:c r="B106" s="12" t="n">
        <x:v>25</x:v>
      </x:c>
      <x:c r="C106" s="12" t="n">
        <x:v>3</x:v>
      </x:c>
      <x:c r="D106" s="12" t="n">
        <x:v>3</x:v>
      </x:c>
      <x:c r="E106" s="12" t="n">
        <x:v>3</x:v>
      </x:c>
      <x:c r="F106" s="12" t="n">
        <x:v>4</x:v>
      </x:c>
      <x:c r="G106" s="12" t="n">
        <x:v>3</x:v>
      </x:c>
      <x:c r="H106" s="12" t="n">
        <x:f>MIN(C106:G106)</x:f>
        <x:v>3</x:v>
      </x:c>
      <x:c r="I106" s="14" t="n">
        <x:f>(C106-$H106)/$H106*100</x:f>
        <x:v>0</x:v>
      </x:c>
      <x:c r="J106" s="14" t="n">
        <x:f>(D106-$H106)/$H106*100</x:f>
        <x:v>0</x:v>
      </x:c>
      <x:c r="K106" s="14" t="n">
        <x:f>(E106-$H106)/$H106*100</x:f>
        <x:v>0</x:v>
      </x:c>
      <x:c r="L106" s="14" t="n">
        <x:f>(F106-$H106)/$H106*100</x:f>
        <x:v>33.33333333333333</x:v>
      </x:c>
      <x:c r="M106" s="14" t="n">
        <x:f>(G106-$H106)/$H106*100</x:f>
        <x:v>0</x:v>
      </x:c>
      <x:c r="N106" s="12" t="str">
        <x:f>IF(C106=$H106,"YES","NO")</x:f>
        <x:v>YES</x:v>
      </x:c>
      <x:c r="O106" s="12" t="str">
        <x:f>IF(D106=$H106,"YES","NO")</x:f>
        <x:v>YES</x:v>
      </x:c>
      <x:c r="P106" s="12" t="str">
        <x:f>IF(E106=$H106,"YES","NO")</x:f>
        <x:v>YES</x:v>
      </x:c>
      <x:c r="Q106" s="12" t="str">
        <x:f>IF(F106=$H106,"YES","NO")</x:f>
        <x:v>NO</x:v>
      </x:c>
      <x:c r="R106" s="12" t="str">
        <x:f>IF(G106=$H106,"YES","NO")</x:f>
        <x:v>YES</x:v>
      </x:c>
    </x:row>
    <x:row r="107">
      <x:c r="A107" s="44" t="str">
        <x:v>bpps_d10000n25m10w100_1000s100_1000f1_seed0</x:v>
      </x:c>
      <x:c r="B107" s="12" t="n">
        <x:v>25</x:v>
      </x:c>
      <x:c r="C107" s="12" t="n">
        <x:v>78</x:v>
      </x:c>
      <x:c r="D107" s="12" t="n">
        <x:v>82</x:v>
      </x:c>
      <x:c r="E107" s="12" t="n">
        <x:v>75</x:v>
      </x:c>
      <x:c r="F107" s="12" t="n">
        <x:v>66</x:v>
      </x:c>
      <x:c r="G107" s="12" t="n">
        <x:v>66</x:v>
      </x:c>
      <x:c r="H107" s="12" t="n">
        <x:f>MIN(C107:G107)</x:f>
        <x:v>66</x:v>
      </x:c>
      <x:c r="I107" s="14" t="n">
        <x:f>(C107-$H107)/$H107*100</x:f>
        <x:v>18.181818181818183</x:v>
      </x:c>
      <x:c r="J107" s="14" t="n">
        <x:f>(D107-$H107)/$H107*100</x:f>
        <x:v>24.242424242424242</x:v>
      </x:c>
      <x:c r="K107" s="14" t="n">
        <x:f>(E107-$H107)/$H107*100</x:f>
        <x:v>13.636363636363635</x:v>
      </x:c>
      <x:c r="L107" s="14" t="n">
        <x:f>(F107-$H107)/$H107*100</x:f>
        <x:v>0</x:v>
      </x:c>
      <x:c r="M107" s="14" t="n">
        <x:f>(G107-$H107)/$H107*100</x:f>
        <x:v>0</x:v>
      </x:c>
      <x:c r="N107" s="12" t="str">
        <x:f>IF(C107=$H107,"YES","NO")</x:f>
        <x:v>NO</x:v>
      </x:c>
      <x:c r="O107" s="12" t="str">
        <x:f>IF(D107=$H107,"YES","NO")</x:f>
        <x:v>NO</x:v>
      </x:c>
      <x:c r="P107" s="12" t="str">
        <x:f>IF(E107=$H107,"YES","NO")</x:f>
        <x:v>NO</x:v>
      </x:c>
      <x:c r="Q107" s="12" t="str">
        <x:f>IF(F107=$H107,"YES","NO")</x:f>
        <x:v>YES</x:v>
      </x:c>
      <x:c r="R107" s="12" t="str">
        <x:f>IF(G107=$H107,"YES","NO")</x:f>
        <x:v>YES</x:v>
      </x:c>
    </x:row>
    <x:row r="108">
      <x:c r="A108" s="44" t="str">
        <x:v>bpps_d10000n25m10w100_1000s100_2000f0_seed0</x:v>
      </x:c>
      <x:c r="B108" s="12" t="n">
        <x:v>25</x:v>
      </x:c>
      <x:c r="C108" s="12" t="n">
        <x:v>3</x:v>
      </x:c>
      <x:c r="D108" s="12" t="n">
        <x:v>3</x:v>
      </x:c>
      <x:c r="E108" s="12" t="n">
        <x:v>3</x:v>
      </x:c>
      <x:c r="F108" s="12" t="n">
        <x:v>4</x:v>
      </x:c>
      <x:c r="G108" s="12" t="n">
        <x:v>3</x:v>
      </x:c>
      <x:c r="H108" s="12" t="n">
        <x:f>MIN(C108:G108)</x:f>
        <x:v>3</x:v>
      </x:c>
      <x:c r="I108" s="14" t="n">
        <x:f>(C108-$H108)/$H108*100</x:f>
        <x:v>0</x:v>
      </x:c>
      <x:c r="J108" s="14" t="n">
        <x:f>(D108-$H108)/$H108*100</x:f>
        <x:v>0</x:v>
      </x:c>
      <x:c r="K108" s="14" t="n">
        <x:f>(E108-$H108)/$H108*100</x:f>
        <x:v>0</x:v>
      </x:c>
      <x:c r="L108" s="14" t="n">
        <x:f>(F108-$H108)/$H108*100</x:f>
        <x:v>33.33333333333333</x:v>
      </x:c>
      <x:c r="M108" s="14" t="n">
        <x:f>(G108-$H108)/$H108*100</x:f>
        <x:v>0</x:v>
      </x:c>
      <x:c r="N108" s="12" t="str">
        <x:f>IF(C108=$H108,"YES","NO")</x:f>
        <x:v>YES</x:v>
      </x:c>
      <x:c r="O108" s="12" t="str">
        <x:f>IF(D108=$H108,"YES","NO")</x:f>
        <x:v>YES</x:v>
      </x:c>
      <x:c r="P108" s="12" t="str">
        <x:f>IF(E108=$H108,"YES","NO")</x:f>
        <x:v>YES</x:v>
      </x:c>
      <x:c r="Q108" s="12" t="str">
        <x:f>IF(F108=$H108,"YES","NO")</x:f>
        <x:v>NO</x:v>
      </x:c>
      <x:c r="R108" s="12" t="str">
        <x:f>IF(G108=$H108,"YES","NO")</x:f>
        <x:v>YES</x:v>
      </x:c>
    </x:row>
    <x:row r="109">
      <x:c r="A109" s="44" t="str">
        <x:v>bpps_d10000n25m10w100_1000s100_2000f1_seed0</x:v>
      </x:c>
      <x:c r="B109" s="12" t="n">
        <x:v>25</x:v>
      </x:c>
      <x:c r="C109" s="12" t="n">
        <x:v>69</x:v>
      </x:c>
      <x:c r="D109" s="12" t="n">
        <x:v>73</x:v>
      </x:c>
      <x:c r="E109" s="12" t="n">
        <x:v>71</x:v>
      </x:c>
      <x:c r="F109" s="12" t="n">
        <x:v>73</x:v>
      </x:c>
      <x:c r="G109" s="12" t="n">
        <x:v>63</x:v>
      </x:c>
      <x:c r="H109" s="12" t="n">
        <x:f>MIN(C109:G109)</x:f>
        <x:v>63</x:v>
      </x:c>
      <x:c r="I109" s="14" t="n">
        <x:f>(C109-$H109)/$H109*100</x:f>
        <x:v>9.523809523809524</x:v>
      </x:c>
      <x:c r="J109" s="14" t="n">
        <x:f>(D109-$H109)/$H109*100</x:f>
        <x:v>15.873015873015872</x:v>
      </x:c>
      <x:c r="K109" s="14" t="n">
        <x:f>(E109-$H109)/$H109*100</x:f>
        <x:v>12.698412698412698</x:v>
      </x:c>
      <x:c r="L109" s="14" t="n">
        <x:f>(F109-$H109)/$H109*100</x:f>
        <x:v>15.873015873015872</x:v>
      </x:c>
      <x:c r="M109" s="14" t="n">
        <x:f>(G109-$H109)/$H109*100</x:f>
        <x:v>0</x:v>
      </x:c>
      <x:c r="N109" s="12" t="str">
        <x:f>IF(C109=$H109,"YES","NO")</x:f>
        <x:v>NO</x:v>
      </x:c>
      <x:c r="O109" s="12" t="str">
        <x:f>IF(D109=$H109,"YES","NO")</x:f>
        <x:v>NO</x:v>
      </x:c>
      <x:c r="P109" s="12" t="str">
        <x:f>IF(E109=$H109,"YES","NO")</x:f>
        <x:v>NO</x:v>
      </x:c>
      <x:c r="Q109" s="12" t="str">
        <x:f>IF(F109=$H109,"YES","NO")</x:f>
        <x:v>NO</x:v>
      </x:c>
      <x:c r="R109" s="12" t="str">
        <x:f>IF(G109=$H109,"YES","NO")</x:f>
        <x:v>YES</x:v>
      </x:c>
    </x:row>
    <x:row r="110">
      <x:c r="A110" s="44" t="str">
        <x:v>bpps_d10000n25m10w100_3000s1000_2000f0_seed0</x:v>
      </x:c>
      <x:c r="B110" s="12" t="n">
        <x:v>25</x:v>
      </x:c>
      <x:c r="C110" s="12" t="n">
        <x:v>6</x:v>
      </x:c>
      <x:c r="D110" s="12" t="n">
        <x:v>6</x:v>
      </x:c>
      <x:c r="E110" s="12" t="n">
        <x:v>6</x:v>
      </x:c>
      <x:c r="F110" s="12" t="n">
        <x:v>6</x:v>
      </x:c>
      <x:c r="G110" s="12" t="n">
        <x:v>6</x:v>
      </x:c>
      <x:c r="H110" s="12" t="n">
        <x:f>MIN(C110:G110)</x:f>
        <x:v>6</x:v>
      </x:c>
      <x:c r="I110" s="14" t="n">
        <x:f>(C110-$H110)/$H110*100</x:f>
        <x:v>0</x:v>
      </x:c>
      <x:c r="J110" s="14" t="n">
        <x:f>(D110-$H110)/$H110*100</x:f>
        <x:v>0</x:v>
      </x:c>
      <x:c r="K110" s="14" t="n">
        <x:f>(E110-$H110)/$H110*100</x:f>
        <x:v>0</x:v>
      </x:c>
      <x:c r="L110" s="14" t="n">
        <x:f>(F110-$H110)/$H110*100</x:f>
        <x:v>0</x:v>
      </x:c>
      <x:c r="M110" s="14" t="n">
        <x:f>(G110-$H110)/$H110*100</x:f>
        <x:v>0</x:v>
      </x:c>
      <x:c r="N110" s="12" t="str">
        <x:f>IF(C110=$H110,"YES","NO")</x:f>
        <x:v>YES</x:v>
      </x:c>
      <x:c r="O110" s="12" t="str">
        <x:f>IF(D110=$H110,"YES","NO")</x:f>
        <x:v>YES</x:v>
      </x:c>
      <x:c r="P110" s="12" t="str">
        <x:f>IF(E110=$H110,"YES","NO")</x:f>
        <x:v>YES</x:v>
      </x:c>
      <x:c r="Q110" s="12" t="str">
        <x:f>IF(F110=$H110,"YES","NO")</x:f>
        <x:v>YES</x:v>
      </x:c>
      <x:c r="R110" s="12" t="str">
        <x:f>IF(G110=$H110,"YES","NO")</x:f>
        <x:v>YES</x:v>
      </x:c>
    </x:row>
    <x:row r="111">
      <x:c r="A111" s="44" t="str">
        <x:v>bpps_d10000n25m10w100_3000s1000_2000f1_seed0</x:v>
      </x:c>
      <x:c r="B111" s="12" t="n">
        <x:v>25</x:v>
      </x:c>
      <x:c r="C111" s="12" t="n">
        <x:v>122</x:v>
      </x:c>
      <x:c r="D111" s="12" t="n">
        <x:v>122</x:v>
      </x:c>
      <x:c r="E111" s="12" t="n">
        <x:v>118</x:v>
      </x:c>
      <x:c r="F111" s="12" t="n">
        <x:v>102</x:v>
      </x:c>
      <x:c r="G111" s="12" t="n">
        <x:v>102</x:v>
      </x:c>
      <x:c r="H111" s="12" t="n">
        <x:f>MIN(C111:G111)</x:f>
        <x:v>102</x:v>
      </x:c>
      <x:c r="I111" s="14" t="n">
        <x:f>(C111-$H111)/$H111*100</x:f>
        <x:v>19.607843137254903</x:v>
      </x:c>
      <x:c r="J111" s="14" t="n">
        <x:f>(D111-$H111)/$H111*100</x:f>
        <x:v>19.607843137254903</x:v>
      </x:c>
      <x:c r="K111" s="14" t="n">
        <x:f>(E111-$H111)/$H111*100</x:f>
        <x:v>15.686274509803921</x:v>
      </x:c>
      <x:c r="L111" s="14" t="n">
        <x:f>(F111-$H111)/$H111*100</x:f>
        <x:v>0</x:v>
      </x:c>
      <x:c r="M111" s="14" t="n">
        <x:f>(G111-$H111)/$H111*100</x:f>
        <x:v>0</x:v>
      </x:c>
      <x:c r="N111" s="12" t="str">
        <x:f>IF(C111=$H111,"YES","NO")</x:f>
        <x:v>NO</x:v>
      </x:c>
      <x:c r="O111" s="12" t="str">
        <x:f>IF(D111=$H111,"YES","NO")</x:f>
        <x:v>NO</x:v>
      </x:c>
      <x:c r="P111" s="12" t="str">
        <x:f>IF(E111=$H111,"YES","NO")</x:f>
        <x:v>NO</x:v>
      </x:c>
      <x:c r="Q111" s="12" t="str">
        <x:f>IF(F111=$H111,"YES","NO")</x:f>
        <x:v>YES</x:v>
      </x:c>
      <x:c r="R111" s="12" t="str">
        <x:f>IF(G111=$H111,"YES","NO")</x:f>
        <x:v>YES</x:v>
      </x:c>
    </x:row>
    <x:row r="112">
      <x:c r="A112" s="44" t="str">
        <x:v>bpps_d10000n25m10w100_3000s100_1000f0_seed0</x:v>
      </x:c>
      <x:c r="B112" s="12" t="n">
        <x:v>25</x:v>
      </x:c>
      <x:c r="C112" s="12" t="n">
        <x:v>5</x:v>
      </x:c>
      <x:c r="D112" s="12" t="n">
        <x:v>5</x:v>
      </x:c>
      <x:c r="E112" s="12" t="n">
        <x:v>5</x:v>
      </x:c>
      <x:c r="F112" s="12" t="n">
        <x:v>7</x:v>
      </x:c>
      <x:c r="G112" s="12" t="n">
        <x:v>4</x:v>
      </x:c>
      <x:c r="H112" s="12" t="n">
        <x:f>MIN(C112:G112)</x:f>
        <x:v>4</x:v>
      </x:c>
      <x:c r="I112" s="14" t="n">
        <x:f>(C112-$H112)/$H112*100</x:f>
        <x:v>25</x:v>
      </x:c>
      <x:c r="J112" s="14" t="n">
        <x:f>(D112-$H112)/$H112*100</x:f>
        <x:v>25</x:v>
      </x:c>
      <x:c r="K112" s="14" t="n">
        <x:f>(E112-$H112)/$H112*100</x:f>
        <x:v>25</x:v>
      </x:c>
      <x:c r="L112" s="14" t="n">
        <x:f>(F112-$H112)/$H112*100</x:f>
        <x:v>75</x:v>
      </x:c>
      <x:c r="M112" s="14" t="n">
        <x:f>(G112-$H112)/$H112*100</x:f>
        <x:v>0</x:v>
      </x:c>
      <x:c r="N112" s="12" t="str">
        <x:f>IF(C112=$H112,"YES","NO")</x:f>
        <x:v>NO</x:v>
      </x:c>
      <x:c r="O112" s="12" t="str">
        <x:f>IF(D112=$H112,"YES","NO")</x:f>
        <x:v>NO</x:v>
      </x:c>
      <x:c r="P112" s="12" t="str">
        <x:f>IF(E112=$H112,"YES","NO")</x:f>
        <x:v>NO</x:v>
      </x:c>
      <x:c r="Q112" s="12" t="str">
        <x:f>IF(F112=$H112,"YES","NO")</x:f>
        <x:v>NO</x:v>
      </x:c>
      <x:c r="R112" s="12" t="str">
        <x:f>IF(G112=$H112,"YES","NO")</x:f>
        <x:v>YES</x:v>
      </x:c>
    </x:row>
    <x:row r="113">
      <x:c r="A113" s="44" t="str">
        <x:v>bpps_d10000n25m10w100_3000s100_1000f1_seed0</x:v>
      </x:c>
      <x:c r="B113" s="12" t="n">
        <x:v>25</x:v>
      </x:c>
      <x:c r="C113" s="12" t="n">
        <x:v>105</x:v>
      </x:c>
      <x:c r="D113" s="12" t="n">
        <x:v>105</x:v>
      </x:c>
      <x:c r="E113" s="12" t="n">
        <x:v>111</x:v>
      </x:c>
      <x:c r="F113" s="12" t="n">
        <x:v>93</x:v>
      </x:c>
      <x:c r="G113" s="12" t="n">
        <x:v>84</x:v>
      </x:c>
      <x:c r="H113" s="12" t="n">
        <x:f>MIN(C113:G113)</x:f>
        <x:v>84</x:v>
      </x:c>
      <x:c r="I113" s="14" t="n">
        <x:f>(C113-$H113)/$H113*100</x:f>
        <x:v>25</x:v>
      </x:c>
      <x:c r="J113" s="14" t="n">
        <x:f>(D113-$H113)/$H113*100</x:f>
        <x:v>25</x:v>
      </x:c>
      <x:c r="K113" s="14" t="n">
        <x:f>(E113-$H113)/$H113*100</x:f>
        <x:v>32.142857142857146</x:v>
      </x:c>
      <x:c r="L113" s="14" t="n">
        <x:f>(F113-$H113)/$H113*100</x:f>
        <x:v>10.714285714285714</x:v>
      </x:c>
      <x:c r="M113" s="14" t="n">
        <x:f>(G113-$H113)/$H113*100</x:f>
        <x:v>0</x:v>
      </x:c>
      <x:c r="N113" s="12" t="str">
        <x:f>IF(C113=$H113,"YES","NO")</x:f>
        <x:v>NO</x:v>
      </x:c>
      <x:c r="O113" s="12" t="str">
        <x:f>IF(D113=$H113,"YES","NO")</x:f>
        <x:v>NO</x:v>
      </x:c>
      <x:c r="P113" s="12" t="str">
        <x:f>IF(E113=$H113,"YES","NO")</x:f>
        <x:v>NO</x:v>
      </x:c>
      <x:c r="Q113" s="12" t="str">
        <x:f>IF(F113=$H113,"YES","NO")</x:f>
        <x:v>NO</x:v>
      </x:c>
      <x:c r="R113" s="12" t="str">
        <x:f>IF(G113=$H113,"YES","NO")</x:f>
        <x:v>YES</x:v>
      </x:c>
    </x:row>
    <x:row r="114">
      <x:c r="A114" s="44" t="str">
        <x:v>bpps_d10000n25m10w100_3000s100_2000f0_seed0</x:v>
      </x:c>
      <x:c r="B114" s="12" t="n">
        <x:v>25</x:v>
      </x:c>
      <x:c r="C114" s="12" t="n">
        <x:v>5</x:v>
      </x:c>
      <x:c r="D114" s="12" t="n">
        <x:v>5</x:v>
      </x:c>
      <x:c r="E114" s="12" t="n">
        <x:v>5</x:v>
      </x:c>
      <x:c r="F114" s="12" t="n">
        <x:v>6</x:v>
      </x:c>
      <x:c r="G114" s="12" t="n">
        <x:v>5</x:v>
      </x:c>
      <x:c r="H114" s="12" t="n">
        <x:f>MIN(C114:G114)</x:f>
        <x:v>5</x:v>
      </x:c>
      <x:c r="I114" s="14" t="n">
        <x:f>(C114-$H114)/$H114*100</x:f>
        <x:v>0</x:v>
      </x:c>
      <x:c r="J114" s="14" t="n">
        <x:f>(D114-$H114)/$H114*100</x:f>
        <x:v>0</x:v>
      </x:c>
      <x:c r="K114" s="14" t="n">
        <x:f>(E114-$H114)/$H114*100</x:f>
        <x:v>0</x:v>
      </x:c>
      <x:c r="L114" s="14" t="n">
        <x:f>(F114-$H114)/$H114*100</x:f>
        <x:v>20</x:v>
      </x:c>
      <x:c r="M114" s="14" t="n">
        <x:f>(G114-$H114)/$H114*100</x:f>
        <x:v>0</x:v>
      </x:c>
      <x:c r="N114" s="12" t="str">
        <x:f>IF(C114=$H114,"YES","NO")</x:f>
        <x:v>YES</x:v>
      </x:c>
      <x:c r="O114" s="12" t="str">
        <x:f>IF(D114=$H114,"YES","NO")</x:f>
        <x:v>YES</x:v>
      </x:c>
      <x:c r="P114" s="12" t="str">
        <x:f>IF(E114=$H114,"YES","NO")</x:f>
        <x:v>YES</x:v>
      </x:c>
      <x:c r="Q114" s="12" t="str">
        <x:f>IF(F114=$H114,"YES","NO")</x:f>
        <x:v>NO</x:v>
      </x:c>
      <x:c r="R114" s="12" t="str">
        <x:f>IF(G114=$H114,"YES","NO")</x:f>
        <x:v>YES</x:v>
      </x:c>
    </x:row>
    <x:row r="115">
      <x:c r="A115" s="44" t="str">
        <x:v>bpps_d10000n25m10w100_3000s100_2000f1_seed0</x:v>
      </x:c>
      <x:c r="B115" s="12" t="n">
        <x:v>25</x:v>
      </x:c>
      <x:c r="C115" s="12" t="n">
        <x:v>111</x:v>
      </x:c>
      <x:c r="D115" s="12" t="n">
        <x:v>115</x:v>
      </x:c>
      <x:c r="E115" s="12" t="n">
        <x:v>116</x:v>
      </x:c>
      <x:c r="F115" s="12" t="n">
        <x:v>94</x:v>
      </x:c>
      <x:c r="G115" s="12" t="n">
        <x:v>94</x:v>
      </x:c>
      <x:c r="H115" s="12" t="n">
        <x:f>MIN(C115:G115)</x:f>
        <x:v>94</x:v>
      </x:c>
      <x:c r="I115" s="14" t="n">
        <x:f>(C115-$H115)/$H115*100</x:f>
        <x:v>18.085106382978726</x:v>
      </x:c>
      <x:c r="J115" s="14" t="n">
        <x:f>(D115-$H115)/$H115*100</x:f>
        <x:v>22.340425531914892</x:v>
      </x:c>
      <x:c r="K115" s="14" t="n">
        <x:f>(E115-$H115)/$H115*100</x:f>
        <x:v>23.404255319148938</x:v>
      </x:c>
      <x:c r="L115" s="14" t="n">
        <x:f>(F115-$H115)/$H115*100</x:f>
        <x:v>0</x:v>
      </x:c>
      <x:c r="M115" s="14" t="n">
        <x:f>(G115-$H115)/$H115*100</x:f>
        <x:v>0</x:v>
      </x:c>
      <x:c r="N115" s="12" t="str">
        <x:f>IF(C115=$H115,"YES","NO")</x:f>
        <x:v>NO</x:v>
      </x:c>
      <x:c r="O115" s="12" t="str">
        <x:f>IF(D115=$H115,"YES","NO")</x:f>
        <x:v>NO</x:v>
      </x:c>
      <x:c r="P115" s="12" t="str">
        <x:f>IF(E115=$H115,"YES","NO")</x:f>
        <x:v>NO</x:v>
      </x:c>
      <x:c r="Q115" s="12" t="str">
        <x:f>IF(F115=$H115,"YES","NO")</x:f>
        <x:v>YES</x:v>
      </x:c>
      <x:c r="R115" s="12" t="str">
        <x:f>IF(G115=$H115,"YES","NO")</x:f>
        <x:v>YES</x:v>
      </x:c>
    </x:row>
    <x:row r="116">
      <x:c r="A116" s="44" t="str">
        <x:v>bpps_d10000n25m10w2000_3000s1000_2000f0_seed0</x:v>
      </x:c>
      <x:c r="B116" s="12" t="n">
        <x:v>25</x:v>
      </x:c>
      <x:c r="C116" s="12" t="n">
        <x:v>11</x:v>
      </x:c>
      <x:c r="D116" s="12" t="n">
        <x:v>11</x:v>
      </x:c>
      <x:c r="E116" s="12" t="n">
        <x:v>11</x:v>
      </x:c>
      <x:c r="F116" s="12" t="n">
        <x:v>11</x:v>
      </x:c>
      <x:c r="G116" s="12" t="n">
        <x:v>11</x:v>
      </x:c>
      <x:c r="H116" s="12" t="n">
        <x:f>MIN(C116:G116)</x:f>
        <x:v>11</x:v>
      </x:c>
      <x:c r="I116" s="14" t="n">
        <x:f>(C116-$H116)/$H116*100</x:f>
        <x:v>0</x:v>
      </x:c>
      <x:c r="J116" s="14" t="n">
        <x:f>(D116-$H116)/$H116*100</x:f>
        <x:v>0</x:v>
      </x:c>
      <x:c r="K116" s="14" t="n">
        <x:f>(E116-$H116)/$H116*100</x:f>
        <x:v>0</x:v>
      </x:c>
      <x:c r="L116" s="14" t="n">
        <x:f>(F116-$H116)/$H116*100</x:f>
        <x:v>0</x:v>
      </x:c>
      <x:c r="M116" s="14" t="n">
        <x:f>(G116-$H116)/$H116*100</x:f>
        <x:v>0</x:v>
      </x:c>
      <x:c r="N116" s="12" t="str">
        <x:f>IF(C116=$H116,"YES","NO")</x:f>
        <x:v>YES</x:v>
      </x:c>
      <x:c r="O116" s="12" t="str">
        <x:f>IF(D116=$H116,"YES","NO")</x:f>
        <x:v>YES</x:v>
      </x:c>
      <x:c r="P116" s="12" t="str">
        <x:f>IF(E116=$H116,"YES","NO")</x:f>
        <x:v>YES</x:v>
      </x:c>
      <x:c r="Q116" s="12" t="str">
        <x:f>IF(F116=$H116,"YES","NO")</x:f>
        <x:v>YES</x:v>
      </x:c>
      <x:c r="R116" s="12" t="str">
        <x:f>IF(G116=$H116,"YES","NO")</x:f>
        <x:v>YES</x:v>
      </x:c>
    </x:row>
    <x:row r="117">
      <x:c r="A117" s="44" t="str">
        <x:v>bpps_d10000n25m10w2000_3000s1000_2000f1_seed0</x:v>
      </x:c>
      <x:c r="B117" s="12" t="n">
        <x:v>25</x:v>
      </x:c>
      <x:c r="C117" s="12" t="n">
        <x:v>187</x:v>
      </x:c>
      <x:c r="D117" s="12" t="n">
        <x:v>187</x:v>
      </x:c>
      <x:c r="E117" s="12" t="n">
        <x:v>187</x:v>
      </x:c>
      <x:c r="F117" s="12" t="n">
        <x:v>154</x:v>
      </x:c>
      <x:c r="G117" s="12" t="n">
        <x:v>147</x:v>
      </x:c>
      <x:c r="H117" s="12" t="n">
        <x:f>MIN(C117:G117)</x:f>
        <x:v>147</x:v>
      </x:c>
      <x:c r="I117" s="14" t="n">
        <x:f>(C117-$H117)/$H117*100</x:f>
        <x:v>27.2108843537415</x:v>
      </x:c>
      <x:c r="J117" s="14" t="n">
        <x:f>(D117-$H117)/$H117*100</x:f>
        <x:v>27.2108843537415</x:v>
      </x:c>
      <x:c r="K117" s="14" t="n">
        <x:f>(E117-$H117)/$H117*100</x:f>
        <x:v>27.2108843537415</x:v>
      </x:c>
      <x:c r="L117" s="14" t="n">
        <x:f>(F117-$H117)/$H117*100</x:f>
        <x:v>4.761904761904762</x:v>
      </x:c>
      <x:c r="M117" s="14" t="n">
        <x:f>(G117-$H117)/$H117*100</x:f>
        <x:v>0</x:v>
      </x:c>
      <x:c r="N117" s="12" t="str">
        <x:f>IF(C117=$H117,"YES","NO")</x:f>
        <x:v>NO</x:v>
      </x:c>
      <x:c r="O117" s="12" t="str">
        <x:f>IF(D117=$H117,"YES","NO")</x:f>
        <x:v>NO</x:v>
      </x:c>
      <x:c r="P117" s="12" t="str">
        <x:f>IF(E117=$H117,"YES","NO")</x:f>
        <x:v>NO</x:v>
      </x:c>
      <x:c r="Q117" s="12" t="str">
        <x:f>IF(F117=$H117,"YES","NO")</x:f>
        <x:v>NO</x:v>
      </x:c>
      <x:c r="R117" s="12" t="str">
        <x:f>IF(G117=$H117,"YES","NO")</x:f>
        <x:v>YES</x:v>
      </x:c>
    </x:row>
    <x:row r="118">
      <x:c r="A118" s="44" t="str">
        <x:v>bpps_d10000n25m10w2000_3000s100_1000f0_seed0</x:v>
      </x:c>
      <x:c r="B118" s="12" t="n">
        <x:v>25</x:v>
      </x:c>
      <x:c r="C118" s="12" t="n">
        <x:v>9</x:v>
      </x:c>
      <x:c r="D118" s="12" t="n">
        <x:v>9</x:v>
      </x:c>
      <x:c r="E118" s="12" t="n">
        <x:v>9</x:v>
      </x:c>
      <x:c r="F118" s="12" t="n">
        <x:v>10</x:v>
      </x:c>
      <x:c r="G118" s="12" t="n">
        <x:v>8</x:v>
      </x:c>
      <x:c r="H118" s="12" t="n">
        <x:f>MIN(C118:G118)</x:f>
        <x:v>8</x:v>
      </x:c>
      <x:c r="I118" s="14" t="n">
        <x:f>(C118-$H118)/$H118*100</x:f>
        <x:v>12.5</x:v>
      </x:c>
      <x:c r="J118" s="14" t="n">
        <x:f>(D118-$H118)/$H118*100</x:f>
        <x:v>12.5</x:v>
      </x:c>
      <x:c r="K118" s="14" t="n">
        <x:f>(E118-$H118)/$H118*100</x:f>
        <x:v>12.5</x:v>
      </x:c>
      <x:c r="L118" s="14" t="n">
        <x:f>(F118-$H118)/$H118*100</x:f>
        <x:v>25</x:v>
      </x:c>
      <x:c r="M118" s="14" t="n">
        <x:f>(G118-$H118)/$H118*100</x:f>
        <x:v>0</x:v>
      </x:c>
      <x:c r="N118" s="12" t="str">
        <x:f>IF(C118=$H118,"YES","NO")</x:f>
        <x:v>NO</x:v>
      </x:c>
      <x:c r="O118" s="12" t="str">
        <x:f>IF(D118=$H118,"YES","NO")</x:f>
        <x:v>NO</x:v>
      </x:c>
      <x:c r="P118" s="12" t="str">
        <x:f>IF(E118=$H118,"YES","NO")</x:f>
        <x:v>NO</x:v>
      </x:c>
      <x:c r="Q118" s="12" t="str">
        <x:f>IF(F118=$H118,"YES","NO")</x:f>
        <x:v>NO</x:v>
      </x:c>
      <x:c r="R118" s="12" t="str">
        <x:f>IF(G118=$H118,"YES","NO")</x:f>
        <x:v>YES</x:v>
      </x:c>
    </x:row>
    <x:row r="119">
      <x:c r="A119" s="44" t="str">
        <x:v>bpps_d10000n25m10w2000_3000s100_1000f1_seed0</x:v>
      </x:c>
      <x:c r="B119" s="12" t="n">
        <x:v>25</x:v>
      </x:c>
      <x:c r="C119" s="12" t="n">
        <x:v>154</x:v>
      </x:c>
      <x:c r="D119" s="12" t="n">
        <x:v>147</x:v>
      </x:c>
      <x:c r="E119" s="12" t="n">
        <x:v>146</x:v>
      </x:c>
      <x:c r="F119" s="12" t="n">
        <x:v>139</x:v>
      </x:c>
      <x:c r="G119" s="12" t="n">
        <x:v>130</x:v>
      </x:c>
      <x:c r="H119" s="12" t="n">
        <x:f>MIN(C119:G119)</x:f>
        <x:v>130</x:v>
      </x:c>
      <x:c r="I119" s="14" t="n">
        <x:f>(C119-$H119)/$H119*100</x:f>
        <x:v>18.461538461538463</x:v>
      </x:c>
      <x:c r="J119" s="14" t="n">
        <x:f>(D119-$H119)/$H119*100</x:f>
        <x:v>13.076923076923078</x:v>
      </x:c>
      <x:c r="K119" s="14" t="n">
        <x:f>(E119-$H119)/$H119*100</x:f>
        <x:v>12.307692307692308</x:v>
      </x:c>
      <x:c r="L119" s="14" t="n">
        <x:f>(F119-$H119)/$H119*100</x:f>
        <x:v>6.923076923076923</x:v>
      </x:c>
      <x:c r="M119" s="14" t="n">
        <x:f>(G119-$H119)/$H119*100</x:f>
        <x:v>0</x:v>
      </x:c>
      <x:c r="N119" s="12" t="str">
        <x:f>IF(C119=$H119,"YES","NO")</x:f>
        <x:v>NO</x:v>
      </x:c>
      <x:c r="O119" s="12" t="str">
        <x:f>IF(D119=$H119,"YES","NO")</x:f>
        <x:v>NO</x:v>
      </x:c>
      <x:c r="P119" s="12" t="str">
        <x:f>IF(E119=$H119,"YES","NO")</x:f>
        <x:v>NO</x:v>
      </x:c>
      <x:c r="Q119" s="12" t="str">
        <x:f>IF(F119=$H119,"YES","NO")</x:f>
        <x:v>NO</x:v>
      </x:c>
      <x:c r="R119" s="12" t="str">
        <x:f>IF(G119=$H119,"YES","NO")</x:f>
        <x:v>YES</x:v>
      </x:c>
    </x:row>
    <x:row r="120">
      <x:c r="A120" s="44" t="str">
        <x:v>bpps_d10000n25m10w2000_3000s100_2000f0_seed0</x:v>
      </x:c>
      <x:c r="B120" s="12" t="n">
        <x:v>25</x:v>
      </x:c>
      <x:c r="C120" s="12" t="n">
        <x:v>10</x:v>
      </x:c>
      <x:c r="D120" s="12" t="n">
        <x:v>9</x:v>
      </x:c>
      <x:c r="E120" s="12" t="n">
        <x:v>10</x:v>
      </x:c>
      <x:c r="F120" s="12" t="n">
        <x:v>11</x:v>
      </x:c>
      <x:c r="G120" s="12" t="n">
        <x:v>9</x:v>
      </x:c>
      <x:c r="H120" s="12" t="n">
        <x:f>MIN(C120:G120)</x:f>
        <x:v>9</x:v>
      </x:c>
      <x:c r="I120" s="14" t="n">
        <x:f>(C120-$H120)/$H120*100</x:f>
        <x:v>11.11111111111111</x:v>
      </x:c>
      <x:c r="J120" s="14" t="n">
        <x:f>(D120-$H120)/$H120*100</x:f>
        <x:v>0</x:v>
      </x:c>
      <x:c r="K120" s="14" t="n">
        <x:f>(E120-$H120)/$H120*100</x:f>
        <x:v>11.11111111111111</x:v>
      </x:c>
      <x:c r="L120" s="14" t="n">
        <x:f>(F120-$H120)/$H120*100</x:f>
        <x:v>22.22222222222222</x:v>
      </x:c>
      <x:c r="M120" s="14" t="n">
        <x:f>(G120-$H120)/$H120*100</x:f>
        <x:v>0</x:v>
      </x:c>
      <x:c r="N120" s="12" t="str">
        <x:f>IF(C120=$H120,"YES","NO")</x:f>
        <x:v>NO</x:v>
      </x:c>
      <x:c r="O120" s="12" t="str">
        <x:f>IF(D120=$H120,"YES","NO")</x:f>
        <x:v>YES</x:v>
      </x:c>
      <x:c r="P120" s="12" t="str">
        <x:f>IF(E120=$H120,"YES","NO")</x:f>
        <x:v>NO</x:v>
      </x:c>
      <x:c r="Q120" s="12" t="str">
        <x:f>IF(F120=$H120,"YES","NO")</x:f>
        <x:v>NO</x:v>
      </x:c>
      <x:c r="R120" s="12" t="str">
        <x:f>IF(G120=$H120,"YES","NO")</x:f>
        <x:v>YES</x:v>
      </x:c>
    </x:row>
    <x:row r="121">
      <x:c r="A121" s="44" t="str">
        <x:v>bpps_d10000n25m10w2000_3000s100_2000f1_seed0</x:v>
      </x:c>
      <x:c r="B121" s="12" t="n">
        <x:v>25</x:v>
      </x:c>
      <x:c r="C121" s="12" t="n">
        <x:v>165</x:v>
      </x:c>
      <x:c r="D121" s="12" t="n">
        <x:v>167</x:v>
      </x:c>
      <x:c r="E121" s="12" t="n">
        <x:v>164</x:v>
      </x:c>
      <x:c r="F121" s="12" t="n">
        <x:v>129</x:v>
      </x:c>
      <x:c r="G121" s="12" t="n">
        <x:v>129</x:v>
      </x:c>
      <x:c r="H121" s="12" t="n">
        <x:f>MIN(C121:G121)</x:f>
        <x:v>129</x:v>
      </x:c>
      <x:c r="I121" s="14" t="n">
        <x:f>(C121-$H121)/$H121*100</x:f>
        <x:v>27.906976744186046</x:v>
      </x:c>
      <x:c r="J121" s="14" t="n">
        <x:f>(D121-$H121)/$H121*100</x:f>
        <x:v>29.457364341085274</x:v>
      </x:c>
      <x:c r="K121" s="14" t="n">
        <x:f>(E121-$H121)/$H121*100</x:f>
        <x:v>27.131782945736433</x:v>
      </x:c>
      <x:c r="L121" s="14" t="n">
        <x:f>(F121-$H121)/$H121*100</x:f>
        <x:v>0</x:v>
      </x:c>
      <x:c r="M121" s="14" t="n">
        <x:f>(G121-$H121)/$H121*100</x:f>
        <x:v>0</x:v>
      </x:c>
      <x:c r="N121" s="12" t="str">
        <x:f>IF(C121=$H121,"YES","NO")</x:f>
        <x:v>NO</x:v>
      </x:c>
      <x:c r="O121" s="12" t="str">
        <x:f>IF(D121=$H121,"YES","NO")</x:f>
        <x:v>NO</x:v>
      </x:c>
      <x:c r="P121" s="12" t="str">
        <x:f>IF(E121=$H121,"YES","NO")</x:f>
        <x:v>NO</x:v>
      </x:c>
      <x:c r="Q121" s="12" t="str">
        <x:f>IF(F121=$H121,"YES","NO")</x:f>
        <x:v>YES</x:v>
      </x:c>
      <x:c r="R121" s="12" t="str">
        <x:f>IF(G121=$H121,"YES","NO")</x:f>
        <x:v>YES</x:v>
      </x:c>
    </x:row>
    <x:row r="122">
      <x:c r="A122" s="44" t="str">
        <x:v>bpps_d10000n25m5w1000_2000s1000_2000f0_seed0</x:v>
      </x:c>
      <x:c r="B122" s="12" t="n">
        <x:v>25</x:v>
      </x:c>
      <x:c r="C122" s="12" t="n">
        <x:v>7</x:v>
      </x:c>
      <x:c r="D122" s="12" t="n">
        <x:v>7</x:v>
      </x:c>
      <x:c r="E122" s="12" t="n">
        <x:v>7</x:v>
      </x:c>
      <x:c r="F122" s="12" t="n">
        <x:v>6</x:v>
      </x:c>
      <x:c r="G122" s="12" t="n">
        <x:v>6</x:v>
      </x:c>
      <x:c r="H122" s="12" t="n">
        <x:f>MIN(C122:G122)</x:f>
        <x:v>6</x:v>
      </x:c>
      <x:c r="I122" s="14" t="n">
        <x:f>(C122-$H122)/$H122*100</x:f>
        <x:v>16.666666666666664</x:v>
      </x:c>
      <x:c r="J122" s="14" t="n">
        <x:f>(D122-$H122)/$H122*100</x:f>
        <x:v>16.666666666666664</x:v>
      </x:c>
      <x:c r="K122" s="14" t="n">
        <x:f>(E122-$H122)/$H122*100</x:f>
        <x:v>16.666666666666664</x:v>
      </x:c>
      <x:c r="L122" s="14" t="n">
        <x:f>(F122-$H122)/$H122*100</x:f>
        <x:v>0</x:v>
      </x:c>
      <x:c r="M122" s="14" t="n">
        <x:f>(G122-$H122)/$H122*100</x:f>
        <x:v>0</x:v>
      </x:c>
      <x:c r="N122" s="12" t="str">
        <x:f>IF(C122=$H122,"YES","NO")</x:f>
        <x:v>NO</x:v>
      </x:c>
      <x:c r="O122" s="12" t="str">
        <x:f>IF(D122=$H122,"YES","NO")</x:f>
        <x:v>NO</x:v>
      </x:c>
      <x:c r="P122" s="12" t="str">
        <x:f>IF(E122=$H122,"YES","NO")</x:f>
        <x:v>NO</x:v>
      </x:c>
      <x:c r="Q122" s="12" t="str">
        <x:f>IF(F122=$H122,"YES","NO")</x:f>
        <x:v>YES</x:v>
      </x:c>
      <x:c r="R122" s="12" t="str">
        <x:f>IF(G122=$H122,"YES","NO")</x:f>
        <x:v>YES</x:v>
      </x:c>
    </x:row>
    <x:row r="123">
      <x:c r="A123" s="44" t="str">
        <x:v>bpps_d10000n25m5w1000_2000s1000_2000f1_seed0</x:v>
      </x:c>
      <x:c r="B123" s="12" t="n">
        <x:v>25</x:v>
      </x:c>
      <x:c r="C123" s="12" t="n">
        <x:v>122</x:v>
      </x:c>
      <x:c r="D123" s="12" t="n">
        <x:v>122</x:v>
      </x:c>
      <x:c r="E123" s="12" t="n">
        <x:v>122</x:v>
      </x:c>
      <x:c r="F123" s="12" t="n">
        <x:v>100</x:v>
      </x:c>
      <x:c r="G123" s="12" t="n">
        <x:v>90</x:v>
      </x:c>
      <x:c r="H123" s="12" t="n">
        <x:f>MIN(C123:G123)</x:f>
        <x:v>90</x:v>
      </x:c>
      <x:c r="I123" s="14" t="n">
        <x:f>(C123-$H123)/$H123*100</x:f>
        <x:v>35.55555555555556</x:v>
      </x:c>
      <x:c r="J123" s="14" t="n">
        <x:f>(D123-$H123)/$H123*100</x:f>
        <x:v>35.55555555555556</x:v>
      </x:c>
      <x:c r="K123" s="14" t="n">
        <x:f>(E123-$H123)/$H123*100</x:f>
        <x:v>35.55555555555556</x:v>
      </x:c>
      <x:c r="L123" s="14" t="n">
        <x:f>(F123-$H123)/$H123*100</x:f>
        <x:v>11.11111111111111</x:v>
      </x:c>
      <x:c r="M123" s="14" t="n">
        <x:f>(G123-$H123)/$H123*100</x:f>
        <x:v>0</x:v>
      </x:c>
      <x:c r="N123" s="12" t="str">
        <x:f>IF(C123=$H123,"YES","NO")</x:f>
        <x:v>NO</x:v>
      </x:c>
      <x:c r="O123" s="12" t="str">
        <x:f>IF(D123=$H123,"YES","NO")</x:f>
        <x:v>NO</x:v>
      </x:c>
      <x:c r="P123" s="12" t="str">
        <x:f>IF(E123=$H123,"YES","NO")</x:f>
        <x:v>NO</x:v>
      </x:c>
      <x:c r="Q123" s="12" t="str">
        <x:f>IF(F123=$H123,"YES","NO")</x:f>
        <x:v>NO</x:v>
      </x:c>
      <x:c r="R123" s="12" t="str">
        <x:f>IF(G123=$H123,"YES","NO")</x:f>
        <x:v>YES</x:v>
      </x:c>
    </x:row>
    <x:row r="124">
      <x:c r="A124" s="44" t="str">
        <x:v>bpps_d10000n25m5w1000_2000s100_1000f0_seed0</x:v>
      </x:c>
      <x:c r="B124" s="12" t="n">
        <x:v>25</x:v>
      </x:c>
      <x:c r="C124" s="12" t="n">
        <x:v>6</x:v>
      </x:c>
      <x:c r="D124" s="12" t="n">
        <x:v>6</x:v>
      </x:c>
      <x:c r="E124" s="12" t="n">
        <x:v>6</x:v>
      </x:c>
      <x:c r="F124" s="12" t="n">
        <x:v>6</x:v>
      </x:c>
      <x:c r="G124" s="12" t="n">
        <x:v>5</x:v>
      </x:c>
      <x:c r="H124" s="12" t="n">
        <x:f>MIN(C124:G124)</x:f>
        <x:v>5</x:v>
      </x:c>
      <x:c r="I124" s="14" t="n">
        <x:f>(C124-$H124)/$H124*100</x:f>
        <x:v>20</x:v>
      </x:c>
      <x:c r="J124" s="14" t="n">
        <x:f>(D124-$H124)/$H124*100</x:f>
        <x:v>20</x:v>
      </x:c>
      <x:c r="K124" s="14" t="n">
        <x:f>(E124-$H124)/$H124*100</x:f>
        <x:v>20</x:v>
      </x:c>
      <x:c r="L124" s="14" t="n">
        <x:f>(F124-$H124)/$H124*100</x:f>
        <x:v>20</x:v>
      </x:c>
      <x:c r="M124" s="14" t="n">
        <x:f>(G124-$H124)/$H124*100</x:f>
        <x:v>0</x:v>
      </x:c>
      <x:c r="N124" s="12" t="str">
        <x:f>IF(C124=$H124,"YES","NO")</x:f>
        <x:v>NO</x:v>
      </x:c>
      <x:c r="O124" s="12" t="str">
        <x:f>IF(D124=$H124,"YES","NO")</x:f>
        <x:v>NO</x:v>
      </x:c>
      <x:c r="P124" s="12" t="str">
        <x:f>IF(E124=$H124,"YES","NO")</x:f>
        <x:v>NO</x:v>
      </x:c>
      <x:c r="Q124" s="12" t="str">
        <x:f>IF(F124=$H124,"YES","NO")</x:f>
        <x:v>NO</x:v>
      </x:c>
      <x:c r="R124" s="12" t="str">
        <x:f>IF(G124=$H124,"YES","NO")</x:f>
        <x:v>YES</x:v>
      </x:c>
    </x:row>
    <x:row r="125">
      <x:c r="A125" s="44" t="str">
        <x:v>bpps_d10000n25m5w1000_2000s100_1000f1_seed0</x:v>
      </x:c>
      <x:c r="B125" s="12" t="n">
        <x:v>25</x:v>
      </x:c>
      <x:c r="C125" s="12" t="n">
        <x:v>116</x:v>
      </x:c>
      <x:c r="D125" s="12" t="n">
        <x:v>116</x:v>
      </x:c>
      <x:c r="E125" s="12" t="n">
        <x:v>113</x:v>
      </x:c>
      <x:c r="F125" s="12" t="n">
        <x:v>87</x:v>
      </x:c>
      <x:c r="G125" s="12" t="n">
        <x:v>77</x:v>
      </x:c>
      <x:c r="H125" s="12" t="n">
        <x:f>MIN(C125:G125)</x:f>
        <x:v>77</x:v>
      </x:c>
      <x:c r="I125" s="14" t="n">
        <x:f>(C125-$H125)/$H125*100</x:f>
        <x:v>50.649350649350644</x:v>
      </x:c>
      <x:c r="J125" s="14" t="n">
        <x:f>(D125-$H125)/$H125*100</x:f>
        <x:v>50.649350649350644</x:v>
      </x:c>
      <x:c r="K125" s="14" t="n">
        <x:f>(E125-$H125)/$H125*100</x:f>
        <x:v>46.75324675324675</x:v>
      </x:c>
      <x:c r="L125" s="14" t="n">
        <x:f>(F125-$H125)/$H125*100</x:f>
        <x:v>12.987012987012985</x:v>
      </x:c>
      <x:c r="M125" s="14" t="n">
        <x:f>(G125-$H125)/$H125*100</x:f>
        <x:v>0</x:v>
      </x:c>
      <x:c r="N125" s="12" t="str">
        <x:f>IF(C125=$H125,"YES","NO")</x:f>
        <x:v>NO</x:v>
      </x:c>
      <x:c r="O125" s="12" t="str">
        <x:f>IF(D125=$H125,"YES","NO")</x:f>
        <x:v>NO</x:v>
      </x:c>
      <x:c r="P125" s="12" t="str">
        <x:f>IF(E125=$H125,"YES","NO")</x:f>
        <x:v>NO</x:v>
      </x:c>
      <x:c r="Q125" s="12" t="str">
        <x:f>IF(F125=$H125,"YES","NO")</x:f>
        <x:v>NO</x:v>
      </x:c>
      <x:c r="R125" s="12" t="str">
        <x:f>IF(G125=$H125,"YES","NO")</x:f>
        <x:v>YES</x:v>
      </x:c>
    </x:row>
    <x:row r="126">
      <x:c r="A126" s="44" t="str">
        <x:v>bpps_d10000n25m5w1000_2000s100_2000f0_seed0</x:v>
      </x:c>
      <x:c r="B126" s="12" t="n">
        <x:v>25</x:v>
      </x:c>
      <x:c r="C126" s="12" t="n">
        <x:v>7</x:v>
      </x:c>
      <x:c r="D126" s="12" t="n">
        <x:v>7</x:v>
      </x:c>
      <x:c r="E126" s="12" t="n">
        <x:v>7</x:v>
      </x:c>
      <x:c r="F126" s="12" t="n">
        <x:v>7</x:v>
      </x:c>
      <x:c r="G126" s="12" t="n">
        <x:v>6</x:v>
      </x:c>
      <x:c r="H126" s="12" t="n">
        <x:f>MIN(C126:G126)</x:f>
        <x:v>6</x:v>
      </x:c>
      <x:c r="I126" s="14" t="n">
        <x:f>(C126-$H126)/$H126*100</x:f>
        <x:v>16.666666666666664</x:v>
      </x:c>
      <x:c r="J126" s="14" t="n">
        <x:f>(D126-$H126)/$H126*100</x:f>
        <x:v>16.666666666666664</x:v>
      </x:c>
      <x:c r="K126" s="14" t="n">
        <x:f>(E126-$H126)/$H126*100</x:f>
        <x:v>16.666666666666664</x:v>
      </x:c>
      <x:c r="L126" s="14" t="n">
        <x:f>(F126-$H126)/$H126*100</x:f>
        <x:v>16.666666666666664</x:v>
      </x:c>
      <x:c r="M126" s="14" t="n">
        <x:f>(G126-$H126)/$H126*100</x:f>
        <x:v>0</x:v>
      </x:c>
      <x:c r="N126" s="12" t="str">
        <x:f>IF(C126=$H126,"YES","NO")</x:f>
        <x:v>NO</x:v>
      </x:c>
      <x:c r="O126" s="12" t="str">
        <x:f>IF(D126=$H126,"YES","NO")</x:f>
        <x:v>NO</x:v>
      </x:c>
      <x:c r="P126" s="12" t="str">
        <x:f>IF(E126=$H126,"YES","NO")</x:f>
        <x:v>NO</x:v>
      </x:c>
      <x:c r="Q126" s="12" t="str">
        <x:f>IF(F126=$H126,"YES","NO")</x:f>
        <x:v>NO</x:v>
      </x:c>
      <x:c r="R126" s="12" t="str">
        <x:f>IF(G126=$H126,"YES","NO")</x:f>
        <x:v>YES</x:v>
      </x:c>
    </x:row>
    <x:row r="127">
      <x:c r="A127" s="44" t="str">
        <x:v>bpps_d10000n25m5w1000_2000s100_2000f1_seed0</x:v>
      </x:c>
      <x:c r="B127" s="12" t="n">
        <x:v>25</x:v>
      </x:c>
      <x:c r="C127" s="12" t="n">
        <x:v>124</x:v>
      </x:c>
      <x:c r="D127" s="12" t="n">
        <x:v>124</x:v>
      </x:c>
      <x:c r="E127" s="12" t="n">
        <x:v>122</x:v>
      </x:c>
      <x:c r="F127" s="12" t="n">
        <x:v>105</x:v>
      </x:c>
      <x:c r="G127" s="12" t="n">
        <x:v>90</x:v>
      </x:c>
      <x:c r="H127" s="12" t="n">
        <x:f>MIN(C127:G127)</x:f>
        <x:v>90</x:v>
      </x:c>
      <x:c r="I127" s="14" t="n">
        <x:f>(C127-$H127)/$H127*100</x:f>
        <x:v>37.77777777777778</x:v>
      </x:c>
      <x:c r="J127" s="14" t="n">
        <x:f>(D127-$H127)/$H127*100</x:f>
        <x:v>37.77777777777778</x:v>
      </x:c>
      <x:c r="K127" s="14" t="n">
        <x:f>(E127-$H127)/$H127*100</x:f>
        <x:v>35.55555555555556</x:v>
      </x:c>
      <x:c r="L127" s="14" t="n">
        <x:f>(F127-$H127)/$H127*100</x:f>
        <x:v>16.666666666666664</x:v>
      </x:c>
      <x:c r="M127" s="14" t="n">
        <x:f>(G127-$H127)/$H127*100</x:f>
        <x:v>0</x:v>
      </x:c>
      <x:c r="N127" s="12" t="str">
        <x:f>IF(C127=$H127,"YES","NO")</x:f>
        <x:v>NO</x:v>
      </x:c>
      <x:c r="O127" s="12" t="str">
        <x:f>IF(D127=$H127,"YES","NO")</x:f>
        <x:v>NO</x:v>
      </x:c>
      <x:c r="P127" s="12" t="str">
        <x:f>IF(E127=$H127,"YES","NO")</x:f>
        <x:v>NO</x:v>
      </x:c>
      <x:c r="Q127" s="12" t="str">
        <x:f>IF(F127=$H127,"YES","NO")</x:f>
        <x:v>NO</x:v>
      </x:c>
      <x:c r="R127" s="12" t="str">
        <x:f>IF(G127=$H127,"YES","NO")</x:f>
        <x:v>YES</x:v>
      </x:c>
    </x:row>
    <x:row r="128">
      <x:c r="A128" s="44" t="str">
        <x:v>bpps_d10000n25m5w100_1000s1000_2000f0_seed0</x:v>
      </x:c>
      <x:c r="B128" s="12" t="n">
        <x:v>25</x:v>
      </x:c>
      <x:c r="C128" s="12" t="n">
        <x:v>4</x:v>
      </x:c>
      <x:c r="D128" s="12" t="n">
        <x:v>4</x:v>
      </x:c>
      <x:c r="E128" s="12" t="n">
        <x:v>4</x:v>
      </x:c>
      <x:c r="F128" s="12" t="n">
        <x:v>5</x:v>
      </x:c>
      <x:c r="G128" s="12" t="n">
        <x:v>4</x:v>
      </x:c>
      <x:c r="H128" s="12" t="n">
        <x:f>MIN(C128:G128)</x:f>
        <x:v>4</x:v>
      </x:c>
      <x:c r="I128" s="14" t="n">
        <x:f>(C128-$H128)/$H128*100</x:f>
        <x:v>0</x:v>
      </x:c>
      <x:c r="J128" s="14" t="n">
        <x:f>(D128-$H128)/$H128*100</x:f>
        <x:v>0</x:v>
      </x:c>
      <x:c r="K128" s="14" t="n">
        <x:f>(E128-$H128)/$H128*100</x:f>
        <x:v>0</x:v>
      </x:c>
      <x:c r="L128" s="14" t="n">
        <x:f>(F128-$H128)/$H128*100</x:f>
        <x:v>25</x:v>
      </x:c>
      <x:c r="M128" s="14" t="n">
        <x:f>(G128-$H128)/$H128*100</x:f>
        <x:v>0</x:v>
      </x:c>
      <x:c r="N128" s="12" t="str">
        <x:f>IF(C128=$H128,"YES","NO")</x:f>
        <x:v>YES</x:v>
      </x:c>
      <x:c r="O128" s="12" t="str">
        <x:f>IF(D128=$H128,"YES","NO")</x:f>
        <x:v>YES</x:v>
      </x:c>
      <x:c r="P128" s="12" t="str">
        <x:f>IF(E128=$H128,"YES","NO")</x:f>
        <x:v>YES</x:v>
      </x:c>
      <x:c r="Q128" s="12" t="str">
        <x:f>IF(F128=$H128,"YES","NO")</x:f>
        <x:v>NO</x:v>
      </x:c>
      <x:c r="R128" s="12" t="str">
        <x:f>IF(G128=$H128,"YES","NO")</x:f>
        <x:v>YES</x:v>
      </x:c>
    </x:row>
    <x:row r="129">
      <x:c r="A129" s="44" t="str">
        <x:v>bpps_d10000n25m5w100_1000s1000_2000f1_seed0</x:v>
      </x:c>
      <x:c r="B129" s="12" t="n">
        <x:v>25</x:v>
      </x:c>
      <x:c r="C129" s="12" t="n">
        <x:v>57</x:v>
      </x:c>
      <x:c r="D129" s="12" t="n">
        <x:v>56</x:v>
      </x:c>
      <x:c r="E129" s="12" t="n">
        <x:v>62</x:v>
      </x:c>
      <x:c r="F129" s="12" t="n">
        <x:v>58</x:v>
      </x:c>
      <x:c r="G129" s="12" t="n">
        <x:v>55</x:v>
      </x:c>
      <x:c r="H129" s="12" t="n">
        <x:f>MIN(C129:G129)</x:f>
        <x:v>55</x:v>
      </x:c>
      <x:c r="I129" s="14" t="n">
        <x:f>(C129-$H129)/$H129*100</x:f>
        <x:v>3.6363636363636362</x:v>
      </x:c>
      <x:c r="J129" s="14" t="n">
        <x:f>(D129-$H129)/$H129*100</x:f>
        <x:v>1.8181818181818181</x:v>
      </x:c>
      <x:c r="K129" s="14" t="n">
        <x:f>(E129-$H129)/$H129*100</x:f>
        <x:v>12.727272727272727</x:v>
      </x:c>
      <x:c r="L129" s="14" t="n">
        <x:f>(F129-$H129)/$H129*100</x:f>
        <x:v>5.454545454545454</x:v>
      </x:c>
      <x:c r="M129" s="14" t="n">
        <x:f>(G129-$H129)/$H129*100</x:f>
        <x:v>0</x:v>
      </x:c>
      <x:c r="N129" s="12" t="str">
        <x:f>IF(C129=$H129,"YES","NO")</x:f>
        <x:v>NO</x:v>
      </x:c>
      <x:c r="O129" s="12" t="str">
        <x:f>IF(D129=$H129,"YES","NO")</x:f>
        <x:v>NO</x:v>
      </x:c>
      <x:c r="P129" s="12" t="str">
        <x:f>IF(E129=$H129,"YES","NO")</x:f>
        <x:v>NO</x:v>
      </x:c>
      <x:c r="Q129" s="12" t="str">
        <x:f>IF(F129=$H129,"YES","NO")</x:f>
        <x:v>NO</x:v>
      </x:c>
      <x:c r="R129" s="12" t="str">
        <x:f>IF(G129=$H129,"YES","NO")</x:f>
        <x:v>YES</x:v>
      </x:c>
    </x:row>
    <x:row r="130">
      <x:c r="A130" s="44" t="str">
        <x:v>bpps_d10000n25m5w100_1000s100_1000f0_seed0</x:v>
      </x:c>
      <x:c r="B130" s="12" t="n">
        <x:v>25</x:v>
      </x:c>
      <x:c r="C130" s="12" t="n">
        <x:v>3</x:v>
      </x:c>
      <x:c r="D130" s="12" t="n">
        <x:v>3</x:v>
      </x:c>
      <x:c r="E130" s="12" t="n">
        <x:v>3</x:v>
      </x:c>
      <x:c r="F130" s="12" t="n">
        <x:v>4</x:v>
      </x:c>
      <x:c r="G130" s="12" t="n">
        <x:v>3</x:v>
      </x:c>
      <x:c r="H130" s="12" t="n">
        <x:f>MIN(C130:G130)</x:f>
        <x:v>3</x:v>
      </x:c>
      <x:c r="I130" s="14" t="n">
        <x:f>(C130-$H130)/$H130*100</x:f>
        <x:v>0</x:v>
      </x:c>
      <x:c r="J130" s="14" t="n">
        <x:f>(D130-$H130)/$H130*100</x:f>
        <x:v>0</x:v>
      </x:c>
      <x:c r="K130" s="14" t="n">
        <x:f>(E130-$H130)/$H130*100</x:f>
        <x:v>0</x:v>
      </x:c>
      <x:c r="L130" s="14" t="n">
        <x:f>(F130-$H130)/$H130*100</x:f>
        <x:v>33.33333333333333</x:v>
      </x:c>
      <x:c r="M130" s="14" t="n">
        <x:f>(G130-$H130)/$H130*100</x:f>
        <x:v>0</x:v>
      </x:c>
      <x:c r="N130" s="12" t="str">
        <x:f>IF(C130=$H130,"YES","NO")</x:f>
        <x:v>YES</x:v>
      </x:c>
      <x:c r="O130" s="12" t="str">
        <x:f>IF(D130=$H130,"YES","NO")</x:f>
        <x:v>YES</x:v>
      </x:c>
      <x:c r="P130" s="12" t="str">
        <x:f>IF(E130=$H130,"YES","NO")</x:f>
        <x:v>YES</x:v>
      </x:c>
      <x:c r="Q130" s="12" t="str">
        <x:f>IF(F130=$H130,"YES","NO")</x:f>
        <x:v>NO</x:v>
      </x:c>
      <x:c r="R130" s="12" t="str">
        <x:f>IF(G130=$H130,"YES","NO")</x:f>
        <x:v>YES</x:v>
      </x:c>
    </x:row>
    <x:row r="131">
      <x:c r="A131" s="44" t="str">
        <x:v>bpps_d10000n25m5w100_1000s100_1000f1_seed0</x:v>
      </x:c>
      <x:c r="B131" s="12" t="n">
        <x:v>25</x:v>
      </x:c>
      <x:c r="C131" s="12" t="n">
        <x:v>55</x:v>
      </x:c>
      <x:c r="D131" s="12" t="n">
        <x:v>55</x:v>
      </x:c>
      <x:c r="E131" s="12" t="n">
        <x:v>51</x:v>
      </x:c>
      <x:c r="F131" s="12" t="n">
        <x:v>61</x:v>
      </x:c>
      <x:c r="G131" s="12" t="n">
        <x:v>51</x:v>
      </x:c>
      <x:c r="H131" s="12" t="n">
        <x:f>MIN(C131:G131)</x:f>
        <x:v>51</x:v>
      </x:c>
      <x:c r="I131" s="14" t="n">
        <x:f>(C131-$H131)/$H131*100</x:f>
        <x:v>7.8431372549019605</x:v>
      </x:c>
      <x:c r="J131" s="14" t="n">
        <x:f>(D131-$H131)/$H131*100</x:f>
        <x:v>7.8431372549019605</x:v>
      </x:c>
      <x:c r="K131" s="14" t="n">
        <x:f>(E131-$H131)/$H131*100</x:f>
        <x:v>0</x:v>
      </x:c>
      <x:c r="L131" s="14" t="n">
        <x:f>(F131-$H131)/$H131*100</x:f>
        <x:v>19.607843137254903</x:v>
      </x:c>
      <x:c r="M131" s="14" t="n">
        <x:f>(G131-$H131)/$H131*100</x:f>
        <x:v>0</x:v>
      </x:c>
      <x:c r="N131" s="12" t="str">
        <x:f>IF(C131=$H131,"YES","NO")</x:f>
        <x:v>NO</x:v>
      </x:c>
      <x:c r="O131" s="12" t="str">
        <x:f>IF(D131=$H131,"YES","NO")</x:f>
        <x:v>NO</x:v>
      </x:c>
      <x:c r="P131" s="12" t="str">
        <x:f>IF(E131=$H131,"YES","NO")</x:f>
        <x:v>YES</x:v>
      </x:c>
      <x:c r="Q131" s="12" t="str">
        <x:f>IF(F131=$H131,"YES","NO")</x:f>
        <x:v>NO</x:v>
      </x:c>
      <x:c r="R131" s="12" t="str">
        <x:f>IF(G131=$H131,"YES","NO")</x:f>
        <x:v>YES</x:v>
      </x:c>
    </x:row>
    <x:row r="132">
      <x:c r="A132" s="44" t="str">
        <x:v>bpps_d10000n25m5w100_1000s100_2000f0_seed0</x:v>
      </x:c>
      <x:c r="B132" s="12" t="n">
        <x:v>25</x:v>
      </x:c>
      <x:c r="C132" s="12" t="n">
        <x:v>4</x:v>
      </x:c>
      <x:c r="D132" s="12" t="n">
        <x:v>4</x:v>
      </x:c>
      <x:c r="E132" s="12" t="n">
        <x:v>4</x:v>
      </x:c>
      <x:c r="F132" s="12" t="n">
        <x:v>5</x:v>
      </x:c>
      <x:c r="G132" s="12" t="n">
        <x:v>4</x:v>
      </x:c>
      <x:c r="H132" s="12" t="n">
        <x:f>MIN(C132:G132)</x:f>
        <x:v>4</x:v>
      </x:c>
      <x:c r="I132" s="14" t="n">
        <x:f>(C132-$H132)/$H132*100</x:f>
        <x:v>0</x:v>
      </x:c>
      <x:c r="J132" s="14" t="n">
        <x:f>(D132-$H132)/$H132*100</x:f>
        <x:v>0</x:v>
      </x:c>
      <x:c r="K132" s="14" t="n">
        <x:f>(E132-$H132)/$H132*100</x:f>
        <x:v>0</x:v>
      </x:c>
      <x:c r="L132" s="14" t="n">
        <x:f>(F132-$H132)/$H132*100</x:f>
        <x:v>25</x:v>
      </x:c>
      <x:c r="M132" s="14" t="n">
        <x:f>(G132-$H132)/$H132*100</x:f>
        <x:v>0</x:v>
      </x:c>
      <x:c r="N132" s="12" t="str">
        <x:f>IF(C132=$H132,"YES","NO")</x:f>
        <x:v>YES</x:v>
      </x:c>
      <x:c r="O132" s="12" t="str">
        <x:f>IF(D132=$H132,"YES","NO")</x:f>
        <x:v>YES</x:v>
      </x:c>
      <x:c r="P132" s="12" t="str">
        <x:f>IF(E132=$H132,"YES","NO")</x:f>
        <x:v>YES</x:v>
      </x:c>
      <x:c r="Q132" s="12" t="str">
        <x:f>IF(F132=$H132,"YES","NO")</x:f>
        <x:v>NO</x:v>
      </x:c>
      <x:c r="R132" s="12" t="str">
        <x:f>IF(G132=$H132,"YES","NO")</x:f>
        <x:v>YES</x:v>
      </x:c>
    </x:row>
    <x:row r="133">
      <x:c r="A133" s="44" t="str">
        <x:v>bpps_d10000n25m5w100_1000s100_2000f1_seed0</x:v>
      </x:c>
      <x:c r="B133" s="12" t="n">
        <x:v>25</x:v>
      </x:c>
      <x:c r="C133" s="12" t="n">
        <x:v>58</x:v>
      </x:c>
      <x:c r="D133" s="12" t="n">
        <x:v>61</x:v>
      </x:c>
      <x:c r="E133" s="12" t="n">
        <x:v>57</x:v>
      </x:c>
      <x:c r="F133" s="12" t="n">
        <x:v>58</x:v>
      </x:c>
      <x:c r="G133" s="12" t="n">
        <x:v>51</x:v>
      </x:c>
      <x:c r="H133" s="12" t="n">
        <x:f>MIN(C133:G133)</x:f>
        <x:v>51</x:v>
      </x:c>
      <x:c r="I133" s="14" t="n">
        <x:f>(C133-$H133)/$H133*100</x:f>
        <x:v>13.725490196078432</x:v>
      </x:c>
      <x:c r="J133" s="14" t="n">
        <x:f>(D133-$H133)/$H133*100</x:f>
        <x:v>19.607843137254903</x:v>
      </x:c>
      <x:c r="K133" s="14" t="n">
        <x:f>(E133-$H133)/$H133*100</x:f>
        <x:v>11.76470588235294</x:v>
      </x:c>
      <x:c r="L133" s="14" t="n">
        <x:f>(F133-$H133)/$H133*100</x:f>
        <x:v>13.725490196078432</x:v>
      </x:c>
      <x:c r="M133" s="14" t="n">
        <x:f>(G133-$H133)/$H133*100</x:f>
        <x:v>0</x:v>
      </x:c>
      <x:c r="N133" s="12" t="str">
        <x:f>IF(C133=$H133,"YES","NO")</x:f>
        <x:v>NO</x:v>
      </x:c>
      <x:c r="O133" s="12" t="str">
        <x:f>IF(D133=$H133,"YES","NO")</x:f>
        <x:v>NO</x:v>
      </x:c>
      <x:c r="P133" s="12" t="str">
        <x:f>IF(E133=$H133,"YES","NO")</x:f>
        <x:v>NO</x:v>
      </x:c>
      <x:c r="Q133" s="12" t="str">
        <x:f>IF(F133=$H133,"YES","NO")</x:f>
        <x:v>NO</x:v>
      </x:c>
      <x:c r="R133" s="12" t="str">
        <x:f>IF(G133=$H133,"YES","NO")</x:f>
        <x:v>YES</x:v>
      </x:c>
    </x:row>
    <x:row r="134">
      <x:c r="A134" s="44" t="str">
        <x:v>bpps_d10000n25m5w100_3000s1000_2000f0_seed0</x:v>
      </x:c>
      <x:c r="B134" s="12" t="n">
        <x:v>25</x:v>
      </x:c>
      <x:c r="C134" s="12" t="n">
        <x:v>7</x:v>
      </x:c>
      <x:c r="D134" s="12" t="n">
        <x:v>7</x:v>
      </x:c>
      <x:c r="E134" s="12" t="n">
        <x:v>7</x:v>
      </x:c>
      <x:c r="F134" s="12" t="n">
        <x:v>6</x:v>
      </x:c>
      <x:c r="G134" s="12" t="n">
        <x:v>6</x:v>
      </x:c>
      <x:c r="H134" s="12" t="n">
        <x:f>MIN(C134:G134)</x:f>
        <x:v>6</x:v>
      </x:c>
      <x:c r="I134" s="14" t="n">
        <x:f>(C134-$H134)/$H134*100</x:f>
        <x:v>16.666666666666664</x:v>
      </x:c>
      <x:c r="J134" s="14" t="n">
        <x:f>(D134-$H134)/$H134*100</x:f>
        <x:v>16.666666666666664</x:v>
      </x:c>
      <x:c r="K134" s="14" t="n">
        <x:f>(E134-$H134)/$H134*100</x:f>
        <x:v>16.666666666666664</x:v>
      </x:c>
      <x:c r="L134" s="14" t="n">
        <x:f>(F134-$H134)/$H134*100</x:f>
        <x:v>0</x:v>
      </x:c>
      <x:c r="M134" s="14" t="n">
        <x:f>(G134-$H134)/$H134*100</x:f>
        <x:v>0</x:v>
      </x:c>
      <x:c r="N134" s="12" t="str">
        <x:f>IF(C134=$H134,"YES","NO")</x:f>
        <x:v>NO</x:v>
      </x:c>
      <x:c r="O134" s="12" t="str">
        <x:f>IF(D134=$H134,"YES","NO")</x:f>
        <x:v>NO</x:v>
      </x:c>
      <x:c r="P134" s="12" t="str">
        <x:f>IF(E134=$H134,"YES","NO")</x:f>
        <x:v>NO</x:v>
      </x:c>
      <x:c r="Q134" s="12" t="str">
        <x:f>IF(F134=$H134,"YES","NO")</x:f>
        <x:v>YES</x:v>
      </x:c>
      <x:c r="R134" s="12" t="str">
        <x:f>IF(G134=$H134,"YES","NO")</x:f>
        <x:v>YES</x:v>
      </x:c>
    </x:row>
    <x:row r="135">
      <x:c r="A135" s="44" t="str">
        <x:v>bpps_d10000n25m5w100_3000s1000_2000f1_seed0</x:v>
      </x:c>
      <x:c r="B135" s="12" t="n">
        <x:v>25</x:v>
      </x:c>
      <x:c r="C135" s="12" t="n">
        <x:v>118</x:v>
      </x:c>
      <x:c r="D135" s="12" t="n">
        <x:v>118</x:v>
      </x:c>
      <x:c r="E135" s="12" t="n">
        <x:v>112</x:v>
      </x:c>
      <x:c r="F135" s="12" t="n">
        <x:v>105</x:v>
      </x:c>
      <x:c r="G135" s="12" t="n">
        <x:v>104</x:v>
      </x:c>
      <x:c r="H135" s="12" t="n">
        <x:f>MIN(C135:G135)</x:f>
        <x:v>104</x:v>
      </x:c>
      <x:c r="I135" s="14" t="n">
        <x:f>(C135-$H135)/$H135*100</x:f>
        <x:v>13.461538461538462</x:v>
      </x:c>
      <x:c r="J135" s="14" t="n">
        <x:f>(D135-$H135)/$H135*100</x:f>
        <x:v>13.461538461538462</x:v>
      </x:c>
      <x:c r="K135" s="14" t="n">
        <x:f>(E135-$H135)/$H135*100</x:f>
        <x:v>7.6923076923076925</x:v>
      </x:c>
      <x:c r="L135" s="14" t="n">
        <x:f>(F135-$H135)/$H135*100</x:f>
        <x:v>0.9615384615384616</x:v>
      </x:c>
      <x:c r="M135" s="14" t="n">
        <x:f>(G135-$H135)/$H135*100</x:f>
        <x:v>0</x:v>
      </x:c>
      <x:c r="N135" s="12" t="str">
        <x:f>IF(C135=$H135,"YES","NO")</x:f>
        <x:v>NO</x:v>
      </x:c>
      <x:c r="O135" s="12" t="str">
        <x:f>IF(D135=$H135,"YES","NO")</x:f>
        <x:v>NO</x:v>
      </x:c>
      <x:c r="P135" s="12" t="str">
        <x:f>IF(E135=$H135,"YES","NO")</x:f>
        <x:v>NO</x:v>
      </x:c>
      <x:c r="Q135" s="12" t="str">
        <x:f>IF(F135=$H135,"YES","NO")</x:f>
        <x:v>NO</x:v>
      </x:c>
      <x:c r="R135" s="12" t="str">
        <x:f>IF(G135=$H135,"YES","NO")</x:f>
        <x:v>YES</x:v>
      </x:c>
    </x:row>
    <x:row r="136">
      <x:c r="A136" s="44" t="str">
        <x:v>bpps_d10000n25m5w100_3000s100_1000f0_seed0</x:v>
      </x:c>
      <x:c r="B136" s="12" t="n">
        <x:v>25</x:v>
      </x:c>
      <x:c r="C136" s="12" t="n">
        <x:v>6</x:v>
      </x:c>
      <x:c r="D136" s="12" t="n">
        <x:v>5</x:v>
      </x:c>
      <x:c r="E136" s="12" t="n">
        <x:v>5</x:v>
      </x:c>
      <x:c r="F136" s="12" t="n">
        <x:v>6</x:v>
      </x:c>
      <x:c r="G136" s="12" t="n">
        <x:v>5</x:v>
      </x:c>
      <x:c r="H136" s="12" t="n">
        <x:f>MIN(C136:G136)</x:f>
        <x:v>5</x:v>
      </x:c>
      <x:c r="I136" s="14" t="n">
        <x:f>(C136-$H136)/$H136*100</x:f>
        <x:v>20</x:v>
      </x:c>
      <x:c r="J136" s="14" t="n">
        <x:f>(D136-$H136)/$H136*100</x:f>
        <x:v>0</x:v>
      </x:c>
      <x:c r="K136" s="14" t="n">
        <x:f>(E136-$H136)/$H136*100</x:f>
        <x:v>0</x:v>
      </x:c>
      <x:c r="L136" s="14" t="n">
        <x:f>(F136-$H136)/$H136*100</x:f>
        <x:v>20</x:v>
      </x:c>
      <x:c r="M136" s="14" t="n">
        <x:f>(G136-$H136)/$H136*100</x:f>
        <x:v>0</x:v>
      </x:c>
      <x:c r="N136" s="12" t="str">
        <x:f>IF(C136=$H136,"YES","NO")</x:f>
        <x:v>NO</x:v>
      </x:c>
      <x:c r="O136" s="12" t="str">
        <x:f>IF(D136=$H136,"YES","NO")</x:f>
        <x:v>YES</x:v>
      </x:c>
      <x:c r="P136" s="12" t="str">
        <x:f>IF(E136=$H136,"YES","NO")</x:f>
        <x:v>YES</x:v>
      </x:c>
      <x:c r="Q136" s="12" t="str">
        <x:f>IF(F136=$H136,"YES","NO")</x:f>
        <x:v>NO</x:v>
      </x:c>
      <x:c r="R136" s="12" t="str">
        <x:f>IF(G136=$H136,"YES","NO")</x:f>
        <x:v>YES</x:v>
      </x:c>
    </x:row>
    <x:row r="137">
      <x:c r="A137" s="44" t="str">
        <x:v>bpps_d10000n25m5w100_3000s100_1000f1_seed0</x:v>
      </x:c>
      <x:c r="B137" s="12" t="n">
        <x:v>25</x:v>
      </x:c>
      <x:c r="C137" s="12" t="n">
        <x:v>106</x:v>
      </x:c>
      <x:c r="D137" s="12" t="n">
        <x:v>106</x:v>
      </x:c>
      <x:c r="E137" s="12" t="n">
        <x:v>102</x:v>
      </x:c>
      <x:c r="F137" s="12" t="n">
        <x:v>85</x:v>
      </x:c>
      <x:c r="G137" s="12" t="n">
        <x:v>79</x:v>
      </x:c>
      <x:c r="H137" s="12" t="n">
        <x:f>MIN(C137:G137)</x:f>
        <x:v>79</x:v>
      </x:c>
      <x:c r="I137" s="14" t="n">
        <x:f>(C137-$H137)/$H137*100</x:f>
        <x:v>34.177215189873415</x:v>
      </x:c>
      <x:c r="J137" s="14" t="n">
        <x:f>(D137-$H137)/$H137*100</x:f>
        <x:v>34.177215189873415</x:v>
      </x:c>
      <x:c r="K137" s="14" t="n">
        <x:f>(E137-$H137)/$H137*100</x:f>
        <x:v>29.11392405063291</x:v>
      </x:c>
      <x:c r="L137" s="14" t="n">
        <x:f>(F137-$H137)/$H137*100</x:f>
        <x:v>7.59493670886076</x:v>
      </x:c>
      <x:c r="M137" s="14" t="n">
        <x:f>(G137-$H137)/$H137*100</x:f>
        <x:v>0</x:v>
      </x:c>
      <x:c r="N137" s="12" t="str">
        <x:f>IF(C137=$H137,"YES","NO")</x:f>
        <x:v>NO</x:v>
      </x:c>
      <x:c r="O137" s="12" t="str">
        <x:f>IF(D137=$H137,"YES","NO")</x:f>
        <x:v>NO</x:v>
      </x:c>
      <x:c r="P137" s="12" t="str">
        <x:f>IF(E137=$H137,"YES","NO")</x:f>
        <x:v>NO</x:v>
      </x:c>
      <x:c r="Q137" s="12" t="str">
        <x:f>IF(F137=$H137,"YES","NO")</x:f>
        <x:v>NO</x:v>
      </x:c>
      <x:c r="R137" s="12" t="str">
        <x:f>IF(G137=$H137,"YES","NO")</x:f>
        <x:v>YES</x:v>
      </x:c>
    </x:row>
    <x:row r="138">
      <x:c r="A138" s="44" t="str">
        <x:v>bpps_d10000n25m5w100_3000s100_2000f0_seed0</x:v>
      </x:c>
      <x:c r="B138" s="12" t="n">
        <x:v>25</x:v>
      </x:c>
      <x:c r="C138" s="12" t="n">
        <x:v>6</x:v>
      </x:c>
      <x:c r="D138" s="12" t="n">
        <x:v>6</x:v>
      </x:c>
      <x:c r="E138" s="12" t="n">
        <x:v>7</x:v>
      </x:c>
      <x:c r="F138" s="12" t="n">
        <x:v>6</x:v>
      </x:c>
      <x:c r="G138" s="12" t="n">
        <x:v>6</x:v>
      </x:c>
      <x:c r="H138" s="12" t="n">
        <x:f>MIN(C138:G138)</x:f>
        <x:v>6</x:v>
      </x:c>
      <x:c r="I138" s="14" t="n">
        <x:f>(C138-$H138)/$H138*100</x:f>
        <x:v>0</x:v>
      </x:c>
      <x:c r="J138" s="14" t="n">
        <x:f>(D138-$H138)/$H138*100</x:f>
        <x:v>0</x:v>
      </x:c>
      <x:c r="K138" s="14" t="n">
        <x:f>(E138-$H138)/$H138*100</x:f>
        <x:v>16.666666666666664</x:v>
      </x:c>
      <x:c r="L138" s="14" t="n">
        <x:f>(F138-$H138)/$H138*100</x:f>
        <x:v>0</x:v>
      </x:c>
      <x:c r="M138" s="14" t="n">
        <x:f>(G138-$H138)/$H138*100</x:f>
        <x:v>0</x:v>
      </x:c>
      <x:c r="N138" s="12" t="str">
        <x:f>IF(C138=$H138,"YES","NO")</x:f>
        <x:v>YES</x:v>
      </x:c>
      <x:c r="O138" s="12" t="str">
        <x:f>IF(D138=$H138,"YES","NO")</x:f>
        <x:v>YES</x:v>
      </x:c>
      <x:c r="P138" s="12" t="str">
        <x:f>IF(E138=$H138,"YES","NO")</x:f>
        <x:v>NO</x:v>
      </x:c>
      <x:c r="Q138" s="12" t="str">
        <x:f>IF(F138=$H138,"YES","NO")</x:f>
        <x:v>YES</x:v>
      </x:c>
      <x:c r="R138" s="12" t="str">
        <x:f>IF(G138=$H138,"YES","NO")</x:f>
        <x:v>YES</x:v>
      </x:c>
    </x:row>
    <x:row r="139">
      <x:c r="A139" s="44" t="str">
        <x:v>bpps_d10000n25m5w100_3000s100_2000f1_seed0</x:v>
      </x:c>
      <x:c r="B139" s="12" t="n">
        <x:v>25</x:v>
      </x:c>
      <x:c r="C139" s="12" t="n">
        <x:v>113</x:v>
      </x:c>
      <x:c r="D139" s="12" t="n">
        <x:v>113</x:v>
      </x:c>
      <x:c r="E139" s="12" t="n">
        <x:v>113</x:v>
      </x:c>
      <x:c r="F139" s="12" t="n">
        <x:v>86</x:v>
      </x:c>
      <x:c r="G139" s="12" t="n">
        <x:v>86</x:v>
      </x:c>
      <x:c r="H139" s="12" t="n">
        <x:f>MIN(C139:G139)</x:f>
        <x:v>86</x:v>
      </x:c>
      <x:c r="I139" s="14" t="n">
        <x:f>(C139-$H139)/$H139*100</x:f>
        <x:v>31.3953488372093</x:v>
      </x:c>
      <x:c r="J139" s="14" t="n">
        <x:f>(D139-$H139)/$H139*100</x:f>
        <x:v>31.3953488372093</x:v>
      </x:c>
      <x:c r="K139" s="14" t="n">
        <x:f>(E139-$H139)/$H139*100</x:f>
        <x:v>31.3953488372093</x:v>
      </x:c>
      <x:c r="L139" s="14" t="n">
        <x:f>(F139-$H139)/$H139*100</x:f>
        <x:v>0</x:v>
      </x:c>
      <x:c r="M139" s="14" t="n">
        <x:f>(G139-$H139)/$H139*100</x:f>
        <x:v>0</x:v>
      </x:c>
      <x:c r="N139" s="12" t="str">
        <x:f>IF(C139=$H139,"YES","NO")</x:f>
        <x:v>NO</x:v>
      </x:c>
      <x:c r="O139" s="12" t="str">
        <x:f>IF(D139=$H139,"YES","NO")</x:f>
        <x:v>NO</x:v>
      </x:c>
      <x:c r="P139" s="12" t="str">
        <x:f>IF(E139=$H139,"YES","NO")</x:f>
        <x:v>NO</x:v>
      </x:c>
      <x:c r="Q139" s="12" t="str">
        <x:f>IF(F139=$H139,"YES","NO")</x:f>
        <x:v>YES</x:v>
      </x:c>
      <x:c r="R139" s="12" t="str">
        <x:f>IF(G139=$H139,"YES","NO")</x:f>
        <x:v>YES</x:v>
      </x:c>
    </x:row>
    <x:row r="140">
      <x:c r="A140" s="44" t="str">
        <x:v>bpps_d10000n25m5w2000_3000s1000_2000f0_seed0</x:v>
      </x:c>
      <x:c r="B140" s="12" t="n">
        <x:v>25</x:v>
      </x:c>
      <x:c r="C140" s="12" t="n">
        <x:v>11</x:v>
      </x:c>
      <x:c r="D140" s="12" t="n">
        <x:v>11</x:v>
      </x:c>
      <x:c r="E140" s="12" t="n">
        <x:v>11</x:v>
      </x:c>
      <x:c r="F140" s="12" t="n">
        <x:v>9</x:v>
      </x:c>
      <x:c r="G140" s="12" t="n">
        <x:v>9</x:v>
      </x:c>
      <x:c r="H140" s="12" t="n">
        <x:f>MIN(C140:G140)</x:f>
        <x:v>9</x:v>
      </x:c>
      <x:c r="I140" s="14" t="n">
        <x:f>(C140-$H140)/$H140*100</x:f>
        <x:v>22.22222222222222</x:v>
      </x:c>
      <x:c r="J140" s="14" t="n">
        <x:f>(D140-$H140)/$H140*100</x:f>
        <x:v>22.22222222222222</x:v>
      </x:c>
      <x:c r="K140" s="14" t="n">
        <x:f>(E140-$H140)/$H140*100</x:f>
        <x:v>22.22222222222222</x:v>
      </x:c>
      <x:c r="L140" s="14" t="n">
        <x:f>(F140-$H140)/$H140*100</x:f>
        <x:v>0</x:v>
      </x:c>
      <x:c r="M140" s="14" t="n">
        <x:f>(G140-$H140)/$H140*100</x:f>
        <x:v>0</x:v>
      </x:c>
      <x:c r="N140" s="12" t="str">
        <x:f>IF(C140=$H140,"YES","NO")</x:f>
        <x:v>NO</x:v>
      </x:c>
      <x:c r="O140" s="12" t="str">
        <x:f>IF(D140=$H140,"YES","NO")</x:f>
        <x:v>NO</x:v>
      </x:c>
      <x:c r="P140" s="12" t="str">
        <x:f>IF(E140=$H140,"YES","NO")</x:f>
        <x:v>NO</x:v>
      </x:c>
      <x:c r="Q140" s="12" t="str">
        <x:f>IF(F140=$H140,"YES","NO")</x:f>
        <x:v>YES</x:v>
      </x:c>
      <x:c r="R140" s="12" t="str">
        <x:f>IF(G140=$H140,"YES","NO")</x:f>
        <x:v>YES</x:v>
      </x:c>
    </x:row>
    <x:row r="141">
      <x:c r="A141" s="44" t="str">
        <x:v>bpps_d10000n25m5w2000_3000s1000_2000f1_seed0</x:v>
      </x:c>
      <x:c r="B141" s="12" t="n">
        <x:v>25</x:v>
      </x:c>
      <x:c r="C141" s="12" t="n">
        <x:v>168</x:v>
      </x:c>
      <x:c r="D141" s="12" t="n">
        <x:v>168</x:v>
      </x:c>
      <x:c r="E141" s="12" t="n">
        <x:v>168</x:v>
      </x:c>
      <x:c r="F141" s="12" t="n">
        <x:v>139</x:v>
      </x:c>
      <x:c r="G141" s="12" t="n">
        <x:v>139</x:v>
      </x:c>
      <x:c r="H141" s="12" t="n">
        <x:f>MIN(C141:G141)</x:f>
        <x:v>139</x:v>
      </x:c>
      <x:c r="I141" s="14" t="n">
        <x:f>(C141-$H141)/$H141*100</x:f>
        <x:v>20.863309352517987</x:v>
      </x:c>
      <x:c r="J141" s="14" t="n">
        <x:f>(D141-$H141)/$H141*100</x:f>
        <x:v>20.863309352517987</x:v>
      </x:c>
      <x:c r="K141" s="14" t="n">
        <x:f>(E141-$H141)/$H141*100</x:f>
        <x:v>20.863309352517987</x:v>
      </x:c>
      <x:c r="L141" s="14" t="n">
        <x:f>(F141-$H141)/$H141*100</x:f>
        <x:v>0</x:v>
      </x:c>
      <x:c r="M141" s="14" t="n">
        <x:f>(G141-$H141)/$H141*100</x:f>
        <x:v>0</x:v>
      </x:c>
      <x:c r="N141" s="12" t="str">
        <x:f>IF(C141=$H141,"YES","NO")</x:f>
        <x:v>NO</x:v>
      </x:c>
      <x:c r="O141" s="12" t="str">
        <x:f>IF(D141=$H141,"YES","NO")</x:f>
        <x:v>NO</x:v>
      </x:c>
      <x:c r="P141" s="12" t="str">
        <x:f>IF(E141=$H141,"YES","NO")</x:f>
        <x:v>NO</x:v>
      </x:c>
      <x:c r="Q141" s="12" t="str">
        <x:f>IF(F141=$H141,"YES","NO")</x:f>
        <x:v>YES</x:v>
      </x:c>
      <x:c r="R141" s="12" t="str">
        <x:f>IF(G141=$H141,"YES","NO")</x:f>
        <x:v>YES</x:v>
      </x:c>
    </x:row>
    <x:row r="142">
      <x:c r="A142" s="44" t="str">
        <x:v>bpps_d10000n25m5w2000_3000s100_1000f0_seed0</x:v>
      </x:c>
      <x:c r="B142" s="12" t="n">
        <x:v>25</x:v>
      </x:c>
      <x:c r="C142" s="12" t="n">
        <x:v>9</x:v>
      </x:c>
      <x:c r="D142" s="12" t="n">
        <x:v>9</x:v>
      </x:c>
      <x:c r="E142" s="12" t="n">
        <x:v>9</x:v>
      </x:c>
      <x:c r="F142" s="12" t="n">
        <x:v>9</x:v>
      </x:c>
      <x:c r="G142" s="12" t="n">
        <x:v>9</x:v>
      </x:c>
      <x:c r="H142" s="12" t="n">
        <x:f>MIN(C142:G142)</x:f>
        <x:v>9</x:v>
      </x:c>
      <x:c r="I142" s="14" t="n">
        <x:f>(C142-$H142)/$H142*100</x:f>
        <x:v>0</x:v>
      </x:c>
      <x:c r="J142" s="14" t="n">
        <x:f>(D142-$H142)/$H142*100</x:f>
        <x:v>0</x:v>
      </x:c>
      <x:c r="K142" s="14" t="n">
        <x:f>(E142-$H142)/$H142*100</x:f>
        <x:v>0</x:v>
      </x:c>
      <x:c r="L142" s="14" t="n">
        <x:f>(F142-$H142)/$H142*100</x:f>
        <x:v>0</x:v>
      </x:c>
      <x:c r="M142" s="14" t="n">
        <x:f>(G142-$H142)/$H142*100</x:f>
        <x:v>0</x:v>
      </x:c>
      <x:c r="N142" s="12" t="str">
        <x:f>IF(C142=$H142,"YES","NO")</x:f>
        <x:v>YES</x:v>
      </x:c>
      <x:c r="O142" s="12" t="str">
        <x:f>IF(D142=$H142,"YES","NO")</x:f>
        <x:v>YES</x:v>
      </x:c>
      <x:c r="P142" s="12" t="str">
        <x:f>IF(E142=$H142,"YES","NO")</x:f>
        <x:v>YES</x:v>
      </x:c>
      <x:c r="Q142" s="12" t="str">
        <x:f>IF(F142=$H142,"YES","NO")</x:f>
        <x:v>YES</x:v>
      </x:c>
      <x:c r="R142" s="12" t="str">
        <x:f>IF(G142=$H142,"YES","NO")</x:f>
        <x:v>YES</x:v>
      </x:c>
    </x:row>
    <x:row r="143">
      <x:c r="A143" s="44" t="str">
        <x:v>bpps_d10000n25m5w2000_3000s100_1000f1_seed0</x:v>
      </x:c>
      <x:c r="B143" s="12" t="n">
        <x:v>25</x:v>
      </x:c>
      <x:c r="C143" s="12" t="n">
        <x:v>147</x:v>
      </x:c>
      <x:c r="D143" s="12" t="n">
        <x:v>147</x:v>
      </x:c>
      <x:c r="E143" s="12" t="n">
        <x:v>146</x:v>
      </x:c>
      <x:c r="F143" s="12" t="n">
        <x:v>130</x:v>
      </x:c>
      <x:c r="G143" s="12" t="n">
        <x:v>126</x:v>
      </x:c>
      <x:c r="H143" s="12" t="n">
        <x:f>MIN(C143:G143)</x:f>
        <x:v>126</x:v>
      </x:c>
      <x:c r="I143" s="14" t="n">
        <x:f>(C143-$H143)/$H143*100</x:f>
        <x:v>16.666666666666664</x:v>
      </x:c>
      <x:c r="J143" s="14" t="n">
        <x:f>(D143-$H143)/$H143*100</x:f>
        <x:v>16.666666666666664</x:v>
      </x:c>
      <x:c r="K143" s="14" t="n">
        <x:f>(E143-$H143)/$H143*100</x:f>
        <x:v>15.873015873015872</x:v>
      </x:c>
      <x:c r="L143" s="14" t="n">
        <x:f>(F143-$H143)/$H143*100</x:f>
        <x:v>3.1746031746031744</x:v>
      </x:c>
      <x:c r="M143" s="14" t="n">
        <x:f>(G143-$H143)/$H143*100</x:f>
        <x:v>0</x:v>
      </x:c>
      <x:c r="N143" s="12" t="str">
        <x:f>IF(C143=$H143,"YES","NO")</x:f>
        <x:v>NO</x:v>
      </x:c>
      <x:c r="O143" s="12" t="str">
        <x:f>IF(D143=$H143,"YES","NO")</x:f>
        <x:v>NO</x:v>
      </x:c>
      <x:c r="P143" s="12" t="str">
        <x:f>IF(E143=$H143,"YES","NO")</x:f>
        <x:v>NO</x:v>
      </x:c>
      <x:c r="Q143" s="12" t="str">
        <x:f>IF(F143=$H143,"YES","NO")</x:f>
        <x:v>NO</x:v>
      </x:c>
      <x:c r="R143" s="12" t="str">
        <x:f>IF(G143=$H143,"YES","NO")</x:f>
        <x:v>YES</x:v>
      </x:c>
    </x:row>
    <x:row r="144">
      <x:c r="A144" s="44" t="str">
        <x:v>bpps_d10000n25m5w2000_3000s100_2000f0_seed0</x:v>
      </x:c>
      <x:c r="B144" s="12" t="n">
        <x:v>25</x:v>
      </x:c>
      <x:c r="C144" s="12" t="n">
        <x:v>10</x:v>
      </x:c>
      <x:c r="D144" s="12" t="n">
        <x:v>10</x:v>
      </x:c>
      <x:c r="E144" s="12" t="n">
        <x:v>10</x:v>
      </x:c>
      <x:c r="F144" s="12" t="n">
        <x:v>9</x:v>
      </x:c>
      <x:c r="G144" s="12" t="n">
        <x:v>9</x:v>
      </x:c>
      <x:c r="H144" s="12" t="n">
        <x:f>MIN(C144:G144)</x:f>
        <x:v>9</x:v>
      </x:c>
      <x:c r="I144" s="14" t="n">
        <x:f>(C144-$H144)/$H144*100</x:f>
        <x:v>11.11111111111111</x:v>
      </x:c>
      <x:c r="J144" s="14" t="n">
        <x:f>(D144-$H144)/$H144*100</x:f>
        <x:v>11.11111111111111</x:v>
      </x:c>
      <x:c r="K144" s="14" t="n">
        <x:f>(E144-$H144)/$H144*100</x:f>
        <x:v>11.11111111111111</x:v>
      </x:c>
      <x:c r="L144" s="14" t="n">
        <x:f>(F144-$H144)/$H144*100</x:f>
        <x:v>0</x:v>
      </x:c>
      <x:c r="M144" s="14" t="n">
        <x:f>(G144-$H144)/$H144*100</x:f>
        <x:v>0</x:v>
      </x:c>
      <x:c r="N144" s="12" t="str">
        <x:f>IF(C144=$H144,"YES","NO")</x:f>
        <x:v>NO</x:v>
      </x:c>
      <x:c r="O144" s="12" t="str">
        <x:f>IF(D144=$H144,"YES","NO")</x:f>
        <x:v>NO</x:v>
      </x:c>
      <x:c r="P144" s="12" t="str">
        <x:f>IF(E144=$H144,"YES","NO")</x:f>
        <x:v>NO</x:v>
      </x:c>
      <x:c r="Q144" s="12" t="str">
        <x:f>IF(F144=$H144,"YES","NO")</x:f>
        <x:v>YES</x:v>
      </x:c>
      <x:c r="R144" s="12" t="str">
        <x:f>IF(G144=$H144,"YES","NO")</x:f>
        <x:v>YES</x:v>
      </x:c>
    </x:row>
    <x:row r="145">
      <x:c r="A145" s="44" t="str">
        <x:v>bpps_d10000n25m5w2000_3000s100_2000f1_seed0</x:v>
      </x:c>
      <x:c r="B145" s="12" t="n">
        <x:v>25</x:v>
      </x:c>
      <x:c r="C145" s="12" t="n">
        <x:v>176</x:v>
      </x:c>
      <x:c r="D145" s="12" t="n">
        <x:v>176</x:v>
      </x:c>
      <x:c r="E145" s="12" t="n">
        <x:v>176</x:v>
      </x:c>
      <x:c r="F145" s="12" t="n">
        <x:v>136</x:v>
      </x:c>
      <x:c r="G145" s="12" t="n">
        <x:v>127</x:v>
      </x:c>
      <x:c r="H145" s="12" t="n">
        <x:f>MIN(C145:G145)</x:f>
        <x:v>127</x:v>
      </x:c>
      <x:c r="I145" s="14" t="n">
        <x:f>(C145-$H145)/$H145*100</x:f>
        <x:v>38.582677165354326</x:v>
      </x:c>
      <x:c r="J145" s="14" t="n">
        <x:f>(D145-$H145)/$H145*100</x:f>
        <x:v>38.582677165354326</x:v>
      </x:c>
      <x:c r="K145" s="14" t="n">
        <x:f>(E145-$H145)/$H145*100</x:f>
        <x:v>38.582677165354326</x:v>
      </x:c>
      <x:c r="L145" s="14" t="n">
        <x:f>(F145-$H145)/$H145*100</x:f>
        <x:v>7.086614173228346</x:v>
      </x:c>
      <x:c r="M145" s="14" t="n">
        <x:f>(G145-$H145)/$H145*100</x:f>
        <x:v>0</x:v>
      </x:c>
      <x:c r="N145" s="12" t="str">
        <x:f>IF(C145=$H145,"YES","NO")</x:f>
        <x:v>NO</x:v>
      </x:c>
      <x:c r="O145" s="12" t="str">
        <x:f>IF(D145=$H145,"YES","NO")</x:f>
        <x:v>NO</x:v>
      </x:c>
      <x:c r="P145" s="12" t="str">
        <x:f>IF(E145=$H145,"YES","NO")</x:f>
        <x:v>NO</x:v>
      </x:c>
      <x:c r="Q145" s="12" t="str">
        <x:f>IF(F145=$H145,"YES","NO")</x:f>
        <x:v>NO</x:v>
      </x:c>
      <x:c r="R145" s="12" t="str">
        <x:f>IF(G145=$H145,"YES","NO")</x:f>
        <x:v>YES</x:v>
      </x:c>
    </x:row>
    <x:row r="146">
      <x:c r="A146" s="44" t="str">
        <x:v>bpps_d10000n50m10w1000_2000s1000_2000f0_seed0</x:v>
      </x:c>
      <x:c r="B146" s="12" t="n">
        <x:v>50</x:v>
      </x:c>
      <x:c r="C146" s="12" t="n">
        <x:v>15</x:v>
      </x:c>
      <x:c r="D146" s="12" t="n">
        <x:v>15</x:v>
      </x:c>
      <x:c r="E146" s="12" t="n">
        <x:v>14</x:v>
      </x:c>
      <x:c r="F146" s="12" t="n">
        <x:v>13</x:v>
      </x:c>
      <x:c r="G146" s="12" t="n">
        <x:v>12</x:v>
      </x:c>
      <x:c r="H146" s="12" t="n">
        <x:f>MIN(C146:G146)</x:f>
        <x:v>12</x:v>
      </x:c>
      <x:c r="I146" s="14" t="n">
        <x:f>(C146-$H146)/$H146*100</x:f>
        <x:v>25</x:v>
      </x:c>
      <x:c r="J146" s="14" t="n">
        <x:f>(D146-$H146)/$H146*100</x:f>
        <x:v>25</x:v>
      </x:c>
      <x:c r="K146" s="14" t="n">
        <x:f>(E146-$H146)/$H146*100</x:f>
        <x:v>16.666666666666664</x:v>
      </x:c>
      <x:c r="L146" s="14" t="n">
        <x:f>(F146-$H146)/$H146*100</x:f>
        <x:v>8.333333333333332</x:v>
      </x:c>
      <x:c r="M146" s="14" t="n">
        <x:f>(G146-$H146)/$H146*100</x:f>
        <x:v>0</x:v>
      </x:c>
      <x:c r="N146" s="12" t="str">
        <x:f>IF(C146=$H146,"YES","NO")</x:f>
        <x:v>NO</x:v>
      </x:c>
      <x:c r="O146" s="12" t="str">
        <x:f>IF(D146=$H146,"YES","NO")</x:f>
        <x:v>NO</x:v>
      </x:c>
      <x:c r="P146" s="12" t="str">
        <x:f>IF(E146=$H146,"YES","NO")</x:f>
        <x:v>NO</x:v>
      </x:c>
      <x:c r="Q146" s="12" t="str">
        <x:f>IF(F146=$H146,"YES","NO")</x:f>
        <x:v>NO</x:v>
      </x:c>
      <x:c r="R146" s="12" t="str">
        <x:f>IF(G146=$H146,"YES","NO")</x:f>
        <x:v>YES</x:v>
      </x:c>
    </x:row>
    <x:row r="147">
      <x:c r="A147" s="44" t="str">
        <x:v>bpps_d10000n50m10w1000_2000s1000_2000f1_seed0</x:v>
      </x:c>
      <x:c r="B147" s="12" t="n">
        <x:v>50</x:v>
      </x:c>
      <x:c r="C147" s="12" t="n">
        <x:v>246</x:v>
      </x:c>
      <x:c r="D147" s="12" t="n">
        <x:v>265</x:v>
      </x:c>
      <x:c r="E147" s="12" t="n">
        <x:v>258</x:v>
      </x:c>
      <x:c r="F147" s="12" t="n">
        <x:v>188</x:v>
      </x:c>
      <x:c r="G147" s="12" t="n">
        <x:v>170</x:v>
      </x:c>
      <x:c r="H147" s="12" t="n">
        <x:f>MIN(C147:G147)</x:f>
        <x:v>170</x:v>
      </x:c>
      <x:c r="I147" s="14" t="n">
        <x:f>(C147-$H147)/$H147*100</x:f>
        <x:v>44.70588235294118</x:v>
      </x:c>
      <x:c r="J147" s="14" t="n">
        <x:f>(D147-$H147)/$H147*100</x:f>
        <x:v>55.88235294117647</x:v>
      </x:c>
      <x:c r="K147" s="14" t="n">
        <x:f>(E147-$H147)/$H147*100</x:f>
        <x:v>51.76470588235295</x:v>
      </x:c>
      <x:c r="L147" s="14" t="n">
        <x:f>(F147-$H147)/$H147*100</x:f>
        <x:v>10.588235294117647</x:v>
      </x:c>
      <x:c r="M147" s="14" t="n">
        <x:f>(G147-$H147)/$H147*100</x:f>
        <x:v>0</x:v>
      </x:c>
      <x:c r="N147" s="12" t="str">
        <x:f>IF(C147=$H147,"YES","NO")</x:f>
        <x:v>NO</x:v>
      </x:c>
      <x:c r="O147" s="12" t="str">
        <x:f>IF(D147=$H147,"YES","NO")</x:f>
        <x:v>NO</x:v>
      </x:c>
      <x:c r="P147" s="12" t="str">
        <x:f>IF(E147=$H147,"YES","NO")</x:f>
        <x:v>NO</x:v>
      </x:c>
      <x:c r="Q147" s="12" t="str">
        <x:f>IF(F147=$H147,"YES","NO")</x:f>
        <x:v>NO</x:v>
      </x:c>
      <x:c r="R147" s="12" t="str">
        <x:f>IF(G147=$H147,"YES","NO")</x:f>
        <x:v>YES</x:v>
      </x:c>
    </x:row>
    <x:row r="148">
      <x:c r="A148" s="44" t="str">
        <x:v>bpps_d10000n50m10w1000_2000s100_1000f0_seed0</x:v>
      </x:c>
      <x:c r="B148" s="12" t="n">
        <x:v>50</x:v>
      </x:c>
      <x:c r="C148" s="12" t="n">
        <x:v>10</x:v>
      </x:c>
      <x:c r="D148" s="12" t="n">
        <x:v>10</x:v>
      </x:c>
      <x:c r="E148" s="12" t="n">
        <x:v>10</x:v>
      </x:c>
      <x:c r="F148" s="12" t="n">
        <x:v>12</x:v>
      </x:c>
      <x:c r="G148" s="12" t="n">
        <x:v>10</x:v>
      </x:c>
      <x:c r="H148" s="12" t="n">
        <x:f>MIN(C148:G148)</x:f>
        <x:v>10</x:v>
      </x:c>
      <x:c r="I148" s="14" t="n">
        <x:f>(C148-$H148)/$H148*100</x:f>
        <x:v>0</x:v>
      </x:c>
      <x:c r="J148" s="14" t="n">
        <x:f>(D148-$H148)/$H148*100</x:f>
        <x:v>0</x:v>
      </x:c>
      <x:c r="K148" s="14" t="n">
        <x:f>(E148-$H148)/$H148*100</x:f>
        <x:v>0</x:v>
      </x:c>
      <x:c r="L148" s="14" t="n">
        <x:f>(F148-$H148)/$H148*100</x:f>
        <x:v>20</x:v>
      </x:c>
      <x:c r="M148" s="14" t="n">
        <x:f>(G148-$H148)/$H148*100</x:f>
        <x:v>0</x:v>
      </x:c>
      <x:c r="N148" s="12" t="str">
        <x:f>IF(C148=$H148,"YES","NO")</x:f>
        <x:v>YES</x:v>
      </x:c>
      <x:c r="O148" s="12" t="str">
        <x:f>IF(D148=$H148,"YES","NO")</x:f>
        <x:v>YES</x:v>
      </x:c>
      <x:c r="P148" s="12" t="str">
        <x:f>IF(E148=$H148,"YES","NO")</x:f>
        <x:v>YES</x:v>
      </x:c>
      <x:c r="Q148" s="12" t="str">
        <x:f>IF(F148=$H148,"YES","NO")</x:f>
        <x:v>NO</x:v>
      </x:c>
      <x:c r="R148" s="12" t="str">
        <x:f>IF(G148=$H148,"YES","NO")</x:f>
        <x:v>YES</x:v>
      </x:c>
    </x:row>
    <x:row r="149">
      <x:c r="A149" s="44" t="str">
        <x:v>bpps_d10000n50m10w1000_2000s100_1000f1_seed0</x:v>
      </x:c>
      <x:c r="B149" s="12" t="n">
        <x:v>50</x:v>
      </x:c>
      <x:c r="C149" s="12" t="n">
        <x:v>245</x:v>
      </x:c>
      <x:c r="D149" s="12" t="n">
        <x:v>237</x:v>
      </x:c>
      <x:c r="E149" s="12" t="n">
        <x:v>230</x:v>
      </x:c>
      <x:c r="F149" s="12" t="n">
        <x:v>150</x:v>
      </x:c>
      <x:c r="G149" s="12" t="n">
        <x:v>147</x:v>
      </x:c>
      <x:c r="H149" s="12" t="n">
        <x:f>MIN(C149:G149)</x:f>
        <x:v>147</x:v>
      </x:c>
      <x:c r="I149" s="14" t="n">
        <x:f>(C149-$H149)/$H149*100</x:f>
        <x:v>66.66666666666666</x:v>
      </x:c>
      <x:c r="J149" s="14" t="n">
        <x:f>(D149-$H149)/$H149*100</x:f>
        <x:v>61.224489795918366</x:v>
      </x:c>
      <x:c r="K149" s="14" t="n">
        <x:f>(E149-$H149)/$H149*100</x:f>
        <x:v>56.4625850340136</x:v>
      </x:c>
      <x:c r="L149" s="14" t="n">
        <x:f>(F149-$H149)/$H149*100</x:f>
        <x:v>2.0408163265306123</x:v>
      </x:c>
      <x:c r="M149" s="14" t="n">
        <x:f>(G149-$H149)/$H149*100</x:f>
        <x:v>0</x:v>
      </x:c>
      <x:c r="N149" s="12" t="str">
        <x:f>IF(C149=$H149,"YES","NO")</x:f>
        <x:v>NO</x:v>
      </x:c>
      <x:c r="O149" s="12" t="str">
        <x:f>IF(D149=$H149,"YES","NO")</x:f>
        <x:v>NO</x:v>
      </x:c>
      <x:c r="P149" s="12" t="str">
        <x:f>IF(E149=$H149,"YES","NO")</x:f>
        <x:v>NO</x:v>
      </x:c>
      <x:c r="Q149" s="12" t="str">
        <x:f>IF(F149=$H149,"YES","NO")</x:f>
        <x:v>NO</x:v>
      </x:c>
      <x:c r="R149" s="12" t="str">
        <x:f>IF(G149=$H149,"YES","NO")</x:f>
        <x:v>YES</x:v>
      </x:c>
    </x:row>
    <x:row r="150">
      <x:c r="A150" s="44" t="str">
        <x:v>bpps_d10000n50m10w1000_2000s100_2000f0_seed0</x:v>
      </x:c>
      <x:c r="B150" s="12" t="n">
        <x:v>50</x:v>
      </x:c>
      <x:c r="C150" s="12" t="n">
        <x:v>12</x:v>
      </x:c>
      <x:c r="D150" s="12" t="n">
        <x:v>12</x:v>
      </x:c>
      <x:c r="E150" s="12" t="n">
        <x:v>12</x:v>
      </x:c>
      <x:c r="F150" s="12" t="n">
        <x:v>12</x:v>
      </x:c>
      <x:c r="G150" s="12" t="n">
        <x:v>11</x:v>
      </x:c>
      <x:c r="H150" s="12" t="n">
        <x:f>MIN(C150:G150)</x:f>
        <x:v>11</x:v>
      </x:c>
      <x:c r="I150" s="14" t="n">
        <x:f>(C150-$H150)/$H150*100</x:f>
        <x:v>9.090909090909092</x:v>
      </x:c>
      <x:c r="J150" s="14" t="n">
        <x:f>(D150-$H150)/$H150*100</x:f>
        <x:v>9.090909090909092</x:v>
      </x:c>
      <x:c r="K150" s="14" t="n">
        <x:f>(E150-$H150)/$H150*100</x:f>
        <x:v>9.090909090909092</x:v>
      </x:c>
      <x:c r="L150" s="14" t="n">
        <x:f>(F150-$H150)/$H150*100</x:f>
        <x:v>9.090909090909092</x:v>
      </x:c>
      <x:c r="M150" s="14" t="n">
        <x:f>(G150-$H150)/$H150*100</x:f>
        <x:v>0</x:v>
      </x:c>
      <x:c r="N150" s="12" t="str">
        <x:f>IF(C150=$H150,"YES","NO")</x:f>
        <x:v>NO</x:v>
      </x:c>
      <x:c r="O150" s="12" t="str">
        <x:f>IF(D150=$H150,"YES","NO")</x:f>
        <x:v>NO</x:v>
      </x:c>
      <x:c r="P150" s="12" t="str">
        <x:f>IF(E150=$H150,"YES","NO")</x:f>
        <x:v>NO</x:v>
      </x:c>
      <x:c r="Q150" s="12" t="str">
        <x:f>IF(F150=$H150,"YES","NO")</x:f>
        <x:v>NO</x:v>
      </x:c>
      <x:c r="R150" s="12" t="str">
        <x:f>IF(G150=$H150,"YES","NO")</x:f>
        <x:v>YES</x:v>
      </x:c>
    </x:row>
    <x:row r="151">
      <x:c r="A151" s="44" t="str">
        <x:v>bpps_d10000n50m10w1000_2000s100_2000f1_seed0</x:v>
      </x:c>
      <x:c r="B151" s="12" t="n">
        <x:v>50</x:v>
      </x:c>
      <x:c r="C151" s="12" t="n">
        <x:v>248</x:v>
      </x:c>
      <x:c r="D151" s="12" t="n">
        <x:v>248</x:v>
      </x:c>
      <x:c r="E151" s="12" t="n">
        <x:v>242</x:v>
      </x:c>
      <x:c r="F151" s="12" t="n">
        <x:v>186</x:v>
      </x:c>
      <x:c r="G151" s="12" t="n">
        <x:v>159</x:v>
      </x:c>
      <x:c r="H151" s="12" t="n">
        <x:f>MIN(C151:G151)</x:f>
        <x:v>159</x:v>
      </x:c>
      <x:c r="I151" s="14" t="n">
        <x:f>(C151-$H151)/$H151*100</x:f>
        <x:v>55.9748427672956</x:v>
      </x:c>
      <x:c r="J151" s="14" t="n">
        <x:f>(D151-$H151)/$H151*100</x:f>
        <x:v>55.9748427672956</x:v>
      </x:c>
      <x:c r="K151" s="14" t="n">
        <x:f>(E151-$H151)/$H151*100</x:f>
        <x:v>52.20125786163522</x:v>
      </x:c>
      <x:c r="L151" s="14" t="n">
        <x:f>(F151-$H151)/$H151*100</x:f>
        <x:v>16.9811320754717</x:v>
      </x:c>
      <x:c r="M151" s="14" t="n">
        <x:f>(G151-$H151)/$H151*100</x:f>
        <x:v>0</x:v>
      </x:c>
      <x:c r="N151" s="12" t="str">
        <x:f>IF(C151=$H151,"YES","NO")</x:f>
        <x:v>NO</x:v>
      </x:c>
      <x:c r="O151" s="12" t="str">
        <x:f>IF(D151=$H151,"YES","NO")</x:f>
        <x:v>NO</x:v>
      </x:c>
      <x:c r="P151" s="12" t="str">
        <x:f>IF(E151=$H151,"YES","NO")</x:f>
        <x:v>NO</x:v>
      </x:c>
      <x:c r="Q151" s="12" t="str">
        <x:f>IF(F151=$H151,"YES","NO")</x:f>
        <x:v>NO</x:v>
      </x:c>
      <x:c r="R151" s="12" t="str">
        <x:f>IF(G151=$H151,"YES","NO")</x:f>
        <x:v>YES</x:v>
      </x:c>
    </x:row>
    <x:row r="152">
      <x:c r="A152" s="44" t="str">
        <x:v>bpps_d10000n50m10w100_1000s1000_2000f0_seed0</x:v>
      </x:c>
      <x:c r="B152" s="12" t="n">
        <x:v>50</x:v>
      </x:c>
      <x:c r="C152" s="12" t="n">
        <x:v>7</x:v>
      </x:c>
      <x:c r="D152" s="12" t="n">
        <x:v>7</x:v>
      </x:c>
      <x:c r="E152" s="12" t="n">
        <x:v>7</x:v>
      </x:c>
      <x:c r="F152" s="12" t="n">
        <x:v>8</x:v>
      </x:c>
      <x:c r="G152" s="12" t="n">
        <x:v>6</x:v>
      </x:c>
      <x:c r="H152" s="12" t="n">
        <x:f>MIN(C152:G152)</x:f>
        <x:v>6</x:v>
      </x:c>
      <x:c r="I152" s="14" t="n">
        <x:f>(C152-$H152)/$H152*100</x:f>
        <x:v>16.666666666666664</x:v>
      </x:c>
      <x:c r="J152" s="14" t="n">
        <x:f>(D152-$H152)/$H152*100</x:f>
        <x:v>16.666666666666664</x:v>
      </x:c>
      <x:c r="K152" s="14" t="n">
        <x:f>(E152-$H152)/$H152*100</x:f>
        <x:v>16.666666666666664</x:v>
      </x:c>
      <x:c r="L152" s="14" t="n">
        <x:f>(F152-$H152)/$H152*100</x:f>
        <x:v>33.33333333333333</x:v>
      </x:c>
      <x:c r="M152" s="14" t="n">
        <x:f>(G152-$H152)/$H152*100</x:f>
        <x:v>0</x:v>
      </x:c>
      <x:c r="N152" s="12" t="str">
        <x:f>IF(C152=$H152,"YES","NO")</x:f>
        <x:v>NO</x:v>
      </x:c>
      <x:c r="O152" s="12" t="str">
        <x:f>IF(D152=$H152,"YES","NO")</x:f>
        <x:v>NO</x:v>
      </x:c>
      <x:c r="P152" s="12" t="str">
        <x:f>IF(E152=$H152,"YES","NO")</x:f>
        <x:v>NO</x:v>
      </x:c>
      <x:c r="Q152" s="12" t="str">
        <x:f>IF(F152=$H152,"YES","NO")</x:f>
        <x:v>NO</x:v>
      </x:c>
      <x:c r="R152" s="12" t="str">
        <x:f>IF(G152=$H152,"YES","NO")</x:f>
        <x:v>YES</x:v>
      </x:c>
    </x:row>
    <x:row r="153">
      <x:c r="A153" s="44" t="str">
        <x:v>bpps_d10000n50m10w100_1000s1000_2000f1_seed0</x:v>
      </x:c>
      <x:c r="B153" s="12" t="n">
        <x:v>50</x:v>
      </x:c>
      <x:c r="C153" s="12" t="n">
        <x:v>153</x:v>
      </x:c>
      <x:c r="D153" s="12" t="n">
        <x:v>167</x:v>
      </x:c>
      <x:c r="E153" s="12" t="n">
        <x:v>137</x:v>
      </x:c>
      <x:c r="F153" s="12" t="n">
        <x:v>127</x:v>
      </x:c>
      <x:c r="G153" s="12" t="n">
        <x:v>117</x:v>
      </x:c>
      <x:c r="H153" s="12" t="n">
        <x:f>MIN(C153:G153)</x:f>
        <x:v>117</x:v>
      </x:c>
      <x:c r="I153" s="14" t="n">
        <x:f>(C153-$H153)/$H153*100</x:f>
        <x:v>30.76923076923077</x:v>
      </x:c>
      <x:c r="J153" s="14" t="n">
        <x:f>(D153-$H153)/$H153*100</x:f>
        <x:v>42.73504273504273</x:v>
      </x:c>
      <x:c r="K153" s="14" t="n">
        <x:f>(E153-$H153)/$H153*100</x:f>
        <x:v>17.094017094017094</x:v>
      </x:c>
      <x:c r="L153" s="14" t="n">
        <x:f>(F153-$H153)/$H153*100</x:f>
        <x:v>8.547008547008547</x:v>
      </x:c>
      <x:c r="M153" s="14" t="n">
        <x:f>(G153-$H153)/$H153*100</x:f>
        <x:v>0</x:v>
      </x:c>
      <x:c r="N153" s="12" t="str">
        <x:f>IF(C153=$H153,"YES","NO")</x:f>
        <x:v>NO</x:v>
      </x:c>
      <x:c r="O153" s="12" t="str">
        <x:f>IF(D153=$H153,"YES","NO")</x:f>
        <x:v>NO</x:v>
      </x:c>
      <x:c r="P153" s="12" t="str">
        <x:f>IF(E153=$H153,"YES","NO")</x:f>
        <x:v>NO</x:v>
      </x:c>
      <x:c r="Q153" s="12" t="str">
        <x:f>IF(F153=$H153,"YES","NO")</x:f>
        <x:v>NO</x:v>
      </x:c>
      <x:c r="R153" s="12" t="str">
        <x:f>IF(G153=$H153,"YES","NO")</x:f>
        <x:v>YES</x:v>
      </x:c>
    </x:row>
    <x:row r="154">
      <x:c r="A154" s="44" t="str">
        <x:v>bpps_d10000n50m10w100_1000s100_1000f0_seed0</x:v>
      </x:c>
      <x:c r="B154" s="12" t="n">
        <x:v>50</x:v>
      </x:c>
      <x:c r="C154" s="12" t="n">
        <x:v>5</x:v>
      </x:c>
      <x:c r="D154" s="12" t="n">
        <x:v>5</x:v>
      </x:c>
      <x:c r="E154" s="12" t="n">
        <x:v>5</x:v>
      </x:c>
      <x:c r="F154" s="12" t="n">
        <x:v>6</x:v>
      </x:c>
      <x:c r="G154" s="12" t="n">
        <x:v>5</x:v>
      </x:c>
      <x:c r="H154" s="12" t="n">
        <x:f>MIN(C154:G154)</x:f>
        <x:v>5</x:v>
      </x:c>
      <x:c r="I154" s="14" t="n">
        <x:f>(C154-$H154)/$H154*100</x:f>
        <x:v>0</x:v>
      </x:c>
      <x:c r="J154" s="14" t="n">
        <x:f>(D154-$H154)/$H154*100</x:f>
        <x:v>0</x:v>
      </x:c>
      <x:c r="K154" s="14" t="n">
        <x:f>(E154-$H154)/$H154*100</x:f>
        <x:v>0</x:v>
      </x:c>
      <x:c r="L154" s="14" t="n">
        <x:f>(F154-$H154)/$H154*100</x:f>
        <x:v>20</x:v>
      </x:c>
      <x:c r="M154" s="14" t="n">
        <x:f>(G154-$H154)/$H154*100</x:f>
        <x:v>0</x:v>
      </x:c>
      <x:c r="N154" s="12" t="str">
        <x:f>IF(C154=$H154,"YES","NO")</x:f>
        <x:v>YES</x:v>
      </x:c>
      <x:c r="O154" s="12" t="str">
        <x:f>IF(D154=$H154,"YES","NO")</x:f>
        <x:v>YES</x:v>
      </x:c>
      <x:c r="P154" s="12" t="str">
        <x:f>IF(E154=$H154,"YES","NO")</x:f>
        <x:v>YES</x:v>
      </x:c>
      <x:c r="Q154" s="12" t="str">
        <x:f>IF(F154=$H154,"YES","NO")</x:f>
        <x:v>NO</x:v>
      </x:c>
      <x:c r="R154" s="12" t="str">
        <x:f>IF(G154=$H154,"YES","NO")</x:f>
        <x:v>YES</x:v>
      </x:c>
    </x:row>
    <x:row r="155">
      <x:c r="A155" s="44" t="str">
        <x:v>bpps_d10000n50m10w100_1000s100_1000f1_seed0</x:v>
      </x:c>
      <x:c r="B155" s="12" t="n">
        <x:v>50</x:v>
      </x:c>
      <x:c r="C155" s="12" t="n">
        <x:v>128</x:v>
      </x:c>
      <x:c r="D155" s="12" t="n">
        <x:v>128</x:v>
      </x:c>
      <x:c r="E155" s="12" t="n">
        <x:v>131</x:v>
      </x:c>
      <x:c r="F155" s="12" t="n">
        <x:v>111</x:v>
      </x:c>
      <x:c r="G155" s="12" t="n">
        <x:v>104</x:v>
      </x:c>
      <x:c r="H155" s="12" t="n">
        <x:f>MIN(C155:G155)</x:f>
        <x:v>104</x:v>
      </x:c>
      <x:c r="I155" s="14" t="n">
        <x:f>(C155-$H155)/$H155*100</x:f>
        <x:v>23.076923076923077</x:v>
      </x:c>
      <x:c r="J155" s="14" t="n">
        <x:f>(D155-$H155)/$H155*100</x:f>
        <x:v>23.076923076923077</x:v>
      </x:c>
      <x:c r="K155" s="14" t="n">
        <x:f>(E155-$H155)/$H155*100</x:f>
        <x:v>25.961538461538463</x:v>
      </x:c>
      <x:c r="L155" s="14" t="n">
        <x:f>(F155-$H155)/$H155*100</x:f>
        <x:v>6.730769230769231</x:v>
      </x:c>
      <x:c r="M155" s="14" t="n">
        <x:f>(G155-$H155)/$H155*100</x:f>
        <x:v>0</x:v>
      </x:c>
      <x:c r="N155" s="12" t="str">
        <x:f>IF(C155=$H155,"YES","NO")</x:f>
        <x:v>NO</x:v>
      </x:c>
      <x:c r="O155" s="12" t="str">
        <x:f>IF(D155=$H155,"YES","NO")</x:f>
        <x:v>NO</x:v>
      </x:c>
      <x:c r="P155" s="12" t="str">
        <x:f>IF(E155=$H155,"YES","NO")</x:f>
        <x:v>NO</x:v>
      </x:c>
      <x:c r="Q155" s="12" t="str">
        <x:f>IF(F155=$H155,"YES","NO")</x:f>
        <x:v>NO</x:v>
      </x:c>
      <x:c r="R155" s="12" t="str">
        <x:f>IF(G155=$H155,"YES","NO")</x:f>
        <x:v>YES</x:v>
      </x:c>
    </x:row>
    <x:row r="156">
      <x:c r="A156" s="44" t="str">
        <x:v>bpps_d10000n50m10w100_1000s100_2000f0_seed0</x:v>
      </x:c>
      <x:c r="B156" s="12" t="n">
        <x:v>50</x:v>
      </x:c>
      <x:c r="C156" s="12" t="n">
        <x:v>6</x:v>
      </x:c>
      <x:c r="D156" s="12" t="n">
        <x:v>5</x:v>
      </x:c>
      <x:c r="E156" s="12" t="n">
        <x:v>6</x:v>
      </x:c>
      <x:c r="F156" s="12" t="n">
        <x:v>7</x:v>
      </x:c>
      <x:c r="G156" s="12" t="n">
        <x:v>5</x:v>
      </x:c>
      <x:c r="H156" s="12" t="n">
        <x:f>MIN(C156:G156)</x:f>
        <x:v>5</x:v>
      </x:c>
      <x:c r="I156" s="14" t="n">
        <x:f>(C156-$H156)/$H156*100</x:f>
        <x:v>20</x:v>
      </x:c>
      <x:c r="J156" s="14" t="n">
        <x:f>(D156-$H156)/$H156*100</x:f>
        <x:v>0</x:v>
      </x:c>
      <x:c r="K156" s="14" t="n">
        <x:f>(E156-$H156)/$H156*100</x:f>
        <x:v>20</x:v>
      </x:c>
      <x:c r="L156" s="14" t="n">
        <x:f>(F156-$H156)/$H156*100</x:f>
        <x:v>40</x:v>
      </x:c>
      <x:c r="M156" s="14" t="n">
        <x:f>(G156-$H156)/$H156*100</x:f>
        <x:v>0</x:v>
      </x:c>
      <x:c r="N156" s="12" t="str">
        <x:f>IF(C156=$H156,"YES","NO")</x:f>
        <x:v>NO</x:v>
      </x:c>
      <x:c r="O156" s="12" t="str">
        <x:f>IF(D156=$H156,"YES","NO")</x:f>
        <x:v>YES</x:v>
      </x:c>
      <x:c r="P156" s="12" t="str">
        <x:f>IF(E156=$H156,"YES","NO")</x:f>
        <x:v>NO</x:v>
      </x:c>
      <x:c r="Q156" s="12" t="str">
        <x:f>IF(F156=$H156,"YES","NO")</x:f>
        <x:v>NO</x:v>
      </x:c>
      <x:c r="R156" s="12" t="str">
        <x:f>IF(G156=$H156,"YES","NO")</x:f>
        <x:v>YES</x:v>
      </x:c>
    </x:row>
    <x:row r="157">
      <x:c r="A157" s="44" t="str">
        <x:v>bpps_d10000n50m10w100_1000s100_2000f1_seed0</x:v>
      </x:c>
      <x:c r="B157" s="12" t="n">
        <x:v>50</x:v>
      </x:c>
      <x:c r="C157" s="12" t="n">
        <x:v>159</x:v>
      </x:c>
      <x:c r="D157" s="12" t="n">
        <x:v>157</x:v>
      </x:c>
      <x:c r="E157" s="12" t="n">
        <x:v>157</x:v>
      </x:c>
      <x:c r="F157" s="12" t="n">
        <x:v>120</x:v>
      </x:c>
      <x:c r="G157" s="12" t="n">
        <x:v>117</x:v>
      </x:c>
      <x:c r="H157" s="12" t="n">
        <x:f>MIN(C157:G157)</x:f>
        <x:v>117</x:v>
      </x:c>
      <x:c r="I157" s="14" t="n">
        <x:f>(C157-$H157)/$H157*100</x:f>
        <x:v>35.8974358974359</x:v>
      </x:c>
      <x:c r="J157" s="14" t="n">
        <x:f>(D157-$H157)/$H157*100</x:f>
        <x:v>34.18803418803419</x:v>
      </x:c>
      <x:c r="K157" s="14" t="n">
        <x:f>(E157-$H157)/$H157*100</x:f>
        <x:v>34.18803418803419</x:v>
      </x:c>
      <x:c r="L157" s="14" t="n">
        <x:f>(F157-$H157)/$H157*100</x:f>
        <x:v>2.564102564102564</x:v>
      </x:c>
      <x:c r="M157" s="14" t="n">
        <x:f>(G157-$H157)/$H157*100</x:f>
        <x:v>0</x:v>
      </x:c>
      <x:c r="N157" s="12" t="str">
        <x:f>IF(C157=$H157,"YES","NO")</x:f>
        <x:v>NO</x:v>
      </x:c>
      <x:c r="O157" s="12" t="str">
        <x:f>IF(D157=$H157,"YES","NO")</x:f>
        <x:v>NO</x:v>
      </x:c>
      <x:c r="P157" s="12" t="str">
        <x:f>IF(E157=$H157,"YES","NO")</x:f>
        <x:v>NO</x:v>
      </x:c>
      <x:c r="Q157" s="12" t="str">
        <x:f>IF(F157=$H157,"YES","NO")</x:f>
        <x:v>NO</x:v>
      </x:c>
      <x:c r="R157" s="12" t="str">
        <x:f>IF(G157=$H157,"YES","NO")</x:f>
        <x:v>YES</x:v>
      </x:c>
    </x:row>
    <x:row r="158">
      <x:c r="A158" s="44" t="str">
        <x:v>bpps_d10000n50m10w100_3000s1000_2000f0_seed0</x:v>
      </x:c>
      <x:c r="B158" s="12" t="n">
        <x:v>50</x:v>
      </x:c>
      <x:c r="C158" s="12" t="n">
        <x:v>14</x:v>
      </x:c>
      <x:c r="D158" s="12" t="n">
        <x:v>14</x:v>
      </x:c>
      <x:c r="E158" s="12" t="n">
        <x:v>14</x:v>
      </x:c>
      <x:c r="F158" s="12" t="n">
        <x:v>13</x:v>
      </x:c>
      <x:c r="G158" s="12" t="n">
        <x:v>13</x:v>
      </x:c>
      <x:c r="H158" s="12" t="n">
        <x:f>MIN(C158:G158)</x:f>
        <x:v>13</x:v>
      </x:c>
      <x:c r="I158" s="14" t="n">
        <x:f>(C158-$H158)/$H158*100</x:f>
        <x:v>7.6923076923076925</x:v>
      </x:c>
      <x:c r="J158" s="14" t="n">
        <x:f>(D158-$H158)/$H158*100</x:f>
        <x:v>7.6923076923076925</x:v>
      </x:c>
      <x:c r="K158" s="14" t="n">
        <x:f>(E158-$H158)/$H158*100</x:f>
        <x:v>7.6923076923076925</x:v>
      </x:c>
      <x:c r="L158" s="14" t="n">
        <x:f>(F158-$H158)/$H158*100</x:f>
        <x:v>0</x:v>
      </x:c>
      <x:c r="M158" s="14" t="n">
        <x:f>(G158-$H158)/$H158*100</x:f>
        <x:v>0</x:v>
      </x:c>
      <x:c r="N158" s="12" t="str">
        <x:f>IF(C158=$H158,"YES","NO")</x:f>
        <x:v>NO</x:v>
      </x:c>
      <x:c r="O158" s="12" t="str">
        <x:f>IF(D158=$H158,"YES","NO")</x:f>
        <x:v>NO</x:v>
      </x:c>
      <x:c r="P158" s="12" t="str">
        <x:f>IF(E158=$H158,"YES","NO")</x:f>
        <x:v>NO</x:v>
      </x:c>
      <x:c r="Q158" s="12" t="str">
        <x:f>IF(F158=$H158,"YES","NO")</x:f>
        <x:v>YES</x:v>
      </x:c>
      <x:c r="R158" s="12" t="str">
        <x:f>IF(G158=$H158,"YES","NO")</x:f>
        <x:v>YES</x:v>
      </x:c>
    </x:row>
    <x:row r="159">
      <x:c r="A159" s="44" t="str">
        <x:v>bpps_d10000n50m10w100_3000s1000_2000f1_seed0</x:v>
      </x:c>
      <x:c r="B159" s="12" t="n">
        <x:v>50</x:v>
      </x:c>
      <x:c r="C159" s="12" t="n">
        <x:v>228</x:v>
      </x:c>
      <x:c r="D159" s="12" t="n">
        <x:v>240</x:v>
      </x:c>
      <x:c r="E159" s="12" t="n">
        <x:v>210</x:v>
      </x:c>
      <x:c r="F159" s="12" t="n">
        <x:v>198</x:v>
      </x:c>
      <x:c r="G159" s="12" t="n">
        <x:v>188</x:v>
      </x:c>
      <x:c r="H159" s="12" t="n">
        <x:f>MIN(C159:G159)</x:f>
        <x:v>188</x:v>
      </x:c>
      <x:c r="I159" s="14" t="n">
        <x:f>(C159-$H159)/$H159*100</x:f>
        <x:v>21.27659574468085</x:v>
      </x:c>
      <x:c r="J159" s="14" t="n">
        <x:f>(D159-$H159)/$H159*100</x:f>
        <x:v>27.659574468085108</x:v>
      </x:c>
      <x:c r="K159" s="14" t="n">
        <x:f>(E159-$H159)/$H159*100</x:f>
        <x:v>11.702127659574469</x:v>
      </x:c>
      <x:c r="L159" s="14" t="n">
        <x:f>(F159-$H159)/$H159*100</x:f>
        <x:v>5.319148936170213</x:v>
      </x:c>
      <x:c r="M159" s="14" t="n">
        <x:f>(G159-$H159)/$H159*100</x:f>
        <x:v>0</x:v>
      </x:c>
      <x:c r="N159" s="12" t="str">
        <x:f>IF(C159=$H159,"YES","NO")</x:f>
        <x:v>NO</x:v>
      </x:c>
      <x:c r="O159" s="12" t="str">
        <x:f>IF(D159=$H159,"YES","NO")</x:f>
        <x:v>NO</x:v>
      </x:c>
      <x:c r="P159" s="12" t="str">
        <x:f>IF(E159=$H159,"YES","NO")</x:f>
        <x:v>NO</x:v>
      </x:c>
      <x:c r="Q159" s="12" t="str">
        <x:f>IF(F159=$H159,"YES","NO")</x:f>
        <x:v>NO</x:v>
      </x:c>
      <x:c r="R159" s="12" t="str">
        <x:f>IF(G159=$H159,"YES","NO")</x:f>
        <x:v>YES</x:v>
      </x:c>
    </x:row>
    <x:row r="160">
      <x:c r="A160" s="44" t="str">
        <x:v>bpps_d10000n50m10w100_3000s100_1000f0_seed0</x:v>
      </x:c>
      <x:c r="B160" s="12" t="n">
        <x:v>50</x:v>
      </x:c>
      <x:c r="C160" s="12" t="n">
        <x:v>11</x:v>
      </x:c>
      <x:c r="D160" s="12" t="n">
        <x:v>11</x:v>
      </x:c>
      <x:c r="E160" s="12" t="n">
        <x:v>11</x:v>
      </x:c>
      <x:c r="F160" s="12" t="n">
        <x:v>11</x:v>
      </x:c>
      <x:c r="G160" s="12" t="n">
        <x:v>11</x:v>
      </x:c>
      <x:c r="H160" s="12" t="n">
        <x:f>MIN(C160:G160)</x:f>
        <x:v>11</x:v>
      </x:c>
      <x:c r="I160" s="14" t="n">
        <x:f>(C160-$H160)/$H160*100</x:f>
        <x:v>0</x:v>
      </x:c>
      <x:c r="J160" s="14" t="n">
        <x:f>(D160-$H160)/$H160*100</x:f>
        <x:v>0</x:v>
      </x:c>
      <x:c r="K160" s="14" t="n">
        <x:f>(E160-$H160)/$H160*100</x:f>
        <x:v>0</x:v>
      </x:c>
      <x:c r="L160" s="14" t="n">
        <x:f>(F160-$H160)/$H160*100</x:f>
        <x:v>0</x:v>
      </x:c>
      <x:c r="M160" s="14" t="n">
        <x:f>(G160-$H160)/$H160*100</x:f>
        <x:v>0</x:v>
      </x:c>
      <x:c r="N160" s="12" t="str">
        <x:f>IF(C160=$H160,"YES","NO")</x:f>
        <x:v>YES</x:v>
      </x:c>
      <x:c r="O160" s="12" t="str">
        <x:f>IF(D160=$H160,"YES","NO")</x:f>
        <x:v>YES</x:v>
      </x:c>
      <x:c r="P160" s="12" t="str">
        <x:f>IF(E160=$H160,"YES","NO")</x:f>
        <x:v>YES</x:v>
      </x:c>
      <x:c r="Q160" s="12" t="str">
        <x:f>IF(F160=$H160,"YES","NO")</x:f>
        <x:v>YES</x:v>
      </x:c>
      <x:c r="R160" s="12" t="str">
        <x:f>IF(G160=$H160,"YES","NO")</x:f>
        <x:v>YES</x:v>
      </x:c>
    </x:row>
    <x:row r="161">
      <x:c r="A161" s="44" t="str">
        <x:v>bpps_d10000n50m10w100_3000s100_1000f1_seed0</x:v>
      </x:c>
      <x:c r="B161" s="12" t="n">
        <x:v>50</x:v>
      </x:c>
      <x:c r="C161" s="12" t="n">
        <x:v>221</x:v>
      </x:c>
      <x:c r="D161" s="12" t="n">
        <x:v>221</x:v>
      </x:c>
      <x:c r="E161" s="12" t="n">
        <x:v>205</x:v>
      </x:c>
      <x:c r="F161" s="12" t="n">
        <x:v>171</x:v>
      </x:c>
      <x:c r="G161" s="12" t="n">
        <x:v>158</x:v>
      </x:c>
      <x:c r="H161" s="12" t="n">
        <x:f>MIN(C161:G161)</x:f>
        <x:v>158</x:v>
      </x:c>
      <x:c r="I161" s="14" t="n">
        <x:f>(C161-$H161)/$H161*100</x:f>
        <x:v>39.87341772151899</x:v>
      </x:c>
      <x:c r="J161" s="14" t="n">
        <x:f>(D161-$H161)/$H161*100</x:f>
        <x:v>39.87341772151899</x:v>
      </x:c>
      <x:c r="K161" s="14" t="n">
        <x:f>(E161-$H161)/$H161*100</x:f>
        <x:v>29.746835443037973</x:v>
      </x:c>
      <x:c r="L161" s="14" t="n">
        <x:f>(F161-$H161)/$H161*100</x:f>
        <x:v>8.227848101265822</x:v>
      </x:c>
      <x:c r="M161" s="14" t="n">
        <x:f>(G161-$H161)/$H161*100</x:f>
        <x:v>0</x:v>
      </x:c>
      <x:c r="N161" s="12" t="str">
        <x:f>IF(C161=$H161,"YES","NO")</x:f>
        <x:v>NO</x:v>
      </x:c>
      <x:c r="O161" s="12" t="str">
        <x:f>IF(D161=$H161,"YES","NO")</x:f>
        <x:v>NO</x:v>
      </x:c>
      <x:c r="P161" s="12" t="str">
        <x:f>IF(E161=$H161,"YES","NO")</x:f>
        <x:v>NO</x:v>
      </x:c>
      <x:c r="Q161" s="12" t="str">
        <x:f>IF(F161=$H161,"YES","NO")</x:f>
        <x:v>NO</x:v>
      </x:c>
      <x:c r="R161" s="12" t="str">
        <x:f>IF(G161=$H161,"YES","NO")</x:f>
        <x:v>YES</x:v>
      </x:c>
    </x:row>
    <x:row r="162">
      <x:c r="A162" s="44" t="str">
        <x:v>bpps_d10000n50m10w100_3000s100_2000f0_seed0</x:v>
      </x:c>
      <x:c r="B162" s="12" t="n">
        <x:v>50</x:v>
      </x:c>
      <x:c r="C162" s="12" t="n">
        <x:v>14</x:v>
      </x:c>
      <x:c r="D162" s="12" t="n">
        <x:v>14</x:v>
      </x:c>
      <x:c r="E162" s="12" t="n">
        <x:v>13</x:v>
      </x:c>
      <x:c r="F162" s="12" t="n">
        <x:v>13</x:v>
      </x:c>
      <x:c r="G162" s="12" t="n">
        <x:v>12</x:v>
      </x:c>
      <x:c r="H162" s="12" t="n">
        <x:f>MIN(C162:G162)</x:f>
        <x:v>12</x:v>
      </x:c>
      <x:c r="I162" s="14" t="n">
        <x:f>(C162-$H162)/$H162*100</x:f>
        <x:v>16.666666666666664</x:v>
      </x:c>
      <x:c r="J162" s="14" t="n">
        <x:f>(D162-$H162)/$H162*100</x:f>
        <x:v>16.666666666666664</x:v>
      </x:c>
      <x:c r="K162" s="14" t="n">
        <x:f>(E162-$H162)/$H162*100</x:f>
        <x:v>8.333333333333332</x:v>
      </x:c>
      <x:c r="L162" s="14" t="n">
        <x:f>(F162-$H162)/$H162*100</x:f>
        <x:v>8.333333333333332</x:v>
      </x:c>
      <x:c r="M162" s="14" t="n">
        <x:f>(G162-$H162)/$H162*100</x:f>
        <x:v>0</x:v>
      </x:c>
      <x:c r="N162" s="12" t="str">
        <x:f>IF(C162=$H162,"YES","NO")</x:f>
        <x:v>NO</x:v>
      </x:c>
      <x:c r="O162" s="12" t="str">
        <x:f>IF(D162=$H162,"YES","NO")</x:f>
        <x:v>NO</x:v>
      </x:c>
      <x:c r="P162" s="12" t="str">
        <x:f>IF(E162=$H162,"YES","NO")</x:f>
        <x:v>NO</x:v>
      </x:c>
      <x:c r="Q162" s="12" t="str">
        <x:f>IF(F162=$H162,"YES","NO")</x:f>
        <x:v>NO</x:v>
      </x:c>
      <x:c r="R162" s="12" t="str">
        <x:f>IF(G162=$H162,"YES","NO")</x:f>
        <x:v>YES</x:v>
      </x:c>
    </x:row>
    <x:row r="163">
      <x:c r="A163" s="44" t="str">
        <x:v>bpps_d10000n50m10w100_3000s100_2000f1_seed0</x:v>
      </x:c>
      <x:c r="B163" s="12" t="n">
        <x:v>50</x:v>
      </x:c>
      <x:c r="C163" s="12" t="n">
        <x:v>221</x:v>
      </x:c>
      <x:c r="D163" s="12" t="n">
        <x:v>221</x:v>
      </x:c>
      <x:c r="E163" s="12" t="n">
        <x:v>224</x:v>
      </x:c>
      <x:c r="F163" s="12" t="n">
        <x:v>196</x:v>
      </x:c>
      <x:c r="G163" s="12" t="n">
        <x:v>177</x:v>
      </x:c>
      <x:c r="H163" s="12" t="n">
        <x:f>MIN(C163:G163)</x:f>
        <x:v>177</x:v>
      </x:c>
      <x:c r="I163" s="14" t="n">
        <x:f>(C163-$H163)/$H163*100</x:f>
        <x:v>24.858757062146893</x:v>
      </x:c>
      <x:c r="J163" s="14" t="n">
        <x:f>(D163-$H163)/$H163*100</x:f>
        <x:v>24.858757062146893</x:v>
      </x:c>
      <x:c r="K163" s="14" t="n">
        <x:f>(E163-$H163)/$H163*100</x:f>
        <x:v>26.55367231638418</x:v>
      </x:c>
      <x:c r="L163" s="14" t="n">
        <x:f>(F163-$H163)/$H163*100</x:f>
        <x:v>10.734463276836157</x:v>
      </x:c>
      <x:c r="M163" s="14" t="n">
        <x:f>(G163-$H163)/$H163*100</x:f>
        <x:v>0</x:v>
      </x:c>
      <x:c r="N163" s="12" t="str">
        <x:f>IF(C163=$H163,"YES","NO")</x:f>
        <x:v>NO</x:v>
      </x:c>
      <x:c r="O163" s="12" t="str">
        <x:f>IF(D163=$H163,"YES","NO")</x:f>
        <x:v>NO</x:v>
      </x:c>
      <x:c r="P163" s="12" t="str">
        <x:f>IF(E163=$H163,"YES","NO")</x:f>
        <x:v>NO</x:v>
      </x:c>
      <x:c r="Q163" s="12" t="str">
        <x:f>IF(F163=$H163,"YES","NO")</x:f>
        <x:v>NO</x:v>
      </x:c>
      <x:c r="R163" s="12" t="str">
        <x:f>IF(G163=$H163,"YES","NO")</x:f>
        <x:v>YES</x:v>
      </x:c>
    </x:row>
    <x:row r="164">
      <x:c r="A164" s="44" t="str">
        <x:v>bpps_d10000n50m10w2000_3000s1000_2000f0_seed0</x:v>
      </x:c>
      <x:c r="B164" s="12" t="n">
        <x:v>50</x:v>
      </x:c>
      <x:c r="C164" s="12" t="n">
        <x:v>22</x:v>
      </x:c>
      <x:c r="D164" s="12" t="n">
        <x:v>21</x:v>
      </x:c>
      <x:c r="E164" s="12" t="n">
        <x:v>21</x:v>
      </x:c>
      <x:c r="F164" s="12" t="n">
        <x:v>18</x:v>
      </x:c>
      <x:c r="G164" s="12" t="n">
        <x:v>18</x:v>
      </x:c>
      <x:c r="H164" s="12" t="n">
        <x:f>MIN(C164:G164)</x:f>
        <x:v>18</x:v>
      </x:c>
      <x:c r="I164" s="14" t="n">
        <x:f>(C164-$H164)/$H164*100</x:f>
        <x:v>22.22222222222222</x:v>
      </x:c>
      <x:c r="J164" s="14" t="n">
        <x:f>(D164-$H164)/$H164*100</x:f>
        <x:v>16.666666666666664</x:v>
      </x:c>
      <x:c r="K164" s="14" t="n">
        <x:f>(E164-$H164)/$H164*100</x:f>
        <x:v>16.666666666666664</x:v>
      </x:c>
      <x:c r="L164" s="14" t="n">
        <x:f>(F164-$H164)/$H164*100</x:f>
        <x:v>0</x:v>
      </x:c>
      <x:c r="M164" s="14" t="n">
        <x:f>(G164-$H164)/$H164*100</x:f>
        <x:v>0</x:v>
      </x:c>
      <x:c r="N164" s="12" t="str">
        <x:f>IF(C164=$H164,"YES","NO")</x:f>
        <x:v>NO</x:v>
      </x:c>
      <x:c r="O164" s="12" t="str">
        <x:f>IF(D164=$H164,"YES","NO")</x:f>
        <x:v>NO</x:v>
      </x:c>
      <x:c r="P164" s="12" t="str">
        <x:f>IF(E164=$H164,"YES","NO")</x:f>
        <x:v>NO</x:v>
      </x:c>
      <x:c r="Q164" s="12" t="str">
        <x:f>IF(F164=$H164,"YES","NO")</x:f>
        <x:v>YES</x:v>
      </x:c>
      <x:c r="R164" s="12" t="str">
        <x:f>IF(G164=$H164,"YES","NO")</x:f>
        <x:v>YES</x:v>
      </x:c>
    </x:row>
    <x:row r="165">
      <x:c r="A165" s="44" t="str">
        <x:v>bpps_d10000n50m10w2000_3000s1000_2000f1_seed0</x:v>
      </x:c>
      <x:c r="B165" s="12" t="n">
        <x:v>50</x:v>
      </x:c>
      <x:c r="C165" s="12" t="n">
        <x:v>353</x:v>
      </x:c>
      <x:c r="D165" s="12" t="n">
        <x:v>353</x:v>
      </x:c>
      <x:c r="E165" s="12" t="n">
        <x:v>344</x:v>
      </x:c>
      <x:c r="F165" s="12" t="n">
        <x:v>267</x:v>
      </x:c>
      <x:c r="G165" s="12" t="n">
        <x:v>257</x:v>
      </x:c>
      <x:c r="H165" s="12" t="n">
        <x:f>MIN(C165:G165)</x:f>
        <x:v>257</x:v>
      </x:c>
      <x:c r="I165" s="14" t="n">
        <x:f>(C165-$H165)/$H165*100</x:f>
        <x:v>37.35408560311284</x:v>
      </x:c>
      <x:c r="J165" s="14" t="n">
        <x:f>(D165-$H165)/$H165*100</x:f>
        <x:v>37.35408560311284</x:v>
      </x:c>
      <x:c r="K165" s="14" t="n">
        <x:f>(E165-$H165)/$H165*100</x:f>
        <x:v>33.85214007782101</x:v>
      </x:c>
      <x:c r="L165" s="14" t="n">
        <x:f>(F165-$H165)/$H165*100</x:f>
        <x:v>3.8910505836575875</x:v>
      </x:c>
      <x:c r="M165" s="14" t="n">
        <x:f>(G165-$H165)/$H165*100</x:f>
        <x:v>0</x:v>
      </x:c>
      <x:c r="N165" s="12" t="str">
        <x:f>IF(C165=$H165,"YES","NO")</x:f>
        <x:v>NO</x:v>
      </x:c>
      <x:c r="O165" s="12" t="str">
        <x:f>IF(D165=$H165,"YES","NO")</x:f>
        <x:v>NO</x:v>
      </x:c>
      <x:c r="P165" s="12" t="str">
        <x:f>IF(E165=$H165,"YES","NO")</x:f>
        <x:v>NO</x:v>
      </x:c>
      <x:c r="Q165" s="12" t="str">
        <x:f>IF(F165=$H165,"YES","NO")</x:f>
        <x:v>NO</x:v>
      </x:c>
      <x:c r="R165" s="12" t="str">
        <x:f>IF(G165=$H165,"YES","NO")</x:f>
        <x:v>YES</x:v>
      </x:c>
    </x:row>
    <x:row r="166">
      <x:c r="A166" s="44" t="str">
        <x:v>bpps_d10000n50m10w2000_3000s100_1000f0_seed0</x:v>
      </x:c>
      <x:c r="B166" s="12" t="n">
        <x:v>50</x:v>
      </x:c>
      <x:c r="C166" s="12" t="n">
        <x:v>17</x:v>
      </x:c>
      <x:c r="D166" s="12" t="n">
        <x:v>17</x:v>
      </x:c>
      <x:c r="E166" s="12" t="n">
        <x:v>16</x:v>
      </x:c>
      <x:c r="F166" s="12" t="n">
        <x:v>16</x:v>
      </x:c>
      <x:c r="G166" s="12" t="n">
        <x:v>16</x:v>
      </x:c>
      <x:c r="H166" s="12" t="n">
        <x:f>MIN(C166:G166)</x:f>
        <x:v>16</x:v>
      </x:c>
      <x:c r="I166" s="14" t="n">
        <x:f>(C166-$H166)/$H166*100</x:f>
        <x:v>6.25</x:v>
      </x:c>
      <x:c r="J166" s="14" t="n">
        <x:f>(D166-$H166)/$H166*100</x:f>
        <x:v>6.25</x:v>
      </x:c>
      <x:c r="K166" s="14" t="n">
        <x:f>(E166-$H166)/$H166*100</x:f>
        <x:v>0</x:v>
      </x:c>
      <x:c r="L166" s="14" t="n">
        <x:f>(F166-$H166)/$H166*100</x:f>
        <x:v>0</x:v>
      </x:c>
      <x:c r="M166" s="14" t="n">
        <x:f>(G166-$H166)/$H166*100</x:f>
        <x:v>0</x:v>
      </x:c>
      <x:c r="N166" s="12" t="str">
        <x:f>IF(C166=$H166,"YES","NO")</x:f>
        <x:v>NO</x:v>
      </x:c>
      <x:c r="O166" s="12" t="str">
        <x:f>IF(D166=$H166,"YES","NO")</x:f>
        <x:v>NO</x:v>
      </x:c>
      <x:c r="P166" s="12" t="str">
        <x:f>IF(E166=$H166,"YES","NO")</x:f>
        <x:v>YES</x:v>
      </x:c>
      <x:c r="Q166" s="12" t="str">
        <x:f>IF(F166=$H166,"YES","NO")</x:f>
        <x:v>YES</x:v>
      </x:c>
      <x:c r="R166" s="12" t="str">
        <x:f>IF(G166=$H166,"YES","NO")</x:f>
        <x:v>YES</x:v>
      </x:c>
    </x:row>
    <x:row r="167">
      <x:c r="A167" s="44" t="str">
        <x:v>bpps_d10000n50m10w2000_3000s100_1000f1_seed0</x:v>
      </x:c>
      <x:c r="B167" s="12" t="n">
        <x:v>50</x:v>
      </x:c>
      <x:c r="C167" s="12" t="n">
        <x:v>292</x:v>
      </x:c>
      <x:c r="D167" s="12" t="n">
        <x:v>306</x:v>
      </x:c>
      <x:c r="E167" s="12" t="n">
        <x:v>304</x:v>
      </x:c>
      <x:c r="F167" s="12" t="n">
        <x:v>229</x:v>
      </x:c>
      <x:c r="G167" s="12" t="n">
        <x:v>229</x:v>
      </x:c>
      <x:c r="H167" s="12" t="n">
        <x:f>MIN(C167:G167)</x:f>
        <x:v>229</x:v>
      </x:c>
      <x:c r="I167" s="14" t="n">
        <x:f>(C167-$H167)/$H167*100</x:f>
        <x:v>27.510917030567683</x:v>
      </x:c>
      <x:c r="J167" s="14" t="n">
        <x:f>(D167-$H167)/$H167*100</x:f>
        <x:v>33.624454148471614</x:v>
      </x:c>
      <x:c r="K167" s="14" t="n">
        <x:f>(E167-$H167)/$H167*100</x:f>
        <x:v>32.751091703056765</x:v>
      </x:c>
      <x:c r="L167" s="14" t="n">
        <x:f>(F167-$H167)/$H167*100</x:f>
        <x:v>0</x:v>
      </x:c>
      <x:c r="M167" s="14" t="n">
        <x:f>(G167-$H167)/$H167*100</x:f>
        <x:v>0</x:v>
      </x:c>
      <x:c r="N167" s="12" t="str">
        <x:f>IF(C167=$H167,"YES","NO")</x:f>
        <x:v>NO</x:v>
      </x:c>
      <x:c r="O167" s="12" t="str">
        <x:f>IF(D167=$H167,"YES","NO")</x:f>
        <x:v>NO</x:v>
      </x:c>
      <x:c r="P167" s="12" t="str">
        <x:f>IF(E167=$H167,"YES","NO")</x:f>
        <x:v>NO</x:v>
      </x:c>
      <x:c r="Q167" s="12" t="str">
        <x:f>IF(F167=$H167,"YES","NO")</x:f>
        <x:v>YES</x:v>
      </x:c>
      <x:c r="R167" s="12" t="str">
        <x:f>IF(G167=$H167,"YES","NO")</x:f>
        <x:v>YES</x:v>
      </x:c>
    </x:row>
    <x:row r="168">
      <x:c r="A168" s="44" t="str">
        <x:v>bpps_d10000n50m10w2000_3000s100_2000f0_seed0</x:v>
      </x:c>
      <x:c r="B168" s="12" t="n">
        <x:v>50</x:v>
      </x:c>
      <x:c r="C168" s="12" t="n">
        <x:v>18</x:v>
      </x:c>
      <x:c r="D168" s="12" t="n">
        <x:v>18</x:v>
      </x:c>
      <x:c r="E168" s="12" t="n">
        <x:v>18</x:v>
      </x:c>
      <x:c r="F168" s="12" t="n">
        <x:v>17</x:v>
      </x:c>
      <x:c r="G168" s="12" t="n">
        <x:v>17</x:v>
      </x:c>
      <x:c r="H168" s="12" t="n">
        <x:f>MIN(C168:G168)</x:f>
        <x:v>17</x:v>
      </x:c>
      <x:c r="I168" s="14" t="n">
        <x:f>(C168-$H168)/$H168*100</x:f>
        <x:v>5.88235294117647</x:v>
      </x:c>
      <x:c r="J168" s="14" t="n">
        <x:f>(D168-$H168)/$H168*100</x:f>
        <x:v>5.88235294117647</x:v>
      </x:c>
      <x:c r="K168" s="14" t="n">
        <x:f>(E168-$H168)/$H168*100</x:f>
        <x:v>5.88235294117647</x:v>
      </x:c>
      <x:c r="L168" s="14" t="n">
        <x:f>(F168-$H168)/$H168*100</x:f>
        <x:v>0</x:v>
      </x:c>
      <x:c r="M168" s="14" t="n">
        <x:f>(G168-$H168)/$H168*100</x:f>
        <x:v>0</x:v>
      </x:c>
      <x:c r="N168" s="12" t="str">
        <x:f>IF(C168=$H168,"YES","NO")</x:f>
        <x:v>NO</x:v>
      </x:c>
      <x:c r="O168" s="12" t="str">
        <x:f>IF(D168=$H168,"YES","NO")</x:f>
        <x:v>NO</x:v>
      </x:c>
      <x:c r="P168" s="12" t="str">
        <x:f>IF(E168=$H168,"YES","NO")</x:f>
        <x:v>NO</x:v>
      </x:c>
      <x:c r="Q168" s="12" t="str">
        <x:f>IF(F168=$H168,"YES","NO")</x:f>
        <x:v>YES</x:v>
      </x:c>
      <x:c r="R168" s="12" t="str">
        <x:f>IF(G168=$H168,"YES","NO")</x:f>
        <x:v>YES</x:v>
      </x:c>
    </x:row>
    <x:row r="169">
      <x:c r="A169" s="44" t="str">
        <x:v>bpps_d10000n50m10w2000_3000s100_2000f1_seed0</x:v>
      </x:c>
      <x:c r="B169" s="12" t="n">
        <x:v>50</x:v>
      </x:c>
      <x:c r="C169" s="12" t="n">
        <x:v>310</x:v>
      </x:c>
      <x:c r="D169" s="12" t="n">
        <x:v>315</x:v>
      </x:c>
      <x:c r="E169" s="12" t="n">
        <x:v>305</x:v>
      </x:c>
      <x:c r="F169" s="12" t="n">
        <x:v>243</x:v>
      </x:c>
      <x:c r="G169" s="12" t="n">
        <x:v>234</x:v>
      </x:c>
      <x:c r="H169" s="12" t="n">
        <x:f>MIN(C169:G169)</x:f>
        <x:v>234</x:v>
      </x:c>
      <x:c r="I169" s="14" t="n">
        <x:f>(C169-$H169)/$H169*100</x:f>
        <x:v>32.47863247863248</x:v>
      </x:c>
      <x:c r="J169" s="14" t="n">
        <x:f>(D169-$H169)/$H169*100</x:f>
        <x:v>34.61538461538461</x:v>
      </x:c>
      <x:c r="K169" s="14" t="n">
        <x:f>(E169-$H169)/$H169*100</x:f>
        <x:v>30.34188034188034</x:v>
      </x:c>
      <x:c r="L169" s="14" t="n">
        <x:f>(F169-$H169)/$H169*100</x:f>
        <x:v>3.8461538461538463</x:v>
      </x:c>
      <x:c r="M169" s="14" t="n">
        <x:f>(G169-$H169)/$H169*100</x:f>
        <x:v>0</x:v>
      </x:c>
      <x:c r="N169" s="12" t="str">
        <x:f>IF(C169=$H169,"YES","NO")</x:f>
        <x:v>NO</x:v>
      </x:c>
      <x:c r="O169" s="12" t="str">
        <x:f>IF(D169=$H169,"YES","NO")</x:f>
        <x:v>NO</x:v>
      </x:c>
      <x:c r="P169" s="12" t="str">
        <x:f>IF(E169=$H169,"YES","NO")</x:f>
        <x:v>NO</x:v>
      </x:c>
      <x:c r="Q169" s="12" t="str">
        <x:f>IF(F169=$H169,"YES","NO")</x:f>
        <x:v>NO</x:v>
      </x:c>
      <x:c r="R169" s="12" t="str">
        <x:f>IF(G169=$H169,"YES","NO")</x:f>
        <x:v>YES</x:v>
      </x:c>
    </x:row>
    <x:row r="170">
      <x:c r="A170" s="44" t="str">
        <x:v>bpps_d10000n50m5w1000_2000s1000_2000f0_seed0</x:v>
      </x:c>
      <x:c r="B170" s="12" t="n">
        <x:v>50</x:v>
      </x:c>
      <x:c r="C170" s="12" t="n">
        <x:v>13</x:v>
      </x:c>
      <x:c r="D170" s="12" t="n">
        <x:v>13</x:v>
      </x:c>
      <x:c r="E170" s="12" t="n">
        <x:v>13</x:v>
      </x:c>
      <x:c r="F170" s="12" t="n">
        <x:v>12</x:v>
      </x:c>
      <x:c r="G170" s="12" t="n">
        <x:v>12</x:v>
      </x:c>
      <x:c r="H170" s="12" t="n">
        <x:f>MIN(C170:G170)</x:f>
        <x:v>12</x:v>
      </x:c>
      <x:c r="I170" s="14" t="n">
        <x:f>(C170-$H170)/$H170*100</x:f>
        <x:v>8.333333333333332</x:v>
      </x:c>
      <x:c r="J170" s="14" t="n">
        <x:f>(D170-$H170)/$H170*100</x:f>
        <x:v>8.333333333333332</x:v>
      </x:c>
      <x:c r="K170" s="14" t="n">
        <x:f>(E170-$H170)/$H170*100</x:f>
        <x:v>8.333333333333332</x:v>
      </x:c>
      <x:c r="L170" s="14" t="n">
        <x:f>(F170-$H170)/$H170*100</x:f>
        <x:v>0</x:v>
      </x:c>
      <x:c r="M170" s="14" t="n">
        <x:f>(G170-$H170)/$H170*100</x:f>
        <x:v>0</x:v>
      </x:c>
      <x:c r="N170" s="12" t="str">
        <x:f>IF(C170=$H170,"YES","NO")</x:f>
        <x:v>NO</x:v>
      </x:c>
      <x:c r="O170" s="12" t="str">
        <x:f>IF(D170=$H170,"YES","NO")</x:f>
        <x:v>NO</x:v>
      </x:c>
      <x:c r="P170" s="12" t="str">
        <x:f>IF(E170=$H170,"YES","NO")</x:f>
        <x:v>NO</x:v>
      </x:c>
      <x:c r="Q170" s="12" t="str">
        <x:f>IF(F170=$H170,"YES","NO")</x:f>
        <x:v>YES</x:v>
      </x:c>
      <x:c r="R170" s="12" t="str">
        <x:f>IF(G170=$H170,"YES","NO")</x:f>
        <x:v>YES</x:v>
      </x:c>
    </x:row>
    <x:row r="171">
      <x:c r="A171" s="44" t="str">
        <x:v>bpps_d10000n50m5w1000_2000s1000_2000f1_seed0</x:v>
      </x:c>
      <x:c r="B171" s="12" t="n">
        <x:v>50</x:v>
      </x:c>
      <x:c r="C171" s="12" t="n">
        <x:v>215</x:v>
      </x:c>
      <x:c r="D171" s="12" t="n">
        <x:v>229</x:v>
      </x:c>
      <x:c r="E171" s="12" t="n">
        <x:v>213</x:v>
      </x:c>
      <x:c r="F171" s="12" t="n">
        <x:v>165</x:v>
      </x:c>
      <x:c r="G171" s="12" t="n">
        <x:v>140</x:v>
      </x:c>
      <x:c r="H171" s="12" t="n">
        <x:f>MIN(C171:G171)</x:f>
        <x:v>140</x:v>
      </x:c>
      <x:c r="I171" s="14" t="n">
        <x:f>(C171-$H171)/$H171*100</x:f>
        <x:v>53.57142857142857</x:v>
      </x:c>
      <x:c r="J171" s="14" t="n">
        <x:f>(D171-$H171)/$H171*100</x:f>
        <x:v>63.57142857142857</x:v>
      </x:c>
      <x:c r="K171" s="14" t="n">
        <x:f>(E171-$H171)/$H171*100</x:f>
        <x:v>52.142857142857146</x:v>
      </x:c>
      <x:c r="L171" s="14" t="n">
        <x:f>(F171-$H171)/$H171*100</x:f>
        <x:v>17.857142857142858</x:v>
      </x:c>
      <x:c r="M171" s="14" t="n">
        <x:f>(G171-$H171)/$H171*100</x:f>
        <x:v>0</x:v>
      </x:c>
      <x:c r="N171" s="12" t="str">
        <x:f>IF(C171=$H171,"YES","NO")</x:f>
        <x:v>NO</x:v>
      </x:c>
      <x:c r="O171" s="12" t="str">
        <x:f>IF(D171=$H171,"YES","NO")</x:f>
        <x:v>NO</x:v>
      </x:c>
      <x:c r="P171" s="12" t="str">
        <x:f>IF(E171=$H171,"YES","NO")</x:f>
        <x:v>NO</x:v>
      </x:c>
      <x:c r="Q171" s="12" t="str">
        <x:f>IF(F171=$H171,"YES","NO")</x:f>
        <x:v>NO</x:v>
      </x:c>
      <x:c r="R171" s="12" t="str">
        <x:f>IF(G171=$H171,"YES","NO")</x:f>
        <x:v>YES</x:v>
      </x:c>
    </x:row>
    <x:row r="172">
      <x:c r="A172" s="44" t="str">
        <x:v>bpps_d10000n50m5w1000_2000s100_1000f0_seed0</x:v>
      </x:c>
      <x:c r="B172" s="12" t="n">
        <x:v>50</x:v>
      </x:c>
      <x:c r="C172" s="12" t="n">
        <x:v>11</x:v>
      </x:c>
      <x:c r="D172" s="12" t="n">
        <x:v>11</x:v>
      </x:c>
      <x:c r="E172" s="12" t="n">
        <x:v>10</x:v>
      </x:c>
      <x:c r="F172" s="12" t="n">
        <x:v>10</x:v>
      </x:c>
      <x:c r="G172" s="12" t="n">
        <x:v>10</x:v>
      </x:c>
      <x:c r="H172" s="12" t="n">
        <x:f>MIN(C172:G172)</x:f>
        <x:v>10</x:v>
      </x:c>
      <x:c r="I172" s="14" t="n">
        <x:f>(C172-$H172)/$H172*100</x:f>
        <x:v>10</x:v>
      </x:c>
      <x:c r="J172" s="14" t="n">
        <x:f>(D172-$H172)/$H172*100</x:f>
        <x:v>10</x:v>
      </x:c>
      <x:c r="K172" s="14" t="n">
        <x:f>(E172-$H172)/$H172*100</x:f>
        <x:v>0</x:v>
      </x:c>
      <x:c r="L172" s="14" t="n">
        <x:f>(F172-$H172)/$H172*100</x:f>
        <x:v>0</x:v>
      </x:c>
      <x:c r="M172" s="14" t="n">
        <x:f>(G172-$H172)/$H172*100</x:f>
        <x:v>0</x:v>
      </x:c>
      <x:c r="N172" s="12" t="str">
        <x:f>IF(C172=$H172,"YES","NO")</x:f>
        <x:v>NO</x:v>
      </x:c>
      <x:c r="O172" s="12" t="str">
        <x:f>IF(D172=$H172,"YES","NO")</x:f>
        <x:v>NO</x:v>
      </x:c>
      <x:c r="P172" s="12" t="str">
        <x:f>IF(E172=$H172,"YES","NO")</x:f>
        <x:v>YES</x:v>
      </x:c>
      <x:c r="Q172" s="12" t="str">
        <x:f>IF(F172=$H172,"YES","NO")</x:f>
        <x:v>YES</x:v>
      </x:c>
      <x:c r="R172" s="12" t="str">
        <x:f>IF(G172=$H172,"YES","NO")</x:f>
        <x:v>YES</x:v>
      </x:c>
    </x:row>
    <x:row r="173">
      <x:c r="A173" s="44" t="str">
        <x:v>bpps_d10000n50m5w1000_2000s100_1000f1_seed0</x:v>
      </x:c>
      <x:c r="B173" s="12" t="n">
        <x:v>50</x:v>
      </x:c>
      <x:c r="C173" s="12" t="n">
        <x:v>180</x:v>
      </x:c>
      <x:c r="D173" s="12" t="n">
        <x:v>180</x:v>
      </x:c>
      <x:c r="E173" s="12" t="n">
        <x:v>178</x:v>
      </x:c>
      <x:c r="F173" s="12" t="n">
        <x:v>144</x:v>
      </x:c>
      <x:c r="G173" s="12" t="n">
        <x:v>130</x:v>
      </x:c>
      <x:c r="H173" s="12" t="n">
        <x:f>MIN(C173:G173)</x:f>
        <x:v>130</x:v>
      </x:c>
      <x:c r="I173" s="14" t="n">
        <x:f>(C173-$H173)/$H173*100</x:f>
        <x:v>38.46153846153847</x:v>
      </x:c>
      <x:c r="J173" s="14" t="n">
        <x:f>(D173-$H173)/$H173*100</x:f>
        <x:v>38.46153846153847</x:v>
      </x:c>
      <x:c r="K173" s="14" t="n">
        <x:f>(E173-$H173)/$H173*100</x:f>
        <x:v>36.92307692307693</x:v>
      </x:c>
      <x:c r="L173" s="14" t="n">
        <x:f>(F173-$H173)/$H173*100</x:f>
        <x:v>10.76923076923077</x:v>
      </x:c>
      <x:c r="M173" s="14" t="n">
        <x:f>(G173-$H173)/$H173*100</x:f>
        <x:v>0</x:v>
      </x:c>
      <x:c r="N173" s="12" t="str">
        <x:f>IF(C173=$H173,"YES","NO")</x:f>
        <x:v>NO</x:v>
      </x:c>
      <x:c r="O173" s="12" t="str">
        <x:f>IF(D173=$H173,"YES","NO")</x:f>
        <x:v>NO</x:v>
      </x:c>
      <x:c r="P173" s="12" t="str">
        <x:f>IF(E173=$H173,"YES","NO")</x:f>
        <x:v>NO</x:v>
      </x:c>
      <x:c r="Q173" s="12" t="str">
        <x:f>IF(F173=$H173,"YES","NO")</x:f>
        <x:v>NO</x:v>
      </x:c>
      <x:c r="R173" s="12" t="str">
        <x:f>IF(G173=$H173,"YES","NO")</x:f>
        <x:v>YES</x:v>
      </x:c>
    </x:row>
    <x:row r="174">
      <x:c r="A174" s="44" t="str">
        <x:v>bpps_d10000n50m5w1000_2000s100_2000f0_seed0</x:v>
      </x:c>
      <x:c r="B174" s="12" t="n">
        <x:v>50</x:v>
      </x:c>
      <x:c r="C174" s="12" t="n">
        <x:v>12</x:v>
      </x:c>
      <x:c r="D174" s="12" t="n">
        <x:v>12</x:v>
      </x:c>
      <x:c r="E174" s="12" t="n">
        <x:v>12</x:v>
      </x:c>
      <x:c r="F174" s="12" t="n">
        <x:v>11</x:v>
      </x:c>
      <x:c r="G174" s="12" t="n">
        <x:v>10</x:v>
      </x:c>
      <x:c r="H174" s="12" t="n">
        <x:f>MIN(C174:G174)</x:f>
        <x:v>10</x:v>
      </x:c>
      <x:c r="I174" s="14" t="n">
        <x:f>(C174-$H174)/$H174*100</x:f>
        <x:v>20</x:v>
      </x:c>
      <x:c r="J174" s="14" t="n">
        <x:f>(D174-$H174)/$H174*100</x:f>
        <x:v>20</x:v>
      </x:c>
      <x:c r="K174" s="14" t="n">
        <x:f>(E174-$H174)/$H174*100</x:f>
        <x:v>20</x:v>
      </x:c>
      <x:c r="L174" s="14" t="n">
        <x:f>(F174-$H174)/$H174*100</x:f>
        <x:v>10</x:v>
      </x:c>
      <x:c r="M174" s="14" t="n">
        <x:f>(G174-$H174)/$H174*100</x:f>
        <x:v>0</x:v>
      </x:c>
      <x:c r="N174" s="12" t="str">
        <x:f>IF(C174=$H174,"YES","NO")</x:f>
        <x:v>NO</x:v>
      </x:c>
      <x:c r="O174" s="12" t="str">
        <x:f>IF(D174=$H174,"YES","NO")</x:f>
        <x:v>NO</x:v>
      </x:c>
      <x:c r="P174" s="12" t="str">
        <x:f>IF(E174=$H174,"YES","NO")</x:f>
        <x:v>NO</x:v>
      </x:c>
      <x:c r="Q174" s="12" t="str">
        <x:f>IF(F174=$H174,"YES","NO")</x:f>
        <x:v>NO</x:v>
      </x:c>
      <x:c r="R174" s="12" t="str">
        <x:f>IF(G174=$H174,"YES","NO")</x:f>
        <x:v>YES</x:v>
      </x:c>
    </x:row>
    <x:row r="175">
      <x:c r="A175" s="44" t="str">
        <x:v>bpps_d10000n50m5w1000_2000s100_2000f1_seed0</x:v>
      </x:c>
      <x:c r="B175" s="12" t="n">
        <x:v>50</x:v>
      </x:c>
      <x:c r="C175" s="12" t="n">
        <x:v>204</x:v>
      </x:c>
      <x:c r="D175" s="12" t="n">
        <x:v>188</x:v>
      </x:c>
      <x:c r="E175" s="12" t="n">
        <x:v>187</x:v>
      </x:c>
      <x:c r="F175" s="12" t="n">
        <x:v>149</x:v>
      </x:c>
      <x:c r="G175" s="12" t="n">
        <x:v>129</x:v>
      </x:c>
      <x:c r="H175" s="12" t="n">
        <x:f>MIN(C175:G175)</x:f>
        <x:v>129</x:v>
      </x:c>
      <x:c r="I175" s="14" t="n">
        <x:f>(C175-$H175)/$H175*100</x:f>
        <x:v>58.139534883720934</x:v>
      </x:c>
      <x:c r="J175" s="14" t="n">
        <x:f>(D175-$H175)/$H175*100</x:f>
        <x:v>45.73643410852713</x:v>
      </x:c>
      <x:c r="K175" s="14" t="n">
        <x:f>(E175-$H175)/$H175*100</x:f>
        <x:v>44.96124031007752</x:v>
      </x:c>
      <x:c r="L175" s="14" t="n">
        <x:f>(F175-$H175)/$H175*100</x:f>
        <x:v>15.503875968992247</x:v>
      </x:c>
      <x:c r="M175" s="14" t="n">
        <x:f>(G175-$H175)/$H175*100</x:f>
        <x:v>0</x:v>
      </x:c>
      <x:c r="N175" s="12" t="str">
        <x:f>IF(C175=$H175,"YES","NO")</x:f>
        <x:v>NO</x:v>
      </x:c>
      <x:c r="O175" s="12" t="str">
        <x:f>IF(D175=$H175,"YES","NO")</x:f>
        <x:v>NO</x:v>
      </x:c>
      <x:c r="P175" s="12" t="str">
        <x:f>IF(E175=$H175,"YES","NO")</x:f>
        <x:v>NO</x:v>
      </x:c>
      <x:c r="Q175" s="12" t="str">
        <x:f>IF(F175=$H175,"YES","NO")</x:f>
        <x:v>NO</x:v>
      </x:c>
      <x:c r="R175" s="12" t="str">
        <x:f>IF(G175=$H175,"YES","NO")</x:f>
        <x:v>YES</x:v>
      </x:c>
    </x:row>
    <x:row r="176">
      <x:c r="A176" s="44" t="str">
        <x:v>bpps_d10000n50m5w100_1000s1000_2000f0_seed0</x:v>
      </x:c>
      <x:c r="B176" s="12" t="n">
        <x:v>50</x:v>
      </x:c>
      <x:c r="C176" s="12" t="n">
        <x:v>6</x:v>
      </x:c>
      <x:c r="D176" s="12" t="n">
        <x:v>6</x:v>
      </x:c>
      <x:c r="E176" s="12" t="n">
        <x:v>6</x:v>
      </x:c>
      <x:c r="F176" s="12" t="n">
        <x:v>7</x:v>
      </x:c>
      <x:c r="G176" s="12" t="n">
        <x:v>6</x:v>
      </x:c>
      <x:c r="H176" s="12" t="n">
        <x:f>MIN(C176:G176)</x:f>
        <x:v>6</x:v>
      </x:c>
      <x:c r="I176" s="14" t="n">
        <x:f>(C176-$H176)/$H176*100</x:f>
        <x:v>0</x:v>
      </x:c>
      <x:c r="J176" s="14" t="n">
        <x:f>(D176-$H176)/$H176*100</x:f>
        <x:v>0</x:v>
      </x:c>
      <x:c r="K176" s="14" t="n">
        <x:f>(E176-$H176)/$H176*100</x:f>
        <x:v>0</x:v>
      </x:c>
      <x:c r="L176" s="14" t="n">
        <x:f>(F176-$H176)/$H176*100</x:f>
        <x:v>16.666666666666664</x:v>
      </x:c>
      <x:c r="M176" s="14" t="n">
        <x:f>(G176-$H176)/$H176*100</x:f>
        <x:v>0</x:v>
      </x:c>
      <x:c r="N176" s="12" t="str">
        <x:f>IF(C176=$H176,"YES","NO")</x:f>
        <x:v>YES</x:v>
      </x:c>
      <x:c r="O176" s="12" t="str">
        <x:f>IF(D176=$H176,"YES","NO")</x:f>
        <x:v>YES</x:v>
      </x:c>
      <x:c r="P176" s="12" t="str">
        <x:f>IF(E176=$H176,"YES","NO")</x:f>
        <x:v>YES</x:v>
      </x:c>
      <x:c r="Q176" s="12" t="str">
        <x:f>IF(F176=$H176,"YES","NO")</x:f>
        <x:v>NO</x:v>
      </x:c>
      <x:c r="R176" s="12" t="str">
        <x:f>IF(G176=$H176,"YES","NO")</x:f>
        <x:v>YES</x:v>
      </x:c>
    </x:row>
    <x:row r="177">
      <x:c r="A177" s="44" t="str">
        <x:v>bpps_d10000n50m5w100_1000s1000_2000f1_seed0</x:v>
      </x:c>
      <x:c r="B177" s="12" t="n">
        <x:v>50</x:v>
      </x:c>
      <x:c r="C177" s="12" t="n">
        <x:v>130</x:v>
      </x:c>
      <x:c r="D177" s="12" t="n">
        <x:v>129</x:v>
      </x:c>
      <x:c r="E177" s="12" t="n">
        <x:v>124</x:v>
      </x:c>
      <x:c r="F177" s="12" t="n">
        <x:v>99</x:v>
      </x:c>
      <x:c r="G177" s="12" t="n">
        <x:v>89</x:v>
      </x:c>
      <x:c r="H177" s="12" t="n">
        <x:f>MIN(C177:G177)</x:f>
        <x:v>89</x:v>
      </x:c>
      <x:c r="I177" s="14" t="n">
        <x:f>(C177-$H177)/$H177*100</x:f>
        <x:v>46.06741573033708</x:v>
      </x:c>
      <x:c r="J177" s="14" t="n">
        <x:f>(D177-$H177)/$H177*100</x:f>
        <x:v>44.9438202247191</x:v>
      </x:c>
      <x:c r="K177" s="14" t="n">
        <x:f>(E177-$H177)/$H177*100</x:f>
        <x:v>39.325842696629216</x:v>
      </x:c>
      <x:c r="L177" s="14" t="n">
        <x:f>(F177-$H177)/$H177*100</x:f>
        <x:v>11.235955056179774</x:v>
      </x:c>
      <x:c r="M177" s="14" t="n">
        <x:f>(G177-$H177)/$H177*100</x:f>
        <x:v>0</x:v>
      </x:c>
      <x:c r="N177" s="12" t="str">
        <x:f>IF(C177=$H177,"YES","NO")</x:f>
        <x:v>NO</x:v>
      </x:c>
      <x:c r="O177" s="12" t="str">
        <x:f>IF(D177=$H177,"YES","NO")</x:f>
        <x:v>NO</x:v>
      </x:c>
      <x:c r="P177" s="12" t="str">
        <x:f>IF(E177=$H177,"YES","NO")</x:f>
        <x:v>NO</x:v>
      </x:c>
      <x:c r="Q177" s="12" t="str">
        <x:f>IF(F177=$H177,"YES","NO")</x:f>
        <x:v>NO</x:v>
      </x:c>
      <x:c r="R177" s="12" t="str">
        <x:f>IF(G177=$H177,"YES","NO")</x:f>
        <x:v>YES</x:v>
      </x:c>
    </x:row>
    <x:row r="178">
      <x:c r="A178" s="44" t="str">
        <x:v>bpps_d10000n50m5w100_1000s100_1000f0_seed0</x:v>
      </x:c>
      <x:c r="B178" s="12" t="n">
        <x:v>50</x:v>
      </x:c>
      <x:c r="C178" s="12" t="n">
        <x:v>4</x:v>
      </x:c>
      <x:c r="D178" s="12" t="n">
        <x:v>5</x:v>
      </x:c>
      <x:c r="E178" s="12" t="n">
        <x:v>4</x:v>
      </x:c>
      <x:c r="F178" s="12" t="n">
        <x:v>7</x:v>
      </x:c>
      <x:c r="G178" s="12" t="n">
        <x:v>4</x:v>
      </x:c>
      <x:c r="H178" s="12" t="n">
        <x:f>MIN(C178:G178)</x:f>
        <x:v>4</x:v>
      </x:c>
      <x:c r="I178" s="14" t="n">
        <x:f>(C178-$H178)/$H178*100</x:f>
        <x:v>0</x:v>
      </x:c>
      <x:c r="J178" s="14" t="n">
        <x:f>(D178-$H178)/$H178*100</x:f>
        <x:v>25</x:v>
      </x:c>
      <x:c r="K178" s="14" t="n">
        <x:f>(E178-$H178)/$H178*100</x:f>
        <x:v>0</x:v>
      </x:c>
      <x:c r="L178" s="14" t="n">
        <x:f>(F178-$H178)/$H178*100</x:f>
        <x:v>75</x:v>
      </x:c>
      <x:c r="M178" s="14" t="n">
        <x:f>(G178-$H178)/$H178*100</x:f>
        <x:v>0</x:v>
      </x:c>
      <x:c r="N178" s="12" t="str">
        <x:f>IF(C178=$H178,"YES","NO")</x:f>
        <x:v>YES</x:v>
      </x:c>
      <x:c r="O178" s="12" t="str">
        <x:f>IF(D178=$H178,"YES","NO")</x:f>
        <x:v>NO</x:v>
      </x:c>
      <x:c r="P178" s="12" t="str">
        <x:f>IF(E178=$H178,"YES","NO")</x:f>
        <x:v>YES</x:v>
      </x:c>
      <x:c r="Q178" s="12" t="str">
        <x:f>IF(F178=$H178,"YES","NO")</x:f>
        <x:v>NO</x:v>
      </x:c>
      <x:c r="R178" s="12" t="str">
        <x:f>IF(G178=$H178,"YES","NO")</x:f>
        <x:v>YES</x:v>
      </x:c>
    </x:row>
    <x:row r="179">
      <x:c r="A179" s="44" t="str">
        <x:v>bpps_d10000n50m5w100_1000s100_1000f1_seed0</x:v>
      </x:c>
      <x:c r="B179" s="12" t="n">
        <x:v>50</x:v>
      </x:c>
      <x:c r="C179" s="12" t="n">
        <x:v>96</x:v>
      </x:c>
      <x:c r="D179" s="12" t="n">
        <x:v>96</x:v>
      </x:c>
      <x:c r="E179" s="12" t="n">
        <x:v>92</x:v>
      </x:c>
      <x:c r="F179" s="12" t="n">
        <x:v>110</x:v>
      </x:c>
      <x:c r="G179" s="12" t="n">
        <x:v>77</x:v>
      </x:c>
      <x:c r="H179" s="12" t="n">
        <x:f>MIN(C179:G179)</x:f>
        <x:v>77</x:v>
      </x:c>
      <x:c r="I179" s="14" t="n">
        <x:f>(C179-$H179)/$H179*100</x:f>
        <x:v>24.675324675324674</x:v>
      </x:c>
      <x:c r="J179" s="14" t="n">
        <x:f>(D179-$H179)/$H179*100</x:f>
        <x:v>24.675324675324674</x:v>
      </x:c>
      <x:c r="K179" s="14" t="n">
        <x:f>(E179-$H179)/$H179*100</x:f>
        <x:v>19.480519480519483</x:v>
      </x:c>
      <x:c r="L179" s="14" t="n">
        <x:f>(F179-$H179)/$H179*100</x:f>
        <x:v>42.857142857142854</x:v>
      </x:c>
      <x:c r="M179" s="14" t="n">
        <x:f>(G179-$H179)/$H179*100</x:f>
        <x:v>0</x:v>
      </x:c>
      <x:c r="N179" s="12" t="str">
        <x:f>IF(C179=$H179,"YES","NO")</x:f>
        <x:v>NO</x:v>
      </x:c>
      <x:c r="O179" s="12" t="str">
        <x:f>IF(D179=$H179,"YES","NO")</x:f>
        <x:v>NO</x:v>
      </x:c>
      <x:c r="P179" s="12" t="str">
        <x:f>IF(E179=$H179,"YES","NO")</x:f>
        <x:v>NO</x:v>
      </x:c>
      <x:c r="Q179" s="12" t="str">
        <x:f>IF(F179=$H179,"YES","NO")</x:f>
        <x:v>NO</x:v>
      </x:c>
      <x:c r="R179" s="12" t="str">
        <x:f>IF(G179=$H179,"YES","NO")</x:f>
        <x:v>YES</x:v>
      </x:c>
    </x:row>
    <x:row r="180">
      <x:c r="A180" s="44" t="str">
        <x:v>bpps_d10000n50m5w100_1000s100_2000f0_seed0</x:v>
      </x:c>
      <x:c r="B180" s="12" t="n">
        <x:v>50</x:v>
      </x:c>
      <x:c r="C180" s="12" t="n">
        <x:v>5</x:v>
      </x:c>
      <x:c r="D180" s="12" t="n">
        <x:v>5</x:v>
      </x:c>
      <x:c r="E180" s="12" t="n">
        <x:v>5</x:v>
      </x:c>
      <x:c r="F180" s="12" t="n">
        <x:v>6</x:v>
      </x:c>
      <x:c r="G180" s="12" t="n">
        <x:v>5</x:v>
      </x:c>
      <x:c r="H180" s="12" t="n">
        <x:f>MIN(C180:G180)</x:f>
        <x:v>5</x:v>
      </x:c>
      <x:c r="I180" s="14" t="n">
        <x:f>(C180-$H180)/$H180*100</x:f>
        <x:v>0</x:v>
      </x:c>
      <x:c r="J180" s="14" t="n">
        <x:f>(D180-$H180)/$H180*100</x:f>
        <x:v>0</x:v>
      </x:c>
      <x:c r="K180" s="14" t="n">
        <x:f>(E180-$H180)/$H180*100</x:f>
        <x:v>0</x:v>
      </x:c>
      <x:c r="L180" s="14" t="n">
        <x:f>(F180-$H180)/$H180*100</x:f>
        <x:v>20</x:v>
      </x:c>
      <x:c r="M180" s="14" t="n">
        <x:f>(G180-$H180)/$H180*100</x:f>
        <x:v>0</x:v>
      </x:c>
      <x:c r="N180" s="12" t="str">
        <x:f>IF(C180=$H180,"YES","NO")</x:f>
        <x:v>YES</x:v>
      </x:c>
      <x:c r="O180" s="12" t="str">
        <x:f>IF(D180=$H180,"YES","NO")</x:f>
        <x:v>YES</x:v>
      </x:c>
      <x:c r="P180" s="12" t="str">
        <x:f>IF(E180=$H180,"YES","NO")</x:f>
        <x:v>YES</x:v>
      </x:c>
      <x:c r="Q180" s="12" t="str">
        <x:f>IF(F180=$H180,"YES","NO")</x:f>
        <x:v>NO</x:v>
      </x:c>
      <x:c r="R180" s="12" t="str">
        <x:f>IF(G180=$H180,"YES","NO")</x:f>
        <x:v>YES</x:v>
      </x:c>
    </x:row>
    <x:row r="181">
      <x:c r="A181" s="44" t="str">
        <x:v>bpps_d10000n50m5w100_1000s100_2000f1_seed0</x:v>
      </x:c>
      <x:c r="B181" s="12" t="n">
        <x:v>50</x:v>
      </x:c>
      <x:c r="C181" s="12" t="n">
        <x:v>106</x:v>
      </x:c>
      <x:c r="D181" s="12" t="n">
        <x:v>115</x:v>
      </x:c>
      <x:c r="E181" s="12" t="n">
        <x:v>89</x:v>
      </x:c>
      <x:c r="F181" s="12" t="n">
        <x:v>119</x:v>
      </x:c>
      <x:c r="G181" s="12" t="n">
        <x:v>89</x:v>
      </x:c>
      <x:c r="H181" s="12" t="n">
        <x:f>MIN(C181:G181)</x:f>
        <x:v>89</x:v>
      </x:c>
      <x:c r="I181" s="14" t="n">
        <x:f>(C181-$H181)/$H181*100</x:f>
        <x:v>19.101123595505616</x:v>
      </x:c>
      <x:c r="J181" s="14" t="n">
        <x:f>(D181-$H181)/$H181*100</x:f>
        <x:v>29.213483146067414</x:v>
      </x:c>
      <x:c r="K181" s="14" t="n">
        <x:f>(E181-$H181)/$H181*100</x:f>
        <x:v>0</x:v>
      </x:c>
      <x:c r="L181" s="14" t="n">
        <x:f>(F181-$H181)/$H181*100</x:f>
        <x:v>33.70786516853933</x:v>
      </x:c>
      <x:c r="M181" s="14" t="n">
        <x:f>(G181-$H181)/$H181*100</x:f>
        <x:v>0</x:v>
      </x:c>
      <x:c r="N181" s="12" t="str">
        <x:f>IF(C181=$H181,"YES","NO")</x:f>
        <x:v>NO</x:v>
      </x:c>
      <x:c r="O181" s="12" t="str">
        <x:f>IF(D181=$H181,"YES","NO")</x:f>
        <x:v>NO</x:v>
      </x:c>
      <x:c r="P181" s="12" t="str">
        <x:f>IF(E181=$H181,"YES","NO")</x:f>
        <x:v>YES</x:v>
      </x:c>
      <x:c r="Q181" s="12" t="str">
        <x:f>IF(F181=$H181,"YES","NO")</x:f>
        <x:v>NO</x:v>
      </x:c>
      <x:c r="R181" s="12" t="str">
        <x:f>IF(G181=$H181,"YES","NO")</x:f>
        <x:v>YES</x:v>
      </x:c>
    </x:row>
    <x:row r="182">
      <x:c r="A182" s="44" t="str">
        <x:v>bpps_d10000n50m5w100_3000s1000_2000f0_seed0</x:v>
      </x:c>
      <x:c r="B182" s="12" t="n">
        <x:v>50</x:v>
      </x:c>
      <x:c r="C182" s="12" t="n">
        <x:v>14</x:v>
      </x:c>
      <x:c r="D182" s="12" t="n">
        <x:v>13</x:v>
      </x:c>
      <x:c r="E182" s="12" t="n">
        <x:v>13</x:v>
      </x:c>
      <x:c r="F182" s="12" t="n">
        <x:v>13</x:v>
      </x:c>
      <x:c r="G182" s="12" t="n">
        <x:v>12</x:v>
      </x:c>
      <x:c r="H182" s="12" t="n">
        <x:f>MIN(C182:G182)</x:f>
        <x:v>12</x:v>
      </x:c>
      <x:c r="I182" s="14" t="n">
        <x:f>(C182-$H182)/$H182*100</x:f>
        <x:v>16.666666666666664</x:v>
      </x:c>
      <x:c r="J182" s="14" t="n">
        <x:f>(D182-$H182)/$H182*100</x:f>
        <x:v>8.333333333333332</x:v>
      </x:c>
      <x:c r="K182" s="14" t="n">
        <x:f>(E182-$H182)/$H182*100</x:f>
        <x:v>8.333333333333332</x:v>
      </x:c>
      <x:c r="L182" s="14" t="n">
        <x:f>(F182-$H182)/$H182*100</x:f>
        <x:v>8.333333333333332</x:v>
      </x:c>
      <x:c r="M182" s="14" t="n">
        <x:f>(G182-$H182)/$H182*100</x:f>
        <x:v>0</x:v>
      </x:c>
      <x:c r="N182" s="12" t="str">
        <x:f>IF(C182=$H182,"YES","NO")</x:f>
        <x:v>NO</x:v>
      </x:c>
      <x:c r="O182" s="12" t="str">
        <x:f>IF(D182=$H182,"YES","NO")</x:f>
        <x:v>NO</x:v>
      </x:c>
      <x:c r="P182" s="12" t="str">
        <x:f>IF(E182=$H182,"YES","NO")</x:f>
        <x:v>NO</x:v>
      </x:c>
      <x:c r="Q182" s="12" t="str">
        <x:f>IF(F182=$H182,"YES","NO")</x:f>
        <x:v>NO</x:v>
      </x:c>
      <x:c r="R182" s="12" t="str">
        <x:f>IF(G182=$H182,"YES","NO")</x:f>
        <x:v>YES</x:v>
      </x:c>
    </x:row>
    <x:row r="183">
      <x:c r="A183" s="44" t="str">
        <x:v>bpps_d10000n50m5w100_3000s1000_2000f1_seed0</x:v>
      </x:c>
      <x:c r="B183" s="12" t="n">
        <x:v>50</x:v>
      </x:c>
      <x:c r="C183" s="12" t="n">
        <x:v>206</x:v>
      </x:c>
      <x:c r="D183" s="12" t="n">
        <x:v>206</x:v>
      </x:c>
      <x:c r="E183" s="12" t="n">
        <x:v>206</x:v>
      </x:c>
      <x:c r="F183" s="12" t="n">
        <x:v>182</x:v>
      </x:c>
      <x:c r="G183" s="12" t="n">
        <x:v>155</x:v>
      </x:c>
      <x:c r="H183" s="12" t="n">
        <x:f>MIN(C183:G183)</x:f>
        <x:v>155</x:v>
      </x:c>
      <x:c r="I183" s="14" t="n">
        <x:f>(C183-$H183)/$H183*100</x:f>
        <x:v>32.903225806451616</x:v>
      </x:c>
      <x:c r="J183" s="14" t="n">
        <x:f>(D183-$H183)/$H183*100</x:f>
        <x:v>32.903225806451616</x:v>
      </x:c>
      <x:c r="K183" s="14" t="n">
        <x:f>(E183-$H183)/$H183*100</x:f>
        <x:v>32.903225806451616</x:v>
      </x:c>
      <x:c r="L183" s="14" t="n">
        <x:f>(F183-$H183)/$H183*100</x:f>
        <x:v>17.419354838709676</x:v>
      </x:c>
      <x:c r="M183" s="14" t="n">
        <x:f>(G183-$H183)/$H183*100</x:f>
        <x:v>0</x:v>
      </x:c>
      <x:c r="N183" s="12" t="str">
        <x:f>IF(C183=$H183,"YES","NO")</x:f>
        <x:v>NO</x:v>
      </x:c>
      <x:c r="O183" s="12" t="str">
        <x:f>IF(D183=$H183,"YES","NO")</x:f>
        <x:v>NO</x:v>
      </x:c>
      <x:c r="P183" s="12" t="str">
        <x:f>IF(E183=$H183,"YES","NO")</x:f>
        <x:v>NO</x:v>
      </x:c>
      <x:c r="Q183" s="12" t="str">
        <x:f>IF(F183=$H183,"YES","NO")</x:f>
        <x:v>NO</x:v>
      </x:c>
      <x:c r="R183" s="12" t="str">
        <x:f>IF(G183=$H183,"YES","NO")</x:f>
        <x:v>YES</x:v>
      </x:c>
    </x:row>
    <x:row r="184">
      <x:c r="A184" s="44" t="str">
        <x:v>bpps_d10000n50m5w100_3000s100_1000f0_seed0</x:v>
      </x:c>
      <x:c r="B184" s="12" t="n">
        <x:v>50</x:v>
      </x:c>
      <x:c r="C184" s="12" t="n">
        <x:v>11</x:v>
      </x:c>
      <x:c r="D184" s="12" t="n">
        <x:v>11</x:v>
      </x:c>
      <x:c r="E184" s="12" t="n">
        <x:v>11</x:v>
      </x:c>
      <x:c r="F184" s="12" t="n">
        <x:v>11</x:v>
      </x:c>
      <x:c r="G184" s="12" t="n">
        <x:v>10</x:v>
      </x:c>
      <x:c r="H184" s="12" t="n">
        <x:f>MIN(C184:G184)</x:f>
        <x:v>10</x:v>
      </x:c>
      <x:c r="I184" s="14" t="n">
        <x:f>(C184-$H184)/$H184*100</x:f>
        <x:v>10</x:v>
      </x:c>
      <x:c r="J184" s="14" t="n">
        <x:f>(D184-$H184)/$H184*100</x:f>
        <x:v>10</x:v>
      </x:c>
      <x:c r="K184" s="14" t="n">
        <x:f>(E184-$H184)/$H184*100</x:f>
        <x:v>10</x:v>
      </x:c>
      <x:c r="L184" s="14" t="n">
        <x:f>(F184-$H184)/$H184*100</x:f>
        <x:v>10</x:v>
      </x:c>
      <x:c r="M184" s="14" t="n">
        <x:f>(G184-$H184)/$H184*100</x:f>
        <x:v>0</x:v>
      </x:c>
      <x:c r="N184" s="12" t="str">
        <x:f>IF(C184=$H184,"YES","NO")</x:f>
        <x:v>NO</x:v>
      </x:c>
      <x:c r="O184" s="12" t="str">
        <x:f>IF(D184=$H184,"YES","NO")</x:f>
        <x:v>NO</x:v>
      </x:c>
      <x:c r="P184" s="12" t="str">
        <x:f>IF(E184=$H184,"YES","NO")</x:f>
        <x:v>NO</x:v>
      </x:c>
      <x:c r="Q184" s="12" t="str">
        <x:f>IF(F184=$H184,"YES","NO")</x:f>
        <x:v>NO</x:v>
      </x:c>
      <x:c r="R184" s="12" t="str">
        <x:f>IF(G184=$H184,"YES","NO")</x:f>
        <x:v>YES</x:v>
      </x:c>
    </x:row>
    <x:row r="185">
      <x:c r="A185" s="44" t="str">
        <x:v>bpps_d10000n50m5w100_3000s100_1000f1_seed0</x:v>
      </x:c>
      <x:c r="B185" s="12" t="n">
        <x:v>50</x:v>
      </x:c>
      <x:c r="C185" s="12" t="n">
        <x:v>193</x:v>
      </x:c>
      <x:c r="D185" s="12" t="n">
        <x:v>189</x:v>
      </x:c>
      <x:c r="E185" s="12" t="n">
        <x:v>187</x:v>
      </x:c>
      <x:c r="F185" s="12" t="n">
        <x:v>153</x:v>
      </x:c>
      <x:c r="G185" s="12" t="n">
        <x:v>139</x:v>
      </x:c>
      <x:c r="H185" s="12" t="n">
        <x:f>MIN(C185:G185)</x:f>
        <x:v>139</x:v>
      </x:c>
      <x:c r="I185" s="14" t="n">
        <x:f>(C185-$H185)/$H185*100</x:f>
        <x:v>38.84892086330935</x:v>
      </x:c>
      <x:c r="J185" s="14" t="n">
        <x:f>(D185-$H185)/$H185*100</x:f>
        <x:v>35.97122302158273</x:v>
      </x:c>
      <x:c r="K185" s="14" t="n">
        <x:f>(E185-$H185)/$H185*100</x:f>
        <x:v>34.53237410071942</x:v>
      </x:c>
      <x:c r="L185" s="14" t="n">
        <x:f>(F185-$H185)/$H185*100</x:f>
        <x:v>10.071942446043165</x:v>
      </x:c>
      <x:c r="M185" s="14" t="n">
        <x:f>(G185-$H185)/$H185*100</x:f>
        <x:v>0</x:v>
      </x:c>
      <x:c r="N185" s="12" t="str">
        <x:f>IF(C185=$H185,"YES","NO")</x:f>
        <x:v>NO</x:v>
      </x:c>
      <x:c r="O185" s="12" t="str">
        <x:f>IF(D185=$H185,"YES","NO")</x:f>
        <x:v>NO</x:v>
      </x:c>
      <x:c r="P185" s="12" t="str">
        <x:f>IF(E185=$H185,"YES","NO")</x:f>
        <x:v>NO</x:v>
      </x:c>
      <x:c r="Q185" s="12" t="str">
        <x:f>IF(F185=$H185,"YES","NO")</x:f>
        <x:v>NO</x:v>
      </x:c>
      <x:c r="R185" s="12" t="str">
        <x:f>IF(G185=$H185,"YES","NO")</x:f>
        <x:v>YES</x:v>
      </x:c>
    </x:row>
    <x:row r="186">
      <x:c r="A186" s="44" t="str">
        <x:v>bpps_d10000n50m5w100_3000s100_2000f0_seed0</x:v>
      </x:c>
      <x:c r="B186" s="12" t="n">
        <x:v>50</x:v>
      </x:c>
      <x:c r="C186" s="12" t="n">
        <x:v>14</x:v>
      </x:c>
      <x:c r="D186" s="12" t="n">
        <x:v>13</x:v>
      </x:c>
      <x:c r="E186" s="12" t="n">
        <x:v>13</x:v>
      </x:c>
      <x:c r="F186" s="12" t="n">
        <x:v>12</x:v>
      </x:c>
      <x:c r="G186" s="12" t="n">
        <x:v>12</x:v>
      </x:c>
      <x:c r="H186" s="12" t="n">
        <x:f>MIN(C186:G186)</x:f>
        <x:v>12</x:v>
      </x:c>
      <x:c r="I186" s="14" t="n">
        <x:f>(C186-$H186)/$H186*100</x:f>
        <x:v>16.666666666666664</x:v>
      </x:c>
      <x:c r="J186" s="14" t="n">
        <x:f>(D186-$H186)/$H186*100</x:f>
        <x:v>8.333333333333332</x:v>
      </x:c>
      <x:c r="K186" s="14" t="n">
        <x:f>(E186-$H186)/$H186*100</x:f>
        <x:v>8.333333333333332</x:v>
      </x:c>
      <x:c r="L186" s="14" t="n">
        <x:f>(F186-$H186)/$H186*100</x:f>
        <x:v>0</x:v>
      </x:c>
      <x:c r="M186" s="14" t="n">
        <x:f>(G186-$H186)/$H186*100</x:f>
        <x:v>0</x:v>
      </x:c>
      <x:c r="N186" s="12" t="str">
        <x:f>IF(C186=$H186,"YES","NO")</x:f>
        <x:v>NO</x:v>
      </x:c>
      <x:c r="O186" s="12" t="str">
        <x:f>IF(D186=$H186,"YES","NO")</x:f>
        <x:v>NO</x:v>
      </x:c>
      <x:c r="P186" s="12" t="str">
        <x:f>IF(E186=$H186,"YES","NO")</x:f>
        <x:v>NO</x:v>
      </x:c>
      <x:c r="Q186" s="12" t="str">
        <x:f>IF(F186=$H186,"YES","NO")</x:f>
        <x:v>YES</x:v>
      </x:c>
      <x:c r="R186" s="12" t="str">
        <x:f>IF(G186=$H186,"YES","NO")</x:f>
        <x:v>YES</x:v>
      </x:c>
    </x:row>
    <x:row r="187">
      <x:c r="A187" s="44" t="str">
        <x:v>bpps_d10000n50m5w100_3000s100_2000f1_seed0</x:v>
      </x:c>
      <x:c r="B187" s="12" t="n">
        <x:v>50</x:v>
      </x:c>
      <x:c r="C187" s="12" t="n">
        <x:v>205</x:v>
      </x:c>
      <x:c r="D187" s="12" t="n">
        <x:v>205</x:v>
      </x:c>
      <x:c r="E187" s="12" t="n">
        <x:v>202</x:v>
      </x:c>
      <x:c r="F187" s="12" t="n">
        <x:v>159</x:v>
      </x:c>
      <x:c r="G187" s="12" t="n">
        <x:v>153</x:v>
      </x:c>
      <x:c r="H187" s="12" t="n">
        <x:f>MIN(C187:G187)</x:f>
        <x:v>153</x:v>
      </x:c>
      <x:c r="I187" s="14" t="n">
        <x:f>(C187-$H187)/$H187*100</x:f>
        <x:v>33.98692810457516</x:v>
      </x:c>
      <x:c r="J187" s="14" t="n">
        <x:f>(D187-$H187)/$H187*100</x:f>
        <x:v>33.98692810457516</x:v>
      </x:c>
      <x:c r="K187" s="14" t="n">
        <x:f>(E187-$H187)/$H187*100</x:f>
        <x:v>32.02614379084967</x:v>
      </x:c>
      <x:c r="L187" s="14" t="n">
        <x:f>(F187-$H187)/$H187*100</x:f>
        <x:v>3.9215686274509802</x:v>
      </x:c>
      <x:c r="M187" s="14" t="n">
        <x:f>(G187-$H187)/$H187*100</x:f>
        <x:v>0</x:v>
      </x:c>
      <x:c r="N187" s="12" t="str">
        <x:f>IF(C187=$H187,"YES","NO")</x:f>
        <x:v>NO</x:v>
      </x:c>
      <x:c r="O187" s="12" t="str">
        <x:f>IF(D187=$H187,"YES","NO")</x:f>
        <x:v>NO</x:v>
      </x:c>
      <x:c r="P187" s="12" t="str">
        <x:f>IF(E187=$H187,"YES","NO")</x:f>
        <x:v>NO</x:v>
      </x:c>
      <x:c r="Q187" s="12" t="str">
        <x:f>IF(F187=$H187,"YES","NO")</x:f>
        <x:v>NO</x:v>
      </x:c>
      <x:c r="R187" s="12" t="str">
        <x:f>IF(G187=$H187,"YES","NO")</x:f>
        <x:v>YES</x:v>
      </x:c>
    </x:row>
    <x:row r="188">
      <x:c r="A188" s="44" t="str">
        <x:v>bpps_d10000n50m5w2000_3000s1000_2000f0_seed0</x:v>
      </x:c>
      <x:c r="B188" s="12" t="n">
        <x:v>50</x:v>
      </x:c>
      <x:c r="C188" s="12" t="n">
        <x:v>20</x:v>
      </x:c>
      <x:c r="D188" s="12" t="n">
        <x:v>20</x:v>
      </x:c>
      <x:c r="E188" s="12" t="n">
        <x:v>20</x:v>
      </x:c>
      <x:c r="F188" s="12" t="n">
        <x:v>17</x:v>
      </x:c>
      <x:c r="G188" s="12" t="n">
        <x:v>17</x:v>
      </x:c>
      <x:c r="H188" s="12" t="n">
        <x:f>MIN(C188:G188)</x:f>
        <x:v>17</x:v>
      </x:c>
      <x:c r="I188" s="14" t="n">
        <x:f>(C188-$H188)/$H188*100</x:f>
        <x:v>17.647058823529413</x:v>
      </x:c>
      <x:c r="J188" s="14" t="n">
        <x:f>(D188-$H188)/$H188*100</x:f>
        <x:v>17.647058823529413</x:v>
      </x:c>
      <x:c r="K188" s="14" t="n">
        <x:f>(E188-$H188)/$H188*100</x:f>
        <x:v>17.647058823529413</x:v>
      </x:c>
      <x:c r="L188" s="14" t="n">
        <x:f>(F188-$H188)/$H188*100</x:f>
        <x:v>0</x:v>
      </x:c>
      <x:c r="M188" s="14" t="n">
        <x:f>(G188-$H188)/$H188*100</x:f>
        <x:v>0</x:v>
      </x:c>
      <x:c r="N188" s="12" t="str">
        <x:f>IF(C188=$H188,"YES","NO")</x:f>
        <x:v>NO</x:v>
      </x:c>
      <x:c r="O188" s="12" t="str">
        <x:f>IF(D188=$H188,"YES","NO")</x:f>
        <x:v>NO</x:v>
      </x:c>
      <x:c r="P188" s="12" t="str">
        <x:f>IF(E188=$H188,"YES","NO")</x:f>
        <x:v>NO</x:v>
      </x:c>
      <x:c r="Q188" s="12" t="str">
        <x:f>IF(F188=$H188,"YES","NO")</x:f>
        <x:v>YES</x:v>
      </x:c>
      <x:c r="R188" s="12" t="str">
        <x:f>IF(G188=$H188,"YES","NO")</x:f>
        <x:v>YES</x:v>
      </x:c>
    </x:row>
    <x:row r="189">
      <x:c r="A189" s="44" t="str">
        <x:v>bpps_d10000n50m5w2000_3000s1000_2000f1_seed0</x:v>
      </x:c>
      <x:c r="B189" s="12" t="n">
        <x:v>50</x:v>
      </x:c>
      <x:c r="C189" s="12" t="n">
        <x:v>299</x:v>
      </x:c>
      <x:c r="D189" s="12" t="n">
        <x:v>299</x:v>
      </x:c>
      <x:c r="E189" s="12" t="n">
        <x:v>301</x:v>
      </x:c>
      <x:c r="F189" s="12" t="n">
        <x:v>236</x:v>
      </x:c>
      <x:c r="G189" s="12" t="n">
        <x:v>232</x:v>
      </x:c>
      <x:c r="H189" s="12" t="n">
        <x:f>MIN(C189:G189)</x:f>
        <x:v>232</x:v>
      </x:c>
      <x:c r="I189" s="14" t="n">
        <x:f>(C189-$H189)/$H189*100</x:f>
        <x:v>28.879310344827587</x:v>
      </x:c>
      <x:c r="J189" s="14" t="n">
        <x:f>(D189-$H189)/$H189*100</x:f>
        <x:v>28.879310344827587</x:v>
      </x:c>
      <x:c r="K189" s="14" t="n">
        <x:f>(E189-$H189)/$H189*100</x:f>
        <x:v>29.74137931034483</x:v>
      </x:c>
      <x:c r="L189" s="14" t="n">
        <x:f>(F189-$H189)/$H189*100</x:f>
        <x:v>1.7241379310344827</x:v>
      </x:c>
      <x:c r="M189" s="14" t="n">
        <x:f>(G189-$H189)/$H189*100</x:f>
        <x:v>0</x:v>
      </x:c>
      <x:c r="N189" s="12" t="str">
        <x:f>IF(C189=$H189,"YES","NO")</x:f>
        <x:v>NO</x:v>
      </x:c>
      <x:c r="O189" s="12" t="str">
        <x:f>IF(D189=$H189,"YES","NO")</x:f>
        <x:v>NO</x:v>
      </x:c>
      <x:c r="P189" s="12" t="str">
        <x:f>IF(E189=$H189,"YES","NO")</x:f>
        <x:v>NO</x:v>
      </x:c>
      <x:c r="Q189" s="12" t="str">
        <x:f>IF(F189=$H189,"YES","NO")</x:f>
        <x:v>NO</x:v>
      </x:c>
      <x:c r="R189" s="12" t="str">
        <x:f>IF(G189=$H189,"YES","NO")</x:f>
        <x:v>YES</x:v>
      </x:c>
    </x:row>
    <x:row r="190">
      <x:c r="A190" s="44" t="str">
        <x:v>bpps_d10000n50m5w2000_3000s100_1000f0_seed0</x:v>
      </x:c>
      <x:c r="B190" s="12" t="n">
        <x:v>50</x:v>
      </x:c>
      <x:c r="C190" s="12" t="n">
        <x:v>16</x:v>
      </x:c>
      <x:c r="D190" s="12" t="n">
        <x:v>16</x:v>
      </x:c>
      <x:c r="E190" s="12" t="n">
        <x:v>16</x:v>
      </x:c>
      <x:c r="F190" s="12" t="n">
        <x:v>16</x:v>
      </x:c>
      <x:c r="G190" s="12" t="n">
        <x:v>16</x:v>
      </x:c>
      <x:c r="H190" s="12" t="n">
        <x:f>MIN(C190:G190)</x:f>
        <x:v>16</x:v>
      </x:c>
      <x:c r="I190" s="14" t="n">
        <x:f>(C190-$H190)/$H190*100</x:f>
        <x:v>0</x:v>
      </x:c>
      <x:c r="J190" s="14" t="n">
        <x:f>(D190-$H190)/$H190*100</x:f>
        <x:v>0</x:v>
      </x:c>
      <x:c r="K190" s="14" t="n">
        <x:f>(E190-$H190)/$H190*100</x:f>
        <x:v>0</x:v>
      </x:c>
      <x:c r="L190" s="14" t="n">
        <x:f>(F190-$H190)/$H190*100</x:f>
        <x:v>0</x:v>
      </x:c>
      <x:c r="M190" s="14" t="n">
        <x:f>(G190-$H190)/$H190*100</x:f>
        <x:v>0</x:v>
      </x:c>
      <x:c r="N190" s="12" t="str">
        <x:f>IF(C190=$H190,"YES","NO")</x:f>
        <x:v>YES</x:v>
      </x:c>
      <x:c r="O190" s="12" t="str">
        <x:f>IF(D190=$H190,"YES","NO")</x:f>
        <x:v>YES</x:v>
      </x:c>
      <x:c r="P190" s="12" t="str">
        <x:f>IF(E190=$H190,"YES","NO")</x:f>
        <x:v>YES</x:v>
      </x:c>
      <x:c r="Q190" s="12" t="str">
        <x:f>IF(F190=$H190,"YES","NO")</x:f>
        <x:v>YES</x:v>
      </x:c>
      <x:c r="R190" s="12" t="str">
        <x:f>IF(G190=$H190,"YES","NO")</x:f>
        <x:v>YES</x:v>
      </x:c>
    </x:row>
    <x:row r="191">
      <x:c r="A191" s="44" t="str">
        <x:v>bpps_d10000n50m5w2000_3000s100_1000f1_seed0</x:v>
      </x:c>
      <x:c r="B191" s="12" t="n">
        <x:v>50</x:v>
      </x:c>
      <x:c r="C191" s="12" t="n">
        <x:v>279</x:v>
      </x:c>
      <x:c r="D191" s="12" t="n">
        <x:v>279</x:v>
      </x:c>
      <x:c r="E191" s="12" t="n">
        <x:v>281</x:v>
      </x:c>
      <x:c r="F191" s="12" t="n">
        <x:v>226</x:v>
      </x:c>
      <x:c r="G191" s="12" t="n">
        <x:v>212</x:v>
      </x:c>
      <x:c r="H191" s="12" t="n">
        <x:f>MIN(C191:G191)</x:f>
        <x:v>212</x:v>
      </x:c>
      <x:c r="I191" s="14" t="n">
        <x:f>(C191-$H191)/$H191*100</x:f>
        <x:v>31.60377358490566</x:v>
      </x:c>
      <x:c r="J191" s="14" t="n">
        <x:f>(D191-$H191)/$H191*100</x:f>
        <x:v>31.60377358490566</x:v>
      </x:c>
      <x:c r="K191" s="14" t="n">
        <x:f>(E191-$H191)/$H191*100</x:f>
        <x:v>32.54716981132076</x:v>
      </x:c>
      <x:c r="L191" s="14" t="n">
        <x:f>(F191-$H191)/$H191*100</x:f>
        <x:v>6.60377358490566</x:v>
      </x:c>
      <x:c r="M191" s="14" t="n">
        <x:f>(G191-$H191)/$H191*100</x:f>
        <x:v>0</x:v>
      </x:c>
      <x:c r="N191" s="12" t="str">
        <x:f>IF(C191=$H191,"YES","NO")</x:f>
        <x:v>NO</x:v>
      </x:c>
      <x:c r="O191" s="12" t="str">
        <x:f>IF(D191=$H191,"YES","NO")</x:f>
        <x:v>NO</x:v>
      </x:c>
      <x:c r="P191" s="12" t="str">
        <x:f>IF(E191=$H191,"YES","NO")</x:f>
        <x:v>NO</x:v>
      </x:c>
      <x:c r="Q191" s="12" t="str">
        <x:f>IF(F191=$H191,"YES","NO")</x:f>
        <x:v>NO</x:v>
      </x:c>
      <x:c r="R191" s="12" t="str">
        <x:f>IF(G191=$H191,"YES","NO")</x:f>
        <x:v>YES</x:v>
      </x:c>
    </x:row>
    <x:row r="192">
      <x:c r="A192" s="44" t="str">
        <x:v>bpps_d10000n50m5w2000_3000s100_2000f0_seed0</x:v>
      </x:c>
      <x:c r="B192" s="12" t="n">
        <x:v>50</x:v>
      </x:c>
      <x:c r="C192" s="12" t="n">
        <x:v>18</x:v>
      </x:c>
      <x:c r="D192" s="12" t="n">
        <x:v>18</x:v>
      </x:c>
      <x:c r="E192" s="12" t="n">
        <x:v>18</x:v>
      </x:c>
      <x:c r="F192" s="12" t="n">
        <x:v>17</x:v>
      </x:c>
      <x:c r="G192" s="12" t="n">
        <x:v>17</x:v>
      </x:c>
      <x:c r="H192" s="12" t="n">
        <x:f>MIN(C192:G192)</x:f>
        <x:v>17</x:v>
      </x:c>
      <x:c r="I192" s="14" t="n">
        <x:f>(C192-$H192)/$H192*100</x:f>
        <x:v>5.88235294117647</x:v>
      </x:c>
      <x:c r="J192" s="14" t="n">
        <x:f>(D192-$H192)/$H192*100</x:f>
        <x:v>5.88235294117647</x:v>
      </x:c>
      <x:c r="K192" s="14" t="n">
        <x:f>(E192-$H192)/$H192*100</x:f>
        <x:v>5.88235294117647</x:v>
      </x:c>
      <x:c r="L192" s="14" t="n">
        <x:f>(F192-$H192)/$H192*100</x:f>
        <x:v>0</x:v>
      </x:c>
      <x:c r="M192" s="14" t="n">
        <x:f>(G192-$H192)/$H192*100</x:f>
        <x:v>0</x:v>
      </x:c>
      <x:c r="N192" s="12" t="str">
        <x:f>IF(C192=$H192,"YES","NO")</x:f>
        <x:v>NO</x:v>
      </x:c>
      <x:c r="O192" s="12" t="str">
        <x:f>IF(D192=$H192,"YES","NO")</x:f>
        <x:v>NO</x:v>
      </x:c>
      <x:c r="P192" s="12" t="str">
        <x:f>IF(E192=$H192,"YES","NO")</x:f>
        <x:v>NO</x:v>
      </x:c>
      <x:c r="Q192" s="12" t="str">
        <x:f>IF(F192=$H192,"YES","NO")</x:f>
        <x:v>YES</x:v>
      </x:c>
      <x:c r="R192" s="12" t="str">
        <x:f>IF(G192=$H192,"YES","NO")</x:f>
        <x:v>YES</x:v>
      </x:c>
    </x:row>
    <x:row r="193">
      <x:c r="A193" s="44" t="str">
        <x:v>bpps_d10000n50m5w2000_3000s100_2000f1_seed0</x:v>
      </x:c>
      <x:c r="B193" s="12" t="n">
        <x:v>50</x:v>
      </x:c>
      <x:c r="C193" s="12" t="n">
        <x:v>295</x:v>
      </x:c>
      <x:c r="D193" s="12" t="n">
        <x:v>281</x:v>
      </x:c>
      <x:c r="E193" s="12" t="n">
        <x:v>291</x:v>
      </x:c>
      <x:c r="F193" s="12" t="n">
        <x:v>232</x:v>
      </x:c>
      <x:c r="G193" s="12" t="n">
        <x:v>222</x:v>
      </x:c>
      <x:c r="H193" s="12" t="n">
        <x:f>MIN(C193:G193)</x:f>
        <x:v>222</x:v>
      </x:c>
      <x:c r="I193" s="14" t="n">
        <x:f>(C193-$H193)/$H193*100</x:f>
        <x:v>32.88288288288289</x:v>
      </x:c>
      <x:c r="J193" s="14" t="n">
        <x:f>(D193-$H193)/$H193*100</x:f>
        <x:v>26.576576576576578</x:v>
      </x:c>
      <x:c r="K193" s="14" t="n">
        <x:f>(E193-$H193)/$H193*100</x:f>
        <x:v>31.08108108108108</x:v>
      </x:c>
      <x:c r="L193" s="14" t="n">
        <x:f>(F193-$H193)/$H193*100</x:f>
        <x:v>4.504504504504505</x:v>
      </x:c>
      <x:c r="M193" s="14" t="n">
        <x:f>(G193-$H193)/$H193*100</x:f>
        <x:v>0</x:v>
      </x:c>
      <x:c r="N193" s="12" t="str">
        <x:f>IF(C193=$H193,"YES","NO")</x:f>
        <x:v>NO</x:v>
      </x:c>
      <x:c r="O193" s="12" t="str">
        <x:f>IF(D193=$H193,"YES","NO")</x:f>
        <x:v>NO</x:v>
      </x:c>
      <x:c r="P193" s="12" t="str">
        <x:f>IF(E193=$H193,"YES","NO")</x:f>
        <x:v>NO</x:v>
      </x:c>
      <x:c r="Q193" s="12" t="str">
        <x:f>IF(F193=$H193,"YES","NO")</x:f>
        <x:v>NO</x:v>
      </x:c>
      <x:c r="R193" s="12" t="str">
        <x:f>IF(G193=$H193,"YES","NO")</x:f>
        <x:v>YES</x:v>
      </x:c>
    </x:row>
    <x:row r="194">
      <x:c r="A194" s="44" t="str">
        <x:v>bpps_d1000n100m10w100_200s100_200f0_seed0</x:v>
      </x:c>
      <x:c r="B194" s="12" t="n">
        <x:v>100</x:v>
      </x:c>
      <x:c r="C194" s="12" t="n">
        <x:v>27</x:v>
      </x:c>
      <x:c r="D194" s="12" t="n">
        <x:v>27</x:v>
      </x:c>
      <x:c r="E194" s="12" t="n">
        <x:v>27</x:v>
      </x:c>
      <x:c r="F194" s="12" t="n">
        <x:v>21</x:v>
      </x:c>
      <x:c r="G194" s="12" t="n">
        <x:v>21</x:v>
      </x:c>
      <x:c r="H194" s="12" t="n">
        <x:f>MIN(C194:G194)</x:f>
        <x:v>21</x:v>
      </x:c>
      <x:c r="I194" s="14" t="n">
        <x:f>(C194-$H194)/$H194*100</x:f>
        <x:v>28.57142857142857</x:v>
      </x:c>
      <x:c r="J194" s="14" t="n">
        <x:f>(D194-$H194)/$H194*100</x:f>
        <x:v>28.57142857142857</x:v>
      </x:c>
      <x:c r="K194" s="14" t="n">
        <x:f>(E194-$H194)/$H194*100</x:f>
        <x:v>28.57142857142857</x:v>
      </x:c>
      <x:c r="L194" s="14" t="n">
        <x:f>(F194-$H194)/$H194*100</x:f>
        <x:v>0</x:v>
      </x:c>
      <x:c r="M194" s="14" t="n">
        <x:f>(G194-$H194)/$H194*100</x:f>
        <x:v>0</x:v>
      </x:c>
      <x:c r="N194" s="12" t="str">
        <x:f>IF(C194=$H194,"YES","NO")</x:f>
        <x:v>NO</x:v>
      </x:c>
      <x:c r="O194" s="12" t="str">
        <x:f>IF(D194=$H194,"YES","NO")</x:f>
        <x:v>NO</x:v>
      </x:c>
      <x:c r="P194" s="12" t="str">
        <x:f>IF(E194=$H194,"YES","NO")</x:f>
        <x:v>NO</x:v>
      </x:c>
      <x:c r="Q194" s="12" t="str">
        <x:f>IF(F194=$H194,"YES","NO")</x:f>
        <x:v>YES</x:v>
      </x:c>
      <x:c r="R194" s="12" t="str">
        <x:f>IF(G194=$H194,"YES","NO")</x:f>
        <x:v>YES</x:v>
      </x:c>
    </x:row>
    <x:row r="195">
      <x:c r="A195" s="44" t="str">
        <x:v>bpps_d1000n100m10w100_200s100_200f1_seed0</x:v>
      </x:c>
      <x:c r="B195" s="12" t="n">
        <x:v>100</x:v>
      </x:c>
      <x:c r="C195" s="12" t="n">
        <x:v>487</x:v>
      </x:c>
      <x:c r="D195" s="12" t="n">
        <x:v>515</x:v>
      </x:c>
      <x:c r="E195" s="12" t="n">
        <x:v>496</x:v>
      </x:c>
      <x:c r="F195" s="12" t="n">
        <x:v>312</x:v>
      </x:c>
      <x:c r="G195" s="12" t="n">
        <x:v>288</x:v>
      </x:c>
      <x:c r="H195" s="12" t="n">
        <x:f>MIN(C195:G195)</x:f>
        <x:v>288</x:v>
      </x:c>
      <x:c r="I195" s="14" t="n">
        <x:f>(C195-$H195)/$H195*100</x:f>
        <x:v>69.09722222222221</x:v>
      </x:c>
      <x:c r="J195" s="14" t="n">
        <x:f>(D195-$H195)/$H195*100</x:f>
        <x:v>78.81944444444444</x:v>
      </x:c>
      <x:c r="K195" s="14" t="n">
        <x:f>(E195-$H195)/$H195*100</x:f>
        <x:v>72.22222222222221</x:v>
      </x:c>
      <x:c r="L195" s="14" t="n">
        <x:f>(F195-$H195)/$H195*100</x:f>
        <x:v>8.333333333333332</x:v>
      </x:c>
      <x:c r="M195" s="14" t="n">
        <x:f>(G195-$H195)/$H195*100</x:f>
        <x:v>0</x:v>
      </x:c>
      <x:c r="N195" s="12" t="str">
        <x:f>IF(C195=$H195,"YES","NO")</x:f>
        <x:v>NO</x:v>
      </x:c>
      <x:c r="O195" s="12" t="str">
        <x:f>IF(D195=$H195,"YES","NO")</x:f>
        <x:v>NO</x:v>
      </x:c>
      <x:c r="P195" s="12" t="str">
        <x:f>IF(E195=$H195,"YES","NO")</x:f>
        <x:v>NO</x:v>
      </x:c>
      <x:c r="Q195" s="12" t="str">
        <x:f>IF(F195=$H195,"YES","NO")</x:f>
        <x:v>NO</x:v>
      </x:c>
      <x:c r="R195" s="12" t="str">
        <x:f>IF(G195=$H195,"YES","NO")</x:f>
        <x:v>YES</x:v>
      </x:c>
    </x:row>
    <x:row r="196">
      <x:c r="A196" s="44" t="str">
        <x:v>bpps_d1000n100m10w100_200s10_100f0_seed0</x:v>
      </x:c>
      <x:c r="B196" s="12" t="n">
        <x:v>100</x:v>
      </x:c>
      <x:c r="C196" s="12" t="n">
        <x:v>20</x:v>
      </x:c>
      <x:c r="D196" s="12" t="n">
        <x:v>20</x:v>
      </x:c>
      <x:c r="E196" s="12" t="n">
        <x:v>20</x:v>
      </x:c>
      <x:c r="F196" s="12" t="n">
        <x:v>19</x:v>
      </x:c>
      <x:c r="G196" s="12" t="n">
        <x:v>18</x:v>
      </x:c>
      <x:c r="H196" s="12" t="n">
        <x:f>MIN(C196:G196)</x:f>
        <x:v>18</x:v>
      </x:c>
      <x:c r="I196" s="14" t="n">
        <x:f>(C196-$H196)/$H196*100</x:f>
        <x:v>11.11111111111111</x:v>
      </x:c>
      <x:c r="J196" s="14" t="n">
        <x:f>(D196-$H196)/$H196*100</x:f>
        <x:v>11.11111111111111</x:v>
      </x:c>
      <x:c r="K196" s="14" t="n">
        <x:f>(E196-$H196)/$H196*100</x:f>
        <x:v>11.11111111111111</x:v>
      </x:c>
      <x:c r="L196" s="14" t="n">
        <x:f>(F196-$H196)/$H196*100</x:f>
        <x:v>5.555555555555555</x:v>
      </x:c>
      <x:c r="M196" s="14" t="n">
        <x:f>(G196-$H196)/$H196*100</x:f>
        <x:v>0</x:v>
      </x:c>
      <x:c r="N196" s="12" t="str">
        <x:f>IF(C196=$H196,"YES","NO")</x:f>
        <x:v>NO</x:v>
      </x:c>
      <x:c r="O196" s="12" t="str">
        <x:f>IF(D196=$H196,"YES","NO")</x:f>
        <x:v>NO</x:v>
      </x:c>
      <x:c r="P196" s="12" t="str">
        <x:f>IF(E196=$H196,"YES","NO")</x:f>
        <x:v>NO</x:v>
      </x:c>
      <x:c r="Q196" s="12" t="str">
        <x:f>IF(F196=$H196,"YES","NO")</x:f>
        <x:v>NO</x:v>
      </x:c>
      <x:c r="R196" s="12" t="str">
        <x:f>IF(G196=$H196,"YES","NO")</x:f>
        <x:v>YES</x:v>
      </x:c>
    </x:row>
    <x:row r="197">
      <x:c r="A197" s="44" t="str">
        <x:v>bpps_d1000n100m10w100_200s10_100f1_seed0</x:v>
      </x:c>
      <x:c r="B197" s="12" t="n">
        <x:v>100</x:v>
      </x:c>
      <x:c r="C197" s="12" t="n">
        <x:v>465</x:v>
      </x:c>
      <x:c r="D197" s="12" t="n">
        <x:v>452</x:v>
      </x:c>
      <x:c r="E197" s="12" t="n">
        <x:v>434</x:v>
      </x:c>
      <x:c r="F197" s="12" t="n">
        <x:v>272</x:v>
      </x:c>
      <x:c r="G197" s="12" t="n">
        <x:v>247</x:v>
      </x:c>
      <x:c r="H197" s="12" t="n">
        <x:f>MIN(C197:G197)</x:f>
        <x:v>247</x:v>
      </x:c>
      <x:c r="I197" s="14" t="n">
        <x:f>(C197-$H197)/$H197*100</x:f>
        <x:v>88.25910931174089</x:v>
      </x:c>
      <x:c r="J197" s="14" t="n">
        <x:f>(D197-$H197)/$H197*100</x:f>
        <x:v>82.99595141700405</x:v>
      </x:c>
      <x:c r="K197" s="14" t="n">
        <x:f>(E197-$H197)/$H197*100</x:f>
        <x:v>75.7085020242915</x:v>
      </x:c>
      <x:c r="L197" s="14" t="n">
        <x:f>(F197-$H197)/$H197*100</x:f>
        <x:v>10.121457489878543</x:v>
      </x:c>
      <x:c r="M197" s="14" t="n">
        <x:f>(G197-$H197)/$H197*100</x:f>
        <x:v>0</x:v>
      </x:c>
      <x:c r="N197" s="12" t="str">
        <x:f>IF(C197=$H197,"YES","NO")</x:f>
        <x:v>NO</x:v>
      </x:c>
      <x:c r="O197" s="12" t="str">
        <x:f>IF(D197=$H197,"YES","NO")</x:f>
        <x:v>NO</x:v>
      </x:c>
      <x:c r="P197" s="12" t="str">
        <x:f>IF(E197=$H197,"YES","NO")</x:f>
        <x:v>NO</x:v>
      </x:c>
      <x:c r="Q197" s="12" t="str">
        <x:f>IF(F197=$H197,"YES","NO")</x:f>
        <x:v>NO</x:v>
      </x:c>
      <x:c r="R197" s="12" t="str">
        <x:f>IF(G197=$H197,"YES","NO")</x:f>
        <x:v>YES</x:v>
      </x:c>
    </x:row>
    <x:row r="198">
      <x:c r="A198" s="44" t="str">
        <x:v>bpps_d1000n100m10w100_200s10_200f0_seed0</x:v>
      </x:c>
      <x:c r="B198" s="12" t="n">
        <x:v>100</x:v>
      </x:c>
      <x:c r="C198" s="12" t="n">
        <x:v>24</x:v>
      </x:c>
      <x:c r="D198" s="12" t="n">
        <x:v>24</x:v>
      </x:c>
      <x:c r="E198" s="12" t="n">
        <x:v>23</x:v>
      </x:c>
      <x:c r="F198" s="12" t="n">
        <x:v>20</x:v>
      </x:c>
      <x:c r="G198" s="12" t="n">
        <x:v>19</x:v>
      </x:c>
      <x:c r="H198" s="12" t="n">
        <x:f>MIN(C198:G198)</x:f>
        <x:v>19</x:v>
      </x:c>
      <x:c r="I198" s="14" t="n">
        <x:f>(C198-$H198)/$H198*100</x:f>
        <x:v>26.31578947368421</x:v>
      </x:c>
      <x:c r="J198" s="14" t="n">
        <x:f>(D198-$H198)/$H198*100</x:f>
        <x:v>26.31578947368421</x:v>
      </x:c>
      <x:c r="K198" s="14" t="n">
        <x:f>(E198-$H198)/$H198*100</x:f>
        <x:v>21.052631578947366</x:v>
      </x:c>
      <x:c r="L198" s="14" t="n">
        <x:f>(F198-$H198)/$H198*100</x:f>
        <x:v>5.263157894736842</x:v>
      </x:c>
      <x:c r="M198" s="14" t="n">
        <x:f>(G198-$H198)/$H198*100</x:f>
        <x:v>0</x:v>
      </x:c>
      <x:c r="N198" s="12" t="str">
        <x:f>IF(C198=$H198,"YES","NO")</x:f>
        <x:v>NO</x:v>
      </x:c>
      <x:c r="O198" s="12" t="str">
        <x:f>IF(D198=$H198,"YES","NO")</x:f>
        <x:v>NO</x:v>
      </x:c>
      <x:c r="P198" s="12" t="str">
        <x:f>IF(E198=$H198,"YES","NO")</x:f>
        <x:v>NO</x:v>
      </x:c>
      <x:c r="Q198" s="12" t="str">
        <x:f>IF(F198=$H198,"YES","NO")</x:f>
        <x:v>NO</x:v>
      </x:c>
      <x:c r="R198" s="12" t="str">
        <x:f>IF(G198=$H198,"YES","NO")</x:f>
        <x:v>YES</x:v>
      </x:c>
    </x:row>
    <x:row r="199">
      <x:c r="A199" s="44" t="str">
        <x:v>bpps_d1000n100m10w100_200s10_200f1_seed0</x:v>
      </x:c>
      <x:c r="B199" s="12" t="n">
        <x:v>100</x:v>
      </x:c>
      <x:c r="C199" s="12" t="n">
        <x:v>508</x:v>
      </x:c>
      <x:c r="D199" s="12" t="n">
        <x:v>508</x:v>
      </x:c>
      <x:c r="E199" s="12" t="n">
        <x:v>492</x:v>
      </x:c>
      <x:c r="F199" s="12" t="n">
        <x:v>293</x:v>
      </x:c>
      <x:c r="G199" s="12" t="n">
        <x:v>268</x:v>
      </x:c>
      <x:c r="H199" s="12" t="n">
        <x:f>MIN(C199:G199)</x:f>
        <x:v>268</x:v>
      </x:c>
      <x:c r="I199" s="14" t="n">
        <x:f>(C199-$H199)/$H199*100</x:f>
        <x:v>89.55223880597015</x:v>
      </x:c>
      <x:c r="J199" s="14" t="n">
        <x:f>(D199-$H199)/$H199*100</x:f>
        <x:v>89.55223880597015</x:v>
      </x:c>
      <x:c r="K199" s="14" t="n">
        <x:f>(E199-$H199)/$H199*100</x:f>
        <x:v>83.5820895522388</x:v>
      </x:c>
      <x:c r="L199" s="14" t="n">
        <x:f>(F199-$H199)/$H199*100</x:f>
        <x:v>9.328358208955224</x:v>
      </x:c>
      <x:c r="M199" s="14" t="n">
        <x:f>(G199-$H199)/$H199*100</x:f>
        <x:v>0</x:v>
      </x:c>
      <x:c r="N199" s="12" t="str">
        <x:f>IF(C199=$H199,"YES","NO")</x:f>
        <x:v>NO</x:v>
      </x:c>
      <x:c r="O199" s="12" t="str">
        <x:f>IF(D199=$H199,"YES","NO")</x:f>
        <x:v>NO</x:v>
      </x:c>
      <x:c r="P199" s="12" t="str">
        <x:f>IF(E199=$H199,"YES","NO")</x:f>
        <x:v>NO</x:v>
      </x:c>
      <x:c r="Q199" s="12" t="str">
        <x:f>IF(F199=$H199,"YES","NO")</x:f>
        <x:v>NO</x:v>
      </x:c>
      <x:c r="R199" s="12" t="str">
        <x:f>IF(G199=$H199,"YES","NO")</x:f>
        <x:v>YES</x:v>
      </x:c>
    </x:row>
    <x:row r="200">
      <x:c r="A200" s="44" t="str">
        <x:v>bpps_d1000n100m10w10_100s100_200f0_seed0</x:v>
      </x:c>
      <x:c r="B200" s="12" t="n">
        <x:v>100</x:v>
      </x:c>
      <x:c r="C200" s="12" t="n">
        <x:v>14</x:v>
      </x:c>
      <x:c r="D200" s="12" t="n">
        <x:v>14</x:v>
      </x:c>
      <x:c r="E200" s="12" t="n">
        <x:v>13</x:v>
      </x:c>
      <x:c r="F200" s="12" t="n">
        <x:v>12</x:v>
      </x:c>
      <x:c r="G200" s="12" t="n">
        <x:v>11</x:v>
      </x:c>
      <x:c r="H200" s="12" t="n">
        <x:f>MIN(C200:G200)</x:f>
        <x:v>11</x:v>
      </x:c>
      <x:c r="I200" s="14" t="n">
        <x:f>(C200-$H200)/$H200*100</x:f>
        <x:v>27.27272727272727</x:v>
      </x:c>
      <x:c r="J200" s="14" t="n">
        <x:f>(D200-$H200)/$H200*100</x:f>
        <x:v>27.27272727272727</x:v>
      </x:c>
      <x:c r="K200" s="14" t="n">
        <x:f>(E200-$H200)/$H200*100</x:f>
        <x:v>18.181818181818183</x:v>
      </x:c>
      <x:c r="L200" s="14" t="n">
        <x:f>(F200-$H200)/$H200*100</x:f>
        <x:v>9.090909090909092</x:v>
      </x:c>
      <x:c r="M200" s="14" t="n">
        <x:f>(G200-$H200)/$H200*100</x:f>
        <x:v>0</x:v>
      </x:c>
      <x:c r="N200" s="12" t="str">
        <x:f>IF(C200=$H200,"YES","NO")</x:f>
        <x:v>NO</x:v>
      </x:c>
      <x:c r="O200" s="12" t="str">
        <x:f>IF(D200=$H200,"YES","NO")</x:f>
        <x:v>NO</x:v>
      </x:c>
      <x:c r="P200" s="12" t="str">
        <x:f>IF(E200=$H200,"YES","NO")</x:f>
        <x:v>NO</x:v>
      </x:c>
      <x:c r="Q200" s="12" t="str">
        <x:f>IF(F200=$H200,"YES","NO")</x:f>
        <x:v>NO</x:v>
      </x:c>
      <x:c r="R200" s="12" t="str">
        <x:f>IF(G200=$H200,"YES","NO")</x:f>
        <x:v>YES</x:v>
      </x:c>
    </x:row>
    <x:row r="201">
      <x:c r="A201" s="44" t="str">
        <x:v>bpps_d1000n100m10w10_100s100_200f1_seed0</x:v>
      </x:c>
      <x:c r="B201" s="12" t="n">
        <x:v>100</x:v>
      </x:c>
      <x:c r="C201" s="12" t="n">
        <x:v>311</x:v>
      </x:c>
      <x:c r="D201" s="12" t="n">
        <x:v>333</x:v>
      </x:c>
      <x:c r="E201" s="12" t="n">
        <x:v>297</x:v>
      </x:c>
      <x:c r="F201" s="12" t="n">
        <x:v>204</x:v>
      </x:c>
      <x:c r="G201" s="12" t="n">
        <x:v>178</x:v>
      </x:c>
      <x:c r="H201" s="12" t="n">
        <x:f>MIN(C201:G201)</x:f>
        <x:v>178</x:v>
      </x:c>
      <x:c r="I201" s="14" t="n">
        <x:f>(C201-$H201)/$H201*100</x:f>
        <x:v>74.71910112359551</x:v>
      </x:c>
      <x:c r="J201" s="14" t="n">
        <x:f>(D201-$H201)/$H201*100</x:f>
        <x:v>87.07865168539325</x:v>
      </x:c>
      <x:c r="K201" s="14" t="n">
        <x:f>(E201-$H201)/$H201*100</x:f>
        <x:v>66.85393258426966</x:v>
      </x:c>
      <x:c r="L201" s="14" t="n">
        <x:f>(F201-$H201)/$H201*100</x:f>
        <x:v>14.606741573033707</x:v>
      </x:c>
      <x:c r="M201" s="14" t="n">
        <x:f>(G201-$H201)/$H201*100</x:f>
        <x:v>0</x:v>
      </x:c>
      <x:c r="N201" s="12" t="str">
        <x:f>IF(C201=$H201,"YES","NO")</x:f>
        <x:v>NO</x:v>
      </x:c>
      <x:c r="O201" s="12" t="str">
        <x:f>IF(D201=$H201,"YES","NO")</x:f>
        <x:v>NO</x:v>
      </x:c>
      <x:c r="P201" s="12" t="str">
        <x:f>IF(E201=$H201,"YES","NO")</x:f>
        <x:v>NO</x:v>
      </x:c>
      <x:c r="Q201" s="12" t="str">
        <x:f>IF(F201=$H201,"YES","NO")</x:f>
        <x:v>NO</x:v>
      </x:c>
      <x:c r="R201" s="12" t="str">
        <x:f>IF(G201=$H201,"YES","NO")</x:f>
        <x:v>YES</x:v>
      </x:c>
    </x:row>
    <x:row r="202">
      <x:c r="A202" s="44" t="str">
        <x:v>bpps_d1000n100m10w10_100s10_100f0_seed0</x:v>
      </x:c>
      <x:c r="B202" s="12" t="n">
        <x:v>100</x:v>
      </x:c>
      <x:c r="C202" s="12" t="n">
        <x:v>9</x:v>
      </x:c>
      <x:c r="D202" s="12" t="n">
        <x:v>9</x:v>
      </x:c>
      <x:c r="E202" s="12" t="n">
        <x:v>8</x:v>
      </x:c>
      <x:c r="F202" s="12" t="n">
        <x:v>11</x:v>
      </x:c>
      <x:c r="G202" s="12" t="n">
        <x:v>8</x:v>
      </x:c>
      <x:c r="H202" s="12" t="n">
        <x:f>MIN(C202:G202)</x:f>
        <x:v>8</x:v>
      </x:c>
      <x:c r="I202" s="14" t="n">
        <x:f>(C202-$H202)/$H202*100</x:f>
        <x:v>12.5</x:v>
      </x:c>
      <x:c r="J202" s="14" t="n">
        <x:f>(D202-$H202)/$H202*100</x:f>
        <x:v>12.5</x:v>
      </x:c>
      <x:c r="K202" s="14" t="n">
        <x:f>(E202-$H202)/$H202*100</x:f>
        <x:v>0</x:v>
      </x:c>
      <x:c r="L202" s="14" t="n">
        <x:f>(F202-$H202)/$H202*100</x:f>
        <x:v>37.5</x:v>
      </x:c>
      <x:c r="M202" s="14" t="n">
        <x:f>(G202-$H202)/$H202*100</x:f>
        <x:v>0</x:v>
      </x:c>
      <x:c r="N202" s="12" t="str">
        <x:f>IF(C202=$H202,"YES","NO")</x:f>
        <x:v>NO</x:v>
      </x:c>
      <x:c r="O202" s="12" t="str">
        <x:f>IF(D202=$H202,"YES","NO")</x:f>
        <x:v>NO</x:v>
      </x:c>
      <x:c r="P202" s="12" t="str">
        <x:f>IF(E202=$H202,"YES","NO")</x:f>
        <x:v>YES</x:v>
      </x:c>
      <x:c r="Q202" s="12" t="str">
        <x:f>IF(F202=$H202,"YES","NO")</x:f>
        <x:v>NO</x:v>
      </x:c>
      <x:c r="R202" s="12" t="str">
        <x:f>IF(G202=$H202,"YES","NO")</x:f>
        <x:v>YES</x:v>
      </x:c>
    </x:row>
    <x:row r="203">
      <x:c r="A203" s="44" t="str">
        <x:v>bpps_d1000n100m10w10_100s10_100f1_seed0</x:v>
      </x:c>
      <x:c r="B203" s="12" t="n">
        <x:v>100</x:v>
      </x:c>
      <x:c r="C203" s="12" t="n">
        <x:v>277</x:v>
      </x:c>
      <x:c r="D203" s="12" t="n">
        <x:v>284</x:v>
      </x:c>
      <x:c r="E203" s="12" t="n">
        <x:v>245</x:v>
      </x:c>
      <x:c r="F203" s="12" t="n">
        <x:v>215</x:v>
      </x:c>
      <x:c r="G203" s="12" t="n">
        <x:v>164</x:v>
      </x:c>
      <x:c r="H203" s="12" t="n">
        <x:f>MIN(C203:G203)</x:f>
        <x:v>164</x:v>
      </x:c>
      <x:c r="I203" s="14" t="n">
        <x:f>(C203-$H203)/$H203*100</x:f>
        <x:v>68.90243902439023</x:v>
      </x:c>
      <x:c r="J203" s="14" t="n">
        <x:f>(D203-$H203)/$H203*100</x:f>
        <x:v>73.17073170731707</x:v>
      </x:c>
      <x:c r="K203" s="14" t="n">
        <x:f>(E203-$H203)/$H203*100</x:f>
        <x:v>49.390243902439025</x:v>
      </x:c>
      <x:c r="L203" s="14" t="n">
        <x:f>(F203-$H203)/$H203*100</x:f>
        <x:v>31.097560975609756</x:v>
      </x:c>
      <x:c r="M203" s="14" t="n">
        <x:f>(G203-$H203)/$H203*100</x:f>
        <x:v>0</x:v>
      </x:c>
      <x:c r="N203" s="12" t="str">
        <x:f>IF(C203=$H203,"YES","NO")</x:f>
        <x:v>NO</x:v>
      </x:c>
      <x:c r="O203" s="12" t="str">
        <x:f>IF(D203=$H203,"YES","NO")</x:f>
        <x:v>NO</x:v>
      </x:c>
      <x:c r="P203" s="12" t="str">
        <x:f>IF(E203=$H203,"YES","NO")</x:f>
        <x:v>NO</x:v>
      </x:c>
      <x:c r="Q203" s="12" t="str">
        <x:f>IF(F203=$H203,"YES","NO")</x:f>
        <x:v>NO</x:v>
      </x:c>
      <x:c r="R203" s="12" t="str">
        <x:f>IF(G203=$H203,"YES","NO")</x:f>
        <x:v>YES</x:v>
      </x:c>
    </x:row>
    <x:row r="204">
      <x:c r="A204" s="44" t="str">
        <x:v>bpps_d1000n100m10w10_100s10_200f0_seed0</x:v>
      </x:c>
      <x:c r="B204" s="12" t="n">
        <x:v>100</x:v>
      </x:c>
      <x:c r="C204" s="12" t="n">
        <x:v>12</x:v>
      </x:c>
      <x:c r="D204" s="12" t="n">
        <x:v>12</x:v>
      </x:c>
      <x:c r="E204" s="12" t="n">
        <x:v>11</x:v>
      </x:c>
      <x:c r="F204" s="12" t="n">
        <x:v>13</x:v>
      </x:c>
      <x:c r="G204" s="12" t="n">
        <x:v>10</x:v>
      </x:c>
      <x:c r="H204" s="12" t="n">
        <x:f>MIN(C204:G204)</x:f>
        <x:v>10</x:v>
      </x:c>
      <x:c r="I204" s="14" t="n">
        <x:f>(C204-$H204)/$H204*100</x:f>
        <x:v>20</x:v>
      </x:c>
      <x:c r="J204" s="14" t="n">
        <x:f>(D204-$H204)/$H204*100</x:f>
        <x:v>20</x:v>
      </x:c>
      <x:c r="K204" s="14" t="n">
        <x:f>(E204-$H204)/$H204*100</x:f>
        <x:v>10</x:v>
      </x:c>
      <x:c r="L204" s="14" t="n">
        <x:f>(F204-$H204)/$H204*100</x:f>
        <x:v>30</x:v>
      </x:c>
      <x:c r="M204" s="14" t="n">
        <x:f>(G204-$H204)/$H204*100</x:f>
        <x:v>0</x:v>
      </x:c>
      <x:c r="N204" s="12" t="str">
        <x:f>IF(C204=$H204,"YES","NO")</x:f>
        <x:v>NO</x:v>
      </x:c>
      <x:c r="O204" s="12" t="str">
        <x:f>IF(D204=$H204,"YES","NO")</x:f>
        <x:v>NO</x:v>
      </x:c>
      <x:c r="P204" s="12" t="str">
        <x:f>IF(E204=$H204,"YES","NO")</x:f>
        <x:v>NO</x:v>
      </x:c>
      <x:c r="Q204" s="12" t="str">
        <x:f>IF(F204=$H204,"YES","NO")</x:f>
        <x:v>NO</x:v>
      </x:c>
      <x:c r="R204" s="12" t="str">
        <x:f>IF(G204=$H204,"YES","NO")</x:f>
        <x:v>YES</x:v>
      </x:c>
    </x:row>
    <x:row r="205">
      <x:c r="A205" s="44" t="str">
        <x:v>bpps_d1000n100m10w10_100s10_200f1_seed0</x:v>
      </x:c>
      <x:c r="B205" s="12" t="n">
        <x:v>100</x:v>
      </x:c>
      <x:c r="C205" s="12" t="n">
        <x:v>322</x:v>
      </x:c>
      <x:c r="D205" s="12" t="n">
        <x:v>300</x:v>
      </x:c>
      <x:c r="E205" s="12" t="n">
        <x:v>276</x:v>
      </x:c>
      <x:c r="F205" s="12" t="n">
        <x:v>215</x:v>
      </x:c>
      <x:c r="G205" s="12" t="n">
        <x:v>177</x:v>
      </x:c>
      <x:c r="H205" s="12" t="n">
        <x:f>MIN(C205:G205)</x:f>
        <x:v>177</x:v>
      </x:c>
      <x:c r="I205" s="14" t="n">
        <x:f>(C205-$H205)/$H205*100</x:f>
        <x:v>81.92090395480226</x:v>
      </x:c>
      <x:c r="J205" s="14" t="n">
        <x:f>(D205-$H205)/$H205*100</x:f>
        <x:v>69.49152542372882</x:v>
      </x:c>
      <x:c r="K205" s="14" t="n">
        <x:f>(E205-$H205)/$H205*100</x:f>
        <x:v>55.932203389830505</x:v>
      </x:c>
      <x:c r="L205" s="14" t="n">
        <x:f>(F205-$H205)/$H205*100</x:f>
        <x:v>21.468926553672315</x:v>
      </x:c>
      <x:c r="M205" s="14" t="n">
        <x:f>(G205-$H205)/$H205*100</x:f>
        <x:v>0</x:v>
      </x:c>
      <x:c r="N205" s="12" t="str">
        <x:f>IF(C205=$H205,"YES","NO")</x:f>
        <x:v>NO</x:v>
      </x:c>
      <x:c r="O205" s="12" t="str">
        <x:f>IF(D205=$H205,"YES","NO")</x:f>
        <x:v>NO</x:v>
      </x:c>
      <x:c r="P205" s="12" t="str">
        <x:f>IF(E205=$H205,"YES","NO")</x:f>
        <x:v>NO</x:v>
      </x:c>
      <x:c r="Q205" s="12" t="str">
        <x:f>IF(F205=$H205,"YES","NO")</x:f>
        <x:v>NO</x:v>
      </x:c>
      <x:c r="R205" s="12" t="str">
        <x:f>IF(G205=$H205,"YES","NO")</x:f>
        <x:v>YES</x:v>
      </x:c>
    </x:row>
    <x:row r="206">
      <x:c r="A206" s="44" t="str">
        <x:v>bpps_d1000n100m10w10_300s100_200f0_seed0</x:v>
      </x:c>
      <x:c r="B206" s="12" t="n">
        <x:v>100</x:v>
      </x:c>
      <x:c r="C206" s="12" t="n">
        <x:v>25</x:v>
      </x:c>
      <x:c r="D206" s="12" t="n">
        <x:v>26</x:v>
      </x:c>
      <x:c r="E206" s="12" t="n">
        <x:v>25</x:v>
      </x:c>
      <x:c r="F206" s="12" t="n">
        <x:v>21</x:v>
      </x:c>
      <x:c r="G206" s="12" t="n">
        <x:v>22</x:v>
      </x:c>
      <x:c r="H206" s="12" t="n">
        <x:f>MIN(C206:G206)</x:f>
        <x:v>21</x:v>
      </x:c>
      <x:c r="I206" s="14" t="n">
        <x:f>(C206-$H206)/$H206*100</x:f>
        <x:v>19.047619047619047</x:v>
      </x:c>
      <x:c r="J206" s="14" t="n">
        <x:f>(D206-$H206)/$H206*100</x:f>
        <x:v>23.809523809523807</x:v>
      </x:c>
      <x:c r="K206" s="14" t="n">
        <x:f>(E206-$H206)/$H206*100</x:f>
        <x:v>19.047619047619047</x:v>
      </x:c>
      <x:c r="L206" s="14" t="n">
        <x:f>(F206-$H206)/$H206*100</x:f>
        <x:v>0</x:v>
      </x:c>
      <x:c r="M206" s="14" t="n">
        <x:f>(G206-$H206)/$H206*100</x:f>
        <x:v>4.761904761904762</x:v>
      </x:c>
      <x:c r="N206" s="12" t="str">
        <x:f>IF(C206=$H206,"YES","NO")</x:f>
        <x:v>NO</x:v>
      </x:c>
      <x:c r="O206" s="12" t="str">
        <x:f>IF(D206=$H206,"YES","NO")</x:f>
        <x:v>NO</x:v>
      </x:c>
      <x:c r="P206" s="12" t="str">
        <x:f>IF(E206=$H206,"YES","NO")</x:f>
        <x:v>NO</x:v>
      </x:c>
      <x:c r="Q206" s="12" t="str">
        <x:f>IF(F206=$H206,"YES","NO")</x:f>
        <x:v>YES</x:v>
      </x:c>
      <x:c r="R206" s="12" t="str">
        <x:f>IF(G206=$H206,"YES","NO")</x:f>
        <x:v>NO</x:v>
      </x:c>
    </x:row>
    <x:row r="207">
      <x:c r="A207" s="44" t="str">
        <x:v>bpps_d1000n100m10w10_300s100_200f1_seed0</x:v>
      </x:c>
      <x:c r="B207" s="12" t="n">
        <x:v>100</x:v>
      </x:c>
      <x:c r="C207" s="12" t="n">
        <x:v>446</x:v>
      </x:c>
      <x:c r="D207" s="12" t="n">
        <x:v>455</x:v>
      </x:c>
      <x:c r="E207" s="12" t="n">
        <x:v>432</x:v>
      </x:c>
      <x:c r="F207" s="12" t="n">
        <x:v>325</x:v>
      </x:c>
      <x:c r="G207" s="12" t="n">
        <x:v>289</x:v>
      </x:c>
      <x:c r="H207" s="12" t="n">
        <x:f>MIN(C207:G207)</x:f>
        <x:v>289</x:v>
      </x:c>
      <x:c r="I207" s="14" t="n">
        <x:f>(C207-$H207)/$H207*100</x:f>
        <x:v>54.325259515570934</x:v>
      </x:c>
      <x:c r="J207" s="14" t="n">
        <x:f>(D207-$H207)/$H207*100</x:f>
        <x:v>57.43944636678201</x:v>
      </x:c>
      <x:c r="K207" s="14" t="n">
        <x:f>(E207-$H207)/$H207*100</x:f>
        <x:v>49.48096885813148</x:v>
      </x:c>
      <x:c r="L207" s="14" t="n">
        <x:f>(F207-$H207)/$H207*100</x:f>
        <x:v>12.45674740484429</x:v>
      </x:c>
      <x:c r="M207" s="14" t="n">
        <x:f>(G207-$H207)/$H207*100</x:f>
        <x:v>0</x:v>
      </x:c>
      <x:c r="N207" s="12" t="str">
        <x:f>IF(C207=$H207,"YES","NO")</x:f>
        <x:v>NO</x:v>
      </x:c>
      <x:c r="O207" s="12" t="str">
        <x:f>IF(D207=$H207,"YES","NO")</x:f>
        <x:v>NO</x:v>
      </x:c>
      <x:c r="P207" s="12" t="str">
        <x:f>IF(E207=$H207,"YES","NO")</x:f>
        <x:v>NO</x:v>
      </x:c>
      <x:c r="Q207" s="12" t="str">
        <x:f>IF(F207=$H207,"YES","NO")</x:f>
        <x:v>NO</x:v>
      </x:c>
      <x:c r="R207" s="12" t="str">
        <x:f>IF(G207=$H207,"YES","NO")</x:f>
        <x:v>YES</x:v>
      </x:c>
    </x:row>
    <x:row r="208">
      <x:c r="A208" s="44" t="str">
        <x:v>bpps_d1000n100m10w10_300s10_100f0_seed0</x:v>
      </x:c>
      <x:c r="B208" s="12" t="n">
        <x:v>100</x:v>
      </x:c>
      <x:c r="C208" s="12" t="n">
        <x:v>21</x:v>
      </x:c>
      <x:c r="D208" s="12" t="n">
        <x:v>21</x:v>
      </x:c>
      <x:c r="E208" s="12" t="n">
        <x:v>21</x:v>
      </x:c>
      <x:c r="F208" s="12" t="n">
        <x:v>19</x:v>
      </x:c>
      <x:c r="G208" s="12" t="n">
        <x:v>19</x:v>
      </x:c>
      <x:c r="H208" s="12" t="n">
        <x:f>MIN(C208:G208)</x:f>
        <x:v>19</x:v>
      </x:c>
      <x:c r="I208" s="14" t="n">
        <x:f>(C208-$H208)/$H208*100</x:f>
        <x:v>10.526315789473683</x:v>
      </x:c>
      <x:c r="J208" s="14" t="n">
        <x:f>(D208-$H208)/$H208*100</x:f>
        <x:v>10.526315789473683</x:v>
      </x:c>
      <x:c r="K208" s="14" t="n">
        <x:f>(E208-$H208)/$H208*100</x:f>
        <x:v>10.526315789473683</x:v>
      </x:c>
      <x:c r="L208" s="14" t="n">
        <x:f>(F208-$H208)/$H208*100</x:f>
        <x:v>0</x:v>
      </x:c>
      <x:c r="M208" s="14" t="n">
        <x:f>(G208-$H208)/$H208*100</x:f>
        <x:v>0</x:v>
      </x:c>
      <x:c r="N208" s="12" t="str">
        <x:f>IF(C208=$H208,"YES","NO")</x:f>
        <x:v>NO</x:v>
      </x:c>
      <x:c r="O208" s="12" t="str">
        <x:f>IF(D208=$H208,"YES","NO")</x:f>
        <x:v>NO</x:v>
      </x:c>
      <x:c r="P208" s="12" t="str">
        <x:f>IF(E208=$H208,"YES","NO")</x:f>
        <x:v>NO</x:v>
      </x:c>
      <x:c r="Q208" s="12" t="str">
        <x:f>IF(F208=$H208,"YES","NO")</x:f>
        <x:v>YES</x:v>
      </x:c>
      <x:c r="R208" s="12" t="str">
        <x:f>IF(G208=$H208,"YES","NO")</x:f>
        <x:v>YES</x:v>
      </x:c>
    </x:row>
    <x:row r="209">
      <x:c r="A209" s="44" t="str">
        <x:v>bpps_d1000n100m10w10_300s10_100f1_seed0</x:v>
      </x:c>
      <x:c r="B209" s="12" t="n">
        <x:v>100</x:v>
      </x:c>
      <x:c r="C209" s="12" t="n">
        <x:v>413</x:v>
      </x:c>
      <x:c r="D209" s="12" t="n">
        <x:v>413</x:v>
      </x:c>
      <x:c r="E209" s="12" t="n">
        <x:v>403</x:v>
      </x:c>
      <x:c r="F209" s="12" t="n">
        <x:v>304</x:v>
      </x:c>
      <x:c r="G209" s="12" t="n">
        <x:v>264</x:v>
      </x:c>
      <x:c r="H209" s="12" t="n">
        <x:f>MIN(C209:G209)</x:f>
        <x:v>264</x:v>
      </x:c>
      <x:c r="I209" s="14" t="n">
        <x:f>(C209-$H209)/$H209*100</x:f>
        <x:v>56.439393939393945</x:v>
      </x:c>
      <x:c r="J209" s="14" t="n">
        <x:f>(D209-$H209)/$H209*100</x:f>
        <x:v>56.439393939393945</x:v>
      </x:c>
      <x:c r="K209" s="14" t="n">
        <x:f>(E209-$H209)/$H209*100</x:f>
        <x:v>52.65151515151515</x:v>
      </x:c>
      <x:c r="L209" s="14" t="n">
        <x:f>(F209-$H209)/$H209*100</x:f>
        <x:v>15.151515151515152</x:v>
      </x:c>
      <x:c r="M209" s="14" t="n">
        <x:f>(G209-$H209)/$H209*100</x:f>
        <x:v>0</x:v>
      </x:c>
      <x:c r="N209" s="12" t="str">
        <x:f>IF(C209=$H209,"YES","NO")</x:f>
        <x:v>NO</x:v>
      </x:c>
      <x:c r="O209" s="12" t="str">
        <x:f>IF(D209=$H209,"YES","NO")</x:f>
        <x:v>NO</x:v>
      </x:c>
      <x:c r="P209" s="12" t="str">
        <x:f>IF(E209=$H209,"YES","NO")</x:f>
        <x:v>NO</x:v>
      </x:c>
      <x:c r="Q209" s="12" t="str">
        <x:f>IF(F209=$H209,"YES","NO")</x:f>
        <x:v>NO</x:v>
      </x:c>
      <x:c r="R209" s="12" t="str">
        <x:f>IF(G209=$H209,"YES","NO")</x:f>
        <x:v>YES</x:v>
      </x:c>
    </x:row>
    <x:row r="210">
      <x:c r="A210" s="44" t="str">
        <x:v>bpps_d1000n100m10w10_300s10_200f0_seed0</x:v>
      </x:c>
      <x:c r="B210" s="12" t="n">
        <x:v>100</x:v>
      </x:c>
      <x:c r="C210" s="12" t="n">
        <x:v>24</x:v>
      </x:c>
      <x:c r="D210" s="12" t="n">
        <x:v>25</x:v>
      </x:c>
      <x:c r="E210" s="12" t="n">
        <x:v>24</x:v>
      </x:c>
      <x:c r="F210" s="12" t="n">
        <x:v>22</x:v>
      </x:c>
      <x:c r="G210" s="12" t="n">
        <x:v>21</x:v>
      </x:c>
      <x:c r="H210" s="12" t="n">
        <x:f>MIN(C210:G210)</x:f>
        <x:v>21</x:v>
      </x:c>
      <x:c r="I210" s="14" t="n">
        <x:f>(C210-$H210)/$H210*100</x:f>
        <x:v>14.285714285714285</x:v>
      </x:c>
      <x:c r="J210" s="14" t="n">
        <x:f>(D210-$H210)/$H210*100</x:f>
        <x:v>19.047619047619047</x:v>
      </x:c>
      <x:c r="K210" s="14" t="n">
        <x:f>(E210-$H210)/$H210*100</x:f>
        <x:v>14.285714285714285</x:v>
      </x:c>
      <x:c r="L210" s="14" t="n">
        <x:f>(F210-$H210)/$H210*100</x:f>
        <x:v>4.761904761904762</x:v>
      </x:c>
      <x:c r="M210" s="14" t="n">
        <x:f>(G210-$H210)/$H210*100</x:f>
        <x:v>0</x:v>
      </x:c>
      <x:c r="N210" s="12" t="str">
        <x:f>IF(C210=$H210,"YES","NO")</x:f>
        <x:v>NO</x:v>
      </x:c>
      <x:c r="O210" s="12" t="str">
        <x:f>IF(D210=$H210,"YES","NO")</x:f>
        <x:v>NO</x:v>
      </x:c>
      <x:c r="P210" s="12" t="str">
        <x:f>IF(E210=$H210,"YES","NO")</x:f>
        <x:v>NO</x:v>
      </x:c>
      <x:c r="Q210" s="12" t="str">
        <x:f>IF(F210=$H210,"YES","NO")</x:f>
        <x:v>NO</x:v>
      </x:c>
      <x:c r="R210" s="12" t="str">
        <x:f>IF(G210=$H210,"YES","NO")</x:f>
        <x:v>YES</x:v>
      </x:c>
    </x:row>
    <x:row r="211">
      <x:c r="A211" s="44" t="str">
        <x:v>bpps_d1000n100m10w10_300s10_200f1_seed0</x:v>
      </x:c>
      <x:c r="B211" s="12" t="n">
        <x:v>100</x:v>
      </x:c>
      <x:c r="C211" s="12" t="n">
        <x:v>456</x:v>
      </x:c>
      <x:c r="D211" s="12" t="n">
        <x:v>459</x:v>
      </x:c>
      <x:c r="E211" s="12" t="n">
        <x:v>425</x:v>
      </x:c>
      <x:c r="F211" s="12" t="n">
        <x:v>329</x:v>
      </x:c>
      <x:c r="G211" s="12" t="n">
        <x:v>286</x:v>
      </x:c>
      <x:c r="H211" s="12" t="n">
        <x:f>MIN(C211:G211)</x:f>
        <x:v>286</x:v>
      </x:c>
      <x:c r="I211" s="14" t="n">
        <x:f>(C211-$H211)/$H211*100</x:f>
        <x:v>59.44055944055944</x:v>
      </x:c>
      <x:c r="J211" s="14" t="n">
        <x:f>(D211-$H211)/$H211*100</x:f>
        <x:v>60.48951048951049</x:v>
      </x:c>
      <x:c r="K211" s="14" t="n">
        <x:f>(E211-$H211)/$H211*100</x:f>
        <x:v>48.6013986013986</x:v>
      </x:c>
      <x:c r="L211" s="14" t="n">
        <x:f>(F211-$H211)/$H211*100</x:f>
        <x:v>15.034965034965033</x:v>
      </x:c>
      <x:c r="M211" s="14" t="n">
        <x:f>(G211-$H211)/$H211*100</x:f>
        <x:v>0</x:v>
      </x:c>
      <x:c r="N211" s="12" t="str">
        <x:f>IF(C211=$H211,"YES","NO")</x:f>
        <x:v>NO</x:v>
      </x:c>
      <x:c r="O211" s="12" t="str">
        <x:f>IF(D211=$H211,"YES","NO")</x:f>
        <x:v>NO</x:v>
      </x:c>
      <x:c r="P211" s="12" t="str">
        <x:f>IF(E211=$H211,"YES","NO")</x:f>
        <x:v>NO</x:v>
      </x:c>
      <x:c r="Q211" s="12" t="str">
        <x:f>IF(F211=$H211,"YES","NO")</x:f>
        <x:v>NO</x:v>
      </x:c>
      <x:c r="R211" s="12" t="str">
        <x:f>IF(G211=$H211,"YES","NO")</x:f>
        <x:v>YES</x:v>
      </x:c>
    </x:row>
    <x:row r="212">
      <x:c r="A212" s="44" t="str">
        <x:v>bpps_d1000n100m10w200_300s100_200f0_seed0</x:v>
      </x:c>
      <x:c r="B212" s="12" t="n">
        <x:v>100</x:v>
      </x:c>
      <x:c r="C212" s="12" t="n">
        <x:v>42</x:v>
      </x:c>
      <x:c r="D212" s="12" t="n">
        <x:v>42</x:v>
      </x:c>
      <x:c r="E212" s="12" t="n">
        <x:v>42</x:v>
      </x:c>
      <x:c r="F212" s="12" t="n">
        <x:v>35</x:v>
      </x:c>
      <x:c r="G212" s="12" t="n">
        <x:v>34</x:v>
      </x:c>
      <x:c r="H212" s="12" t="n">
        <x:f>MIN(C212:G212)</x:f>
        <x:v>34</x:v>
      </x:c>
      <x:c r="I212" s="14" t="n">
        <x:f>(C212-$H212)/$H212*100</x:f>
        <x:v>23.52941176470588</x:v>
      </x:c>
      <x:c r="J212" s="14" t="n">
        <x:f>(D212-$H212)/$H212*100</x:f>
        <x:v>23.52941176470588</x:v>
      </x:c>
      <x:c r="K212" s="14" t="n">
        <x:f>(E212-$H212)/$H212*100</x:f>
        <x:v>23.52941176470588</x:v>
      </x:c>
      <x:c r="L212" s="14" t="n">
        <x:f>(F212-$H212)/$H212*100</x:f>
        <x:v>2.941176470588235</x:v>
      </x:c>
      <x:c r="M212" s="14" t="n">
        <x:f>(G212-$H212)/$H212*100</x:f>
        <x:v>0</x:v>
      </x:c>
      <x:c r="N212" s="12" t="str">
        <x:f>IF(C212=$H212,"YES","NO")</x:f>
        <x:v>NO</x:v>
      </x:c>
      <x:c r="O212" s="12" t="str">
        <x:f>IF(D212=$H212,"YES","NO")</x:f>
        <x:v>NO</x:v>
      </x:c>
      <x:c r="P212" s="12" t="str">
        <x:f>IF(E212=$H212,"YES","NO")</x:f>
        <x:v>NO</x:v>
      </x:c>
      <x:c r="Q212" s="12" t="str">
        <x:f>IF(F212=$H212,"YES","NO")</x:f>
        <x:v>NO</x:v>
      </x:c>
      <x:c r="R212" s="12" t="str">
        <x:f>IF(G212=$H212,"YES","NO")</x:f>
        <x:v>YES</x:v>
      </x:c>
    </x:row>
    <x:row r="213">
      <x:c r="A213" s="44" t="str">
        <x:v>bpps_d1000n100m10w200_300s100_200f1_seed0</x:v>
      </x:c>
      <x:c r="B213" s="12" t="n">
        <x:v>100</x:v>
      </x:c>
      <x:c r="C213" s="12" t="n">
        <x:v>707</x:v>
      </x:c>
      <x:c r="D213" s="12" t="n">
        <x:v>707</x:v>
      </x:c>
      <x:c r="E213" s="12" t="n">
        <x:v>695</x:v>
      </x:c>
      <x:c r="F213" s="12" t="n">
        <x:v>478</x:v>
      </x:c>
      <x:c r="G213" s="12" t="n">
        <x:v>461</x:v>
      </x:c>
      <x:c r="H213" s="12" t="n">
        <x:f>MIN(C213:G213)</x:f>
        <x:v>461</x:v>
      </x:c>
      <x:c r="I213" s="14" t="n">
        <x:f>(C213-$H213)/$H213*100</x:f>
        <x:v>53.36225596529284</x:v>
      </x:c>
      <x:c r="J213" s="14" t="n">
        <x:f>(D213-$H213)/$H213*100</x:f>
        <x:v>53.36225596529284</x:v>
      </x:c>
      <x:c r="K213" s="14" t="n">
        <x:f>(E213-$H213)/$H213*100</x:f>
        <x:v>50.759219088937094</x:v>
      </x:c>
      <x:c r="L213" s="14" t="n">
        <x:f>(F213-$H213)/$H213*100</x:f>
        <x:v>3.68763557483731</x:v>
      </x:c>
      <x:c r="M213" s="14" t="n">
        <x:f>(G213-$H213)/$H213*100</x:f>
        <x:v>0</x:v>
      </x:c>
      <x:c r="N213" s="12" t="str">
        <x:f>IF(C213=$H213,"YES","NO")</x:f>
        <x:v>NO</x:v>
      </x:c>
      <x:c r="O213" s="12" t="str">
        <x:f>IF(D213=$H213,"YES","NO")</x:f>
        <x:v>NO</x:v>
      </x:c>
      <x:c r="P213" s="12" t="str">
        <x:f>IF(E213=$H213,"YES","NO")</x:f>
        <x:v>NO</x:v>
      </x:c>
      <x:c r="Q213" s="12" t="str">
        <x:f>IF(F213=$H213,"YES","NO")</x:f>
        <x:v>NO</x:v>
      </x:c>
      <x:c r="R213" s="12" t="str">
        <x:f>IF(G213=$H213,"YES","NO")</x:f>
        <x:v>YES</x:v>
      </x:c>
    </x:row>
    <x:row r="214">
      <x:c r="A214" s="44" t="str">
        <x:v>bpps_d1000n100m10w200_300s10_100f0_seed0</x:v>
      </x:c>
      <x:c r="B214" s="12" t="n">
        <x:v>100</x:v>
      </x:c>
      <x:c r="C214" s="12" t="n">
        <x:v>32</x:v>
      </x:c>
      <x:c r="D214" s="12" t="n">
        <x:v>32</x:v>
      </x:c>
      <x:c r="E214" s="12" t="n">
        <x:v>32</x:v>
      </x:c>
      <x:c r="F214" s="12" t="n">
        <x:v>31</x:v>
      </x:c>
      <x:c r="G214" s="12" t="n">
        <x:v>30</x:v>
      </x:c>
      <x:c r="H214" s="12" t="n">
        <x:f>MIN(C214:G214)</x:f>
        <x:v>30</x:v>
      </x:c>
      <x:c r="I214" s="14" t="n">
        <x:f>(C214-$H214)/$H214*100</x:f>
        <x:v>6.666666666666667</x:v>
      </x:c>
      <x:c r="J214" s="14" t="n">
        <x:f>(D214-$H214)/$H214*100</x:f>
        <x:v>6.666666666666667</x:v>
      </x:c>
      <x:c r="K214" s="14" t="n">
        <x:f>(E214-$H214)/$H214*100</x:f>
        <x:v>6.666666666666667</x:v>
      </x:c>
      <x:c r="L214" s="14" t="n">
        <x:f>(F214-$H214)/$H214*100</x:f>
        <x:v>3.3333333333333335</x:v>
      </x:c>
      <x:c r="M214" s="14" t="n">
        <x:f>(G214-$H214)/$H214*100</x:f>
        <x:v>0</x:v>
      </x:c>
      <x:c r="N214" s="12" t="str">
        <x:f>IF(C214=$H214,"YES","NO")</x:f>
        <x:v>NO</x:v>
      </x:c>
      <x:c r="O214" s="12" t="str">
        <x:f>IF(D214=$H214,"YES","NO")</x:f>
        <x:v>NO</x:v>
      </x:c>
      <x:c r="P214" s="12" t="str">
        <x:f>IF(E214=$H214,"YES","NO")</x:f>
        <x:v>NO</x:v>
      </x:c>
      <x:c r="Q214" s="12" t="str">
        <x:f>IF(F214=$H214,"YES","NO")</x:f>
        <x:v>NO</x:v>
      </x:c>
      <x:c r="R214" s="12" t="str">
        <x:f>IF(G214=$H214,"YES","NO")</x:f>
        <x:v>YES</x:v>
      </x:c>
    </x:row>
    <x:row r="215">
      <x:c r="A215" s="44" t="str">
        <x:v>bpps_d1000n100m10w200_300s10_100f1_seed0</x:v>
      </x:c>
      <x:c r="B215" s="12" t="n">
        <x:v>100</x:v>
      </x:c>
      <x:c r="C215" s="12" t="n">
        <x:v>624</x:v>
      </x:c>
      <x:c r="D215" s="12" t="n">
        <x:v>629</x:v>
      </x:c>
      <x:c r="E215" s="12" t="n">
        <x:v>614</x:v>
      </x:c>
      <x:c r="F215" s="12" t="n">
        <x:v>449</x:v>
      </x:c>
      <x:c r="G215" s="12" t="n">
        <x:v>410</x:v>
      </x:c>
      <x:c r="H215" s="12" t="n">
        <x:f>MIN(C215:G215)</x:f>
        <x:v>410</x:v>
      </x:c>
      <x:c r="I215" s="14" t="n">
        <x:f>(C215-$H215)/$H215*100</x:f>
        <x:v>52.19512195121951</x:v>
      </x:c>
      <x:c r="J215" s="14" t="n">
        <x:f>(D215-$H215)/$H215*100</x:f>
        <x:v>53.41463414634147</x:v>
      </x:c>
      <x:c r="K215" s="14" t="n">
        <x:f>(E215-$H215)/$H215*100</x:f>
        <x:v>49.75609756097561</x:v>
      </x:c>
      <x:c r="L215" s="14" t="n">
        <x:f>(F215-$H215)/$H215*100</x:f>
        <x:v>9.512195121951219</x:v>
      </x:c>
      <x:c r="M215" s="14" t="n">
        <x:f>(G215-$H215)/$H215*100</x:f>
        <x:v>0</x:v>
      </x:c>
      <x:c r="N215" s="12" t="str">
        <x:f>IF(C215=$H215,"YES","NO")</x:f>
        <x:v>NO</x:v>
      </x:c>
      <x:c r="O215" s="12" t="str">
        <x:f>IF(D215=$H215,"YES","NO")</x:f>
        <x:v>NO</x:v>
      </x:c>
      <x:c r="P215" s="12" t="str">
        <x:f>IF(E215=$H215,"YES","NO")</x:f>
        <x:v>NO</x:v>
      </x:c>
      <x:c r="Q215" s="12" t="str">
        <x:f>IF(F215=$H215,"YES","NO")</x:f>
        <x:v>NO</x:v>
      </x:c>
      <x:c r="R215" s="12" t="str">
        <x:f>IF(G215=$H215,"YES","NO")</x:f>
        <x:v>YES</x:v>
      </x:c>
    </x:row>
    <x:row r="216">
      <x:c r="A216" s="44" t="str">
        <x:v>bpps_d1000n100m10w200_300s10_200f0_seed0</x:v>
      </x:c>
      <x:c r="B216" s="12" t="n">
        <x:v>100</x:v>
      </x:c>
      <x:c r="C216" s="12" t="n">
        <x:v>36</x:v>
      </x:c>
      <x:c r="D216" s="12" t="n">
        <x:v>36</x:v>
      </x:c>
      <x:c r="E216" s="12" t="n">
        <x:v>35</x:v>
      </x:c>
      <x:c r="F216" s="12" t="n">
        <x:v>33</x:v>
      </x:c>
      <x:c r="G216" s="12" t="n">
        <x:v>32</x:v>
      </x:c>
      <x:c r="H216" s="12" t="n">
        <x:f>MIN(C216:G216)</x:f>
        <x:v>32</x:v>
      </x:c>
      <x:c r="I216" s="14" t="n">
        <x:f>(C216-$H216)/$H216*100</x:f>
        <x:v>12.5</x:v>
      </x:c>
      <x:c r="J216" s="14" t="n">
        <x:f>(D216-$H216)/$H216*100</x:f>
        <x:v>12.5</x:v>
      </x:c>
      <x:c r="K216" s="14" t="n">
        <x:f>(E216-$H216)/$H216*100</x:f>
        <x:v>9.375</x:v>
      </x:c>
      <x:c r="L216" s="14" t="n">
        <x:f>(F216-$H216)/$H216*100</x:f>
        <x:v>3.125</x:v>
      </x:c>
      <x:c r="M216" s="14" t="n">
        <x:f>(G216-$H216)/$H216*100</x:f>
        <x:v>0</x:v>
      </x:c>
      <x:c r="N216" s="12" t="str">
        <x:f>IF(C216=$H216,"YES","NO")</x:f>
        <x:v>NO</x:v>
      </x:c>
      <x:c r="O216" s="12" t="str">
        <x:f>IF(D216=$H216,"YES","NO")</x:f>
        <x:v>NO</x:v>
      </x:c>
      <x:c r="P216" s="12" t="str">
        <x:f>IF(E216=$H216,"YES","NO")</x:f>
        <x:v>NO</x:v>
      </x:c>
      <x:c r="Q216" s="12" t="str">
        <x:f>IF(F216=$H216,"YES","NO")</x:f>
        <x:v>NO</x:v>
      </x:c>
      <x:c r="R216" s="12" t="str">
        <x:f>IF(G216=$H216,"YES","NO")</x:f>
        <x:v>YES</x:v>
      </x:c>
    </x:row>
    <x:row r="217">
      <x:c r="A217" s="44" t="str">
        <x:v>bpps_d1000n100m10w200_300s10_200f1_seed0</x:v>
      </x:c>
      <x:c r="B217" s="12" t="n">
        <x:v>100</x:v>
      </x:c>
      <x:c r="C217" s="12" t="n">
        <x:v>658</x:v>
      </x:c>
      <x:c r="D217" s="12" t="n">
        <x:v>648</x:v>
      </x:c>
      <x:c r="E217" s="12" t="n">
        <x:v>632</x:v>
      </x:c>
      <x:c r="F217" s="12" t="n">
        <x:v>462</x:v>
      </x:c>
      <x:c r="G217" s="12" t="n">
        <x:v>446</x:v>
      </x:c>
      <x:c r="H217" s="12" t="n">
        <x:f>MIN(C217:G217)</x:f>
        <x:v>446</x:v>
      </x:c>
      <x:c r="I217" s="14" t="n">
        <x:f>(C217-$H217)/$H217*100</x:f>
        <x:v>47.53363228699551</x:v>
      </x:c>
      <x:c r="J217" s="14" t="n">
        <x:f>(D217-$H217)/$H217*100</x:f>
        <x:v>45.2914798206278</x:v>
      </x:c>
      <x:c r="K217" s="14" t="n">
        <x:f>(E217-$H217)/$H217*100</x:f>
        <x:v>41.70403587443946</x:v>
      </x:c>
      <x:c r="L217" s="14" t="n">
        <x:f>(F217-$H217)/$H217*100</x:f>
        <x:v>3.587443946188341</x:v>
      </x:c>
      <x:c r="M217" s="14" t="n">
        <x:f>(G217-$H217)/$H217*100</x:f>
        <x:v>0</x:v>
      </x:c>
      <x:c r="N217" s="12" t="str">
        <x:f>IF(C217=$H217,"YES","NO")</x:f>
        <x:v>NO</x:v>
      </x:c>
      <x:c r="O217" s="12" t="str">
        <x:f>IF(D217=$H217,"YES","NO")</x:f>
        <x:v>NO</x:v>
      </x:c>
      <x:c r="P217" s="12" t="str">
        <x:f>IF(E217=$H217,"YES","NO")</x:f>
        <x:v>NO</x:v>
      </x:c>
      <x:c r="Q217" s="12" t="str">
        <x:f>IF(F217=$H217,"YES","NO")</x:f>
        <x:v>NO</x:v>
      </x:c>
      <x:c r="R217" s="12" t="str">
        <x:f>IF(G217=$H217,"YES","NO")</x:f>
        <x:v>YES</x:v>
      </x:c>
    </x:row>
    <x:row r="218">
      <x:c r="A218" s="44" t="str">
        <x:v>bpps_d1000n100m5w100_200s100_200f0_seed0</x:v>
      </x:c>
      <x:c r="B218" s="12" t="n">
        <x:v>100</x:v>
      </x:c>
      <x:c r="C218" s="12" t="n">
        <x:v>26</x:v>
      </x:c>
      <x:c r="D218" s="12" t="n">
        <x:v>26</x:v>
      </x:c>
      <x:c r="E218" s="12" t="n">
        <x:v>25</x:v>
      </x:c>
      <x:c r="F218" s="12" t="n">
        <x:v>21</x:v>
      </x:c>
      <x:c r="G218" s="12" t="n">
        <x:v>20</x:v>
      </x:c>
      <x:c r="H218" s="12" t="n">
        <x:f>MIN(C218:G218)</x:f>
        <x:v>20</x:v>
      </x:c>
      <x:c r="I218" s="14" t="n">
        <x:f>(C218-$H218)/$H218*100</x:f>
        <x:v>30</x:v>
      </x:c>
      <x:c r="J218" s="14" t="n">
        <x:f>(D218-$H218)/$H218*100</x:f>
        <x:v>30</x:v>
      </x:c>
      <x:c r="K218" s="14" t="n">
        <x:f>(E218-$H218)/$H218*100</x:f>
        <x:v>25</x:v>
      </x:c>
      <x:c r="L218" s="14" t="n">
        <x:f>(F218-$H218)/$H218*100</x:f>
        <x:v>5</x:v>
      </x:c>
      <x:c r="M218" s="14" t="n">
        <x:f>(G218-$H218)/$H218*100</x:f>
        <x:v>0</x:v>
      </x:c>
      <x:c r="N218" s="12" t="str">
        <x:f>IF(C218=$H218,"YES","NO")</x:f>
        <x:v>NO</x:v>
      </x:c>
      <x:c r="O218" s="12" t="str">
        <x:f>IF(D218=$H218,"YES","NO")</x:f>
        <x:v>NO</x:v>
      </x:c>
      <x:c r="P218" s="12" t="str">
        <x:f>IF(E218=$H218,"YES","NO")</x:f>
        <x:v>NO</x:v>
      </x:c>
      <x:c r="Q218" s="12" t="str">
        <x:f>IF(F218=$H218,"YES","NO")</x:f>
        <x:v>NO</x:v>
      </x:c>
      <x:c r="R218" s="12" t="str">
        <x:f>IF(G218=$H218,"YES","NO")</x:f>
        <x:v>YES</x:v>
      </x:c>
    </x:row>
    <x:row r="219">
      <x:c r="A219" s="44" t="str">
        <x:v>bpps_d1000n100m5w100_200s100_200f1_seed0</x:v>
      </x:c>
      <x:c r="B219" s="12" t="n">
        <x:v>100</x:v>
      </x:c>
      <x:c r="C219" s="12" t="n">
        <x:v>434</x:v>
      </x:c>
      <x:c r="D219" s="12" t="n">
        <x:v>428</x:v>
      </x:c>
      <x:c r="E219" s="12" t="n">
        <x:v>404</x:v>
      </x:c>
      <x:c r="F219" s="12" t="n">
        <x:v>291</x:v>
      </x:c>
      <x:c r="G219" s="12" t="n">
        <x:v>258</x:v>
      </x:c>
      <x:c r="H219" s="12" t="n">
        <x:f>MIN(C219:G219)</x:f>
        <x:v>258</x:v>
      </x:c>
      <x:c r="I219" s="14" t="n">
        <x:f>(C219-$H219)/$H219*100</x:f>
        <x:v>68.21705426356588</x:v>
      </x:c>
      <x:c r="J219" s="14" t="n">
        <x:f>(D219-$H219)/$H219*100</x:f>
        <x:v>65.89147286821705</x:v>
      </x:c>
      <x:c r="K219" s="14" t="n">
        <x:f>(E219-$H219)/$H219*100</x:f>
        <x:v>56.58914728682171</x:v>
      </x:c>
      <x:c r="L219" s="14" t="n">
        <x:f>(F219-$H219)/$H219*100</x:f>
        <x:v>12.790697674418606</x:v>
      </x:c>
      <x:c r="M219" s="14" t="n">
        <x:f>(G219-$H219)/$H219*100</x:f>
        <x:v>0</x:v>
      </x:c>
      <x:c r="N219" s="12" t="str">
        <x:f>IF(C219=$H219,"YES","NO")</x:f>
        <x:v>NO</x:v>
      </x:c>
      <x:c r="O219" s="12" t="str">
        <x:f>IF(D219=$H219,"YES","NO")</x:f>
        <x:v>NO</x:v>
      </x:c>
      <x:c r="P219" s="12" t="str">
        <x:f>IF(E219=$H219,"YES","NO")</x:f>
        <x:v>NO</x:v>
      </x:c>
      <x:c r="Q219" s="12" t="str">
        <x:f>IF(F219=$H219,"YES","NO")</x:f>
        <x:v>NO</x:v>
      </x:c>
      <x:c r="R219" s="12" t="str">
        <x:f>IF(G219=$H219,"YES","NO")</x:f>
        <x:v>YES</x:v>
      </x:c>
    </x:row>
    <x:row r="220">
      <x:c r="A220" s="44" t="str">
        <x:v>bpps_d1000n100m5w100_200s10_100f0_seed0</x:v>
      </x:c>
      <x:c r="B220" s="12" t="n">
        <x:v>100</x:v>
      </x:c>
      <x:c r="C220" s="12" t="n">
        <x:v>19</x:v>
      </x:c>
      <x:c r="D220" s="12" t="n">
        <x:v>19</x:v>
      </x:c>
      <x:c r="E220" s="12" t="n">
        <x:v>19</x:v>
      </x:c>
      <x:c r="F220" s="12" t="n">
        <x:v>18</x:v>
      </x:c>
      <x:c r="G220" s="12" t="n">
        <x:v>18</x:v>
      </x:c>
      <x:c r="H220" s="12" t="n">
        <x:f>MIN(C220:G220)</x:f>
        <x:v>18</x:v>
      </x:c>
      <x:c r="I220" s="14" t="n">
        <x:f>(C220-$H220)/$H220*100</x:f>
        <x:v>5.555555555555555</x:v>
      </x:c>
      <x:c r="J220" s="14" t="n">
        <x:f>(D220-$H220)/$H220*100</x:f>
        <x:v>5.555555555555555</x:v>
      </x:c>
      <x:c r="K220" s="14" t="n">
        <x:f>(E220-$H220)/$H220*100</x:f>
        <x:v>5.555555555555555</x:v>
      </x:c>
      <x:c r="L220" s="14" t="n">
        <x:f>(F220-$H220)/$H220*100</x:f>
        <x:v>0</x:v>
      </x:c>
      <x:c r="M220" s="14" t="n">
        <x:f>(G220-$H220)/$H220*100</x:f>
        <x:v>0</x:v>
      </x:c>
      <x:c r="N220" s="12" t="str">
        <x:f>IF(C220=$H220,"YES","NO")</x:f>
        <x:v>NO</x:v>
      </x:c>
      <x:c r="O220" s="12" t="str">
        <x:f>IF(D220=$H220,"YES","NO")</x:f>
        <x:v>NO</x:v>
      </x:c>
      <x:c r="P220" s="12" t="str">
        <x:f>IF(E220=$H220,"YES","NO")</x:f>
        <x:v>NO</x:v>
      </x:c>
      <x:c r="Q220" s="12" t="str">
        <x:f>IF(F220=$H220,"YES","NO")</x:f>
        <x:v>YES</x:v>
      </x:c>
      <x:c r="R220" s="12" t="str">
        <x:f>IF(G220=$H220,"YES","NO")</x:f>
        <x:v>YES</x:v>
      </x:c>
    </x:row>
    <x:row r="221">
      <x:c r="A221" s="44" t="str">
        <x:v>bpps_d1000n100m5w100_200s10_100f1_seed0</x:v>
      </x:c>
      <x:c r="B221" s="12" t="n">
        <x:v>100</x:v>
      </x:c>
      <x:c r="C221" s="12" t="n">
        <x:v>374</x:v>
      </x:c>
      <x:c r="D221" s="12" t="n">
        <x:v>381</x:v>
      </x:c>
      <x:c r="E221" s="12" t="n">
        <x:v>372</x:v>
      </x:c>
      <x:c r="F221" s="12" t="n">
        <x:v>257</x:v>
      </x:c>
      <x:c r="G221" s="12" t="n">
        <x:v>235</x:v>
      </x:c>
      <x:c r="H221" s="12" t="n">
        <x:f>MIN(C221:G221)</x:f>
        <x:v>235</x:v>
      </x:c>
      <x:c r="I221" s="14" t="n">
        <x:f>(C221-$H221)/$H221*100</x:f>
        <x:v>59.148936170212764</x:v>
      </x:c>
      <x:c r="J221" s="14" t="n">
        <x:f>(D221-$H221)/$H221*100</x:f>
        <x:v>62.12765957446808</x:v>
      </x:c>
      <x:c r="K221" s="14" t="n">
        <x:f>(E221-$H221)/$H221*100</x:f>
        <x:v>58.29787234042553</x:v>
      </x:c>
      <x:c r="L221" s="14" t="n">
        <x:f>(F221-$H221)/$H221*100</x:f>
        <x:v>9.361702127659575</x:v>
      </x:c>
      <x:c r="M221" s="14" t="n">
        <x:f>(G221-$H221)/$H221*100</x:f>
        <x:v>0</x:v>
      </x:c>
      <x:c r="N221" s="12" t="str">
        <x:f>IF(C221=$H221,"YES","NO")</x:f>
        <x:v>NO</x:v>
      </x:c>
      <x:c r="O221" s="12" t="str">
        <x:f>IF(D221=$H221,"YES","NO")</x:f>
        <x:v>NO</x:v>
      </x:c>
      <x:c r="P221" s="12" t="str">
        <x:f>IF(E221=$H221,"YES","NO")</x:f>
        <x:v>NO</x:v>
      </x:c>
      <x:c r="Q221" s="12" t="str">
        <x:f>IF(F221=$H221,"YES","NO")</x:f>
        <x:v>NO</x:v>
      </x:c>
      <x:c r="R221" s="12" t="str">
        <x:f>IF(G221=$H221,"YES","NO")</x:f>
        <x:v>YES</x:v>
      </x:c>
    </x:row>
    <x:row r="222">
      <x:c r="A222" s="44" t="str">
        <x:v>bpps_d1000n100m5w100_200s10_200f0_seed0</x:v>
      </x:c>
      <x:c r="B222" s="12" t="n">
        <x:v>100</x:v>
      </x:c>
      <x:c r="C222" s="12" t="n">
        <x:v>22</x:v>
      </x:c>
      <x:c r="D222" s="12" t="n">
        <x:v>22</x:v>
      </x:c>
      <x:c r="E222" s="12" t="n">
        <x:v>22</x:v>
      </x:c>
      <x:c r="F222" s="12" t="n">
        <x:v>20</x:v>
      </x:c>
      <x:c r="G222" s="12" t="n">
        <x:v>19</x:v>
      </x:c>
      <x:c r="H222" s="12" t="n">
        <x:f>MIN(C222:G222)</x:f>
        <x:v>19</x:v>
      </x:c>
      <x:c r="I222" s="14" t="n">
        <x:f>(C222-$H222)/$H222*100</x:f>
        <x:v>15.789473684210526</x:v>
      </x:c>
      <x:c r="J222" s="14" t="n">
        <x:f>(D222-$H222)/$H222*100</x:f>
        <x:v>15.789473684210526</x:v>
      </x:c>
      <x:c r="K222" s="14" t="n">
        <x:f>(E222-$H222)/$H222*100</x:f>
        <x:v>15.789473684210526</x:v>
      </x:c>
      <x:c r="L222" s="14" t="n">
        <x:f>(F222-$H222)/$H222*100</x:f>
        <x:v>5.263157894736842</x:v>
      </x:c>
      <x:c r="M222" s="14" t="n">
        <x:f>(G222-$H222)/$H222*100</x:f>
        <x:v>0</x:v>
      </x:c>
      <x:c r="N222" s="12" t="str">
        <x:f>IF(C222=$H222,"YES","NO")</x:f>
        <x:v>NO</x:v>
      </x:c>
      <x:c r="O222" s="12" t="str">
        <x:f>IF(D222=$H222,"YES","NO")</x:f>
        <x:v>NO</x:v>
      </x:c>
      <x:c r="P222" s="12" t="str">
        <x:f>IF(E222=$H222,"YES","NO")</x:f>
        <x:v>NO</x:v>
      </x:c>
      <x:c r="Q222" s="12" t="str">
        <x:f>IF(F222=$H222,"YES","NO")</x:f>
        <x:v>NO</x:v>
      </x:c>
      <x:c r="R222" s="12" t="str">
        <x:f>IF(G222=$H222,"YES","NO")</x:f>
        <x:v>YES</x:v>
      </x:c>
    </x:row>
    <x:row r="223">
      <x:c r="A223" s="44" t="str">
        <x:v>bpps_d1000n100m5w100_200s10_200f1_seed0</x:v>
      </x:c>
      <x:c r="B223" s="12" t="n">
        <x:v>100</x:v>
      </x:c>
      <x:c r="C223" s="12" t="n">
        <x:v>395</x:v>
      </x:c>
      <x:c r="D223" s="12" t="n">
        <x:v>395</x:v>
      </x:c>
      <x:c r="E223" s="12" t="n">
        <x:v>387</x:v>
      </x:c>
      <x:c r="F223" s="12" t="n">
        <x:v>281</x:v>
      </x:c>
      <x:c r="G223" s="12" t="n">
        <x:v>248</x:v>
      </x:c>
      <x:c r="H223" s="12" t="n">
        <x:f>MIN(C223:G223)</x:f>
        <x:v>248</x:v>
      </x:c>
      <x:c r="I223" s="14" t="n">
        <x:f>(C223-$H223)/$H223*100</x:f>
        <x:v>59.2741935483871</x:v>
      </x:c>
      <x:c r="J223" s="14" t="n">
        <x:f>(D223-$H223)/$H223*100</x:f>
        <x:v>59.2741935483871</x:v>
      </x:c>
      <x:c r="K223" s="14" t="n">
        <x:f>(E223-$H223)/$H223*100</x:f>
        <x:v>56.048387096774185</x:v>
      </x:c>
      <x:c r="L223" s="14" t="n">
        <x:f>(F223-$H223)/$H223*100</x:f>
        <x:v>13.306451612903224</x:v>
      </x:c>
      <x:c r="M223" s="14" t="n">
        <x:f>(G223-$H223)/$H223*100</x:f>
        <x:v>0</x:v>
      </x:c>
      <x:c r="N223" s="12" t="str">
        <x:f>IF(C223=$H223,"YES","NO")</x:f>
        <x:v>NO</x:v>
      </x:c>
      <x:c r="O223" s="12" t="str">
        <x:f>IF(D223=$H223,"YES","NO")</x:f>
        <x:v>NO</x:v>
      </x:c>
      <x:c r="P223" s="12" t="str">
        <x:f>IF(E223=$H223,"YES","NO")</x:f>
        <x:v>NO</x:v>
      </x:c>
      <x:c r="Q223" s="12" t="str">
        <x:f>IF(F223=$H223,"YES","NO")</x:f>
        <x:v>NO</x:v>
      </x:c>
      <x:c r="R223" s="12" t="str">
        <x:f>IF(G223=$H223,"YES","NO")</x:f>
        <x:v>YES</x:v>
      </x:c>
    </x:row>
    <x:row r="224">
      <x:c r="A224" s="44" t="str">
        <x:v>bpps_d1000n100m5w10_100s100_200f0_seed0</x:v>
      </x:c>
      <x:c r="B224" s="12" t="n">
        <x:v>100</x:v>
      </x:c>
      <x:c r="C224" s="12" t="n">
        <x:v>11</x:v>
      </x:c>
      <x:c r="D224" s="12" t="n">
        <x:v>12</x:v>
      </x:c>
      <x:c r="E224" s="12" t="n">
        <x:v>11</x:v>
      </x:c>
      <x:c r="F224" s="12" t="n">
        <x:v>12</x:v>
      </x:c>
      <x:c r="G224" s="12" t="n">
        <x:v>9</x:v>
      </x:c>
      <x:c r="H224" s="12" t="n">
        <x:f>MIN(C224:G224)</x:f>
        <x:v>9</x:v>
      </x:c>
      <x:c r="I224" s="14" t="n">
        <x:f>(C224-$H224)/$H224*100</x:f>
        <x:v>22.22222222222222</x:v>
      </x:c>
      <x:c r="J224" s="14" t="n">
        <x:f>(D224-$H224)/$H224*100</x:f>
        <x:v>33.33333333333333</x:v>
      </x:c>
      <x:c r="K224" s="14" t="n">
        <x:f>(E224-$H224)/$H224*100</x:f>
        <x:v>22.22222222222222</x:v>
      </x:c>
      <x:c r="L224" s="14" t="n">
        <x:f>(F224-$H224)/$H224*100</x:f>
        <x:v>33.33333333333333</x:v>
      </x:c>
      <x:c r="M224" s="14" t="n">
        <x:f>(G224-$H224)/$H224*100</x:f>
        <x:v>0</x:v>
      </x:c>
      <x:c r="N224" s="12" t="str">
        <x:f>IF(C224=$H224,"YES","NO")</x:f>
        <x:v>NO</x:v>
      </x:c>
      <x:c r="O224" s="12" t="str">
        <x:f>IF(D224=$H224,"YES","NO")</x:f>
        <x:v>NO</x:v>
      </x:c>
      <x:c r="P224" s="12" t="str">
        <x:f>IF(E224=$H224,"YES","NO")</x:f>
        <x:v>NO</x:v>
      </x:c>
      <x:c r="Q224" s="12" t="str">
        <x:f>IF(F224=$H224,"YES","NO")</x:f>
        <x:v>NO</x:v>
      </x:c>
      <x:c r="R224" s="12" t="str">
        <x:f>IF(G224=$H224,"YES","NO")</x:f>
        <x:v>YES</x:v>
      </x:c>
    </x:row>
    <x:row r="225">
      <x:c r="A225" s="44" t="str">
        <x:v>bpps_d1000n100m5w10_100s100_200f1_seed0</x:v>
      </x:c>
      <x:c r="B225" s="12" t="n">
        <x:v>100</x:v>
      </x:c>
      <x:c r="C225" s="12" t="n">
        <x:v>247</x:v>
      </x:c>
      <x:c r="D225" s="12" t="n">
        <x:v>251</x:v>
      </x:c>
      <x:c r="E225" s="12" t="n">
        <x:v>218</x:v>
      </x:c>
      <x:c r="F225" s="12" t="n">
        <x:v>165</x:v>
      </x:c>
      <x:c r="G225" s="12" t="n">
        <x:v>133</x:v>
      </x:c>
      <x:c r="H225" s="12" t="n">
        <x:f>MIN(C225:G225)</x:f>
        <x:v>133</x:v>
      </x:c>
      <x:c r="I225" s="14" t="n">
        <x:f>(C225-$H225)/$H225*100</x:f>
        <x:v>85.71428571428571</x:v>
      </x:c>
      <x:c r="J225" s="14" t="n">
        <x:f>(D225-$H225)/$H225*100</x:f>
        <x:v>88.7218045112782</x:v>
      </x:c>
      <x:c r="K225" s="14" t="n">
        <x:f>(E225-$H225)/$H225*100</x:f>
        <x:v>63.90977443609023</x:v>
      </x:c>
      <x:c r="L225" s="14" t="n">
        <x:f>(F225-$H225)/$H225*100</x:f>
        <x:v>24.06015037593985</x:v>
      </x:c>
      <x:c r="M225" s="14" t="n">
        <x:f>(G225-$H225)/$H225*100</x:f>
        <x:v>0</x:v>
      </x:c>
      <x:c r="N225" s="12" t="str">
        <x:f>IF(C225=$H225,"YES","NO")</x:f>
        <x:v>NO</x:v>
      </x:c>
      <x:c r="O225" s="12" t="str">
        <x:f>IF(D225=$H225,"YES","NO")</x:f>
        <x:v>NO</x:v>
      </x:c>
      <x:c r="P225" s="12" t="str">
        <x:f>IF(E225=$H225,"YES","NO")</x:f>
        <x:v>NO</x:v>
      </x:c>
      <x:c r="Q225" s="12" t="str">
        <x:f>IF(F225=$H225,"YES","NO")</x:f>
        <x:v>NO</x:v>
      </x:c>
      <x:c r="R225" s="12" t="str">
        <x:f>IF(G225=$H225,"YES","NO")</x:f>
        <x:v>YES</x:v>
      </x:c>
    </x:row>
    <x:row r="226">
      <x:c r="A226" s="44" t="str">
        <x:v>bpps_d1000n100m5w10_100s10_100f0_seed0</x:v>
      </x:c>
      <x:c r="B226" s="12" t="n">
        <x:v>100</x:v>
      </x:c>
      <x:c r="C226" s="12" t="n">
        <x:v>8</x:v>
      </x:c>
      <x:c r="D226" s="12" t="n">
        <x:v>8</x:v>
      </x:c>
      <x:c r="E226" s="12" t="n">
        <x:v>8</x:v>
      </x:c>
      <x:c r="F226" s="12" t="n">
        <x:v>10</x:v>
      </x:c>
      <x:c r="G226" s="12" t="n">
        <x:v>8</x:v>
      </x:c>
      <x:c r="H226" s="12" t="n">
        <x:f>MIN(C226:G226)</x:f>
        <x:v>8</x:v>
      </x:c>
      <x:c r="I226" s="14" t="n">
        <x:f>(C226-$H226)/$H226*100</x:f>
        <x:v>0</x:v>
      </x:c>
      <x:c r="J226" s="14" t="n">
        <x:f>(D226-$H226)/$H226*100</x:f>
        <x:v>0</x:v>
      </x:c>
      <x:c r="K226" s="14" t="n">
        <x:f>(E226-$H226)/$H226*100</x:f>
        <x:v>0</x:v>
      </x:c>
      <x:c r="L226" s="14" t="n">
        <x:f>(F226-$H226)/$H226*100</x:f>
        <x:v>25</x:v>
      </x:c>
      <x:c r="M226" s="14" t="n">
        <x:f>(G226-$H226)/$H226*100</x:f>
        <x:v>0</x:v>
      </x:c>
      <x:c r="N226" s="12" t="str">
        <x:f>IF(C226=$H226,"YES","NO")</x:f>
        <x:v>YES</x:v>
      </x:c>
      <x:c r="O226" s="12" t="str">
        <x:f>IF(D226=$H226,"YES","NO")</x:f>
        <x:v>YES</x:v>
      </x:c>
      <x:c r="P226" s="12" t="str">
        <x:f>IF(E226=$H226,"YES","NO")</x:f>
        <x:v>YES</x:v>
      </x:c>
      <x:c r="Q226" s="12" t="str">
        <x:f>IF(F226=$H226,"YES","NO")</x:f>
        <x:v>NO</x:v>
      </x:c>
      <x:c r="R226" s="12" t="str">
        <x:f>IF(G226=$H226,"YES","NO")</x:f>
        <x:v>YES</x:v>
      </x:c>
    </x:row>
    <x:row r="227">
      <x:c r="A227" s="44" t="str">
        <x:v>bpps_d1000n100m5w10_100s10_100f1_seed0</x:v>
      </x:c>
      <x:c r="B227" s="12" t="n">
        <x:v>100</x:v>
      </x:c>
      <x:c r="C227" s="12" t="n">
        <x:v>204</x:v>
      </x:c>
      <x:c r="D227" s="12" t="n">
        <x:v>177</x:v>
      </x:c>
      <x:c r="E227" s="12" t="n">
        <x:v>168</x:v>
      </x:c>
      <x:c r="F227" s="12" t="n">
        <x:v>161</x:v>
      </x:c>
      <x:c r="G227" s="12" t="n">
        <x:v>127</x:v>
      </x:c>
      <x:c r="H227" s="12" t="n">
        <x:f>MIN(C227:G227)</x:f>
        <x:v>127</x:v>
      </x:c>
      <x:c r="I227" s="14" t="n">
        <x:f>(C227-$H227)/$H227*100</x:f>
        <x:v>60.629921259842526</x:v>
      </x:c>
      <x:c r="J227" s="14" t="n">
        <x:f>(D227-$H227)/$H227*100</x:f>
        <x:v>39.37007874015748</x:v>
      </x:c>
      <x:c r="K227" s="14" t="n">
        <x:f>(E227-$H227)/$H227*100</x:f>
        <x:v>32.28346456692913</x:v>
      </x:c>
      <x:c r="L227" s="14" t="n">
        <x:f>(F227-$H227)/$H227*100</x:f>
        <x:v>26.77165354330709</x:v>
      </x:c>
      <x:c r="M227" s="14" t="n">
        <x:f>(G227-$H227)/$H227*100</x:f>
        <x:v>0</x:v>
      </x:c>
      <x:c r="N227" s="12" t="str">
        <x:f>IF(C227=$H227,"YES","NO")</x:f>
        <x:v>NO</x:v>
      </x:c>
      <x:c r="O227" s="12" t="str">
        <x:f>IF(D227=$H227,"YES","NO")</x:f>
        <x:v>NO</x:v>
      </x:c>
      <x:c r="P227" s="12" t="str">
        <x:f>IF(E227=$H227,"YES","NO")</x:f>
        <x:v>NO</x:v>
      </x:c>
      <x:c r="Q227" s="12" t="str">
        <x:f>IF(F227=$H227,"YES","NO")</x:f>
        <x:v>NO</x:v>
      </x:c>
      <x:c r="R227" s="12" t="str">
        <x:f>IF(G227=$H227,"YES","NO")</x:f>
        <x:v>YES</x:v>
      </x:c>
    </x:row>
    <x:row r="228">
      <x:c r="A228" s="44" t="str">
        <x:v>bpps_d1000n100m5w10_100s10_200f0_seed0</x:v>
      </x:c>
      <x:c r="B228" s="12" t="n">
        <x:v>100</x:v>
      </x:c>
      <x:c r="C228" s="12" t="n">
        <x:v>11</x:v>
      </x:c>
      <x:c r="D228" s="12" t="n">
        <x:v>11</x:v>
      </x:c>
      <x:c r="E228" s="12" t="n">
        <x:v>10</x:v>
      </x:c>
      <x:c r="F228" s="12" t="n">
        <x:v>10</x:v>
      </x:c>
      <x:c r="G228" s="12" t="n">
        <x:v>8</x:v>
      </x:c>
      <x:c r="H228" s="12" t="n">
        <x:f>MIN(C228:G228)</x:f>
        <x:v>8</x:v>
      </x:c>
      <x:c r="I228" s="14" t="n">
        <x:f>(C228-$H228)/$H228*100</x:f>
        <x:v>37.5</x:v>
      </x:c>
      <x:c r="J228" s="14" t="n">
        <x:f>(D228-$H228)/$H228*100</x:f>
        <x:v>37.5</x:v>
      </x:c>
      <x:c r="K228" s="14" t="n">
        <x:f>(E228-$H228)/$H228*100</x:f>
        <x:v>25</x:v>
      </x:c>
      <x:c r="L228" s="14" t="n">
        <x:f>(F228-$H228)/$H228*100</x:f>
        <x:v>25</x:v>
      </x:c>
      <x:c r="M228" s="14" t="n">
        <x:f>(G228-$H228)/$H228*100</x:f>
        <x:v>0</x:v>
      </x:c>
      <x:c r="N228" s="12" t="str">
        <x:f>IF(C228=$H228,"YES","NO")</x:f>
        <x:v>NO</x:v>
      </x:c>
      <x:c r="O228" s="12" t="str">
        <x:f>IF(D228=$H228,"YES","NO")</x:f>
        <x:v>NO</x:v>
      </x:c>
      <x:c r="P228" s="12" t="str">
        <x:f>IF(E228=$H228,"YES","NO")</x:f>
        <x:v>NO</x:v>
      </x:c>
      <x:c r="Q228" s="12" t="str">
        <x:f>IF(F228=$H228,"YES","NO")</x:f>
        <x:v>NO</x:v>
      </x:c>
      <x:c r="R228" s="12" t="str">
        <x:f>IF(G228=$H228,"YES","NO")</x:f>
        <x:v>YES</x:v>
      </x:c>
    </x:row>
    <x:row r="229">
      <x:c r="A229" s="44" t="str">
        <x:v>bpps_d1000n100m5w10_100s10_200f1_seed0</x:v>
      </x:c>
      <x:c r="B229" s="12" t="n">
        <x:v>100</x:v>
      </x:c>
      <x:c r="C229" s="12" t="n">
        <x:v>220</x:v>
      </x:c>
      <x:c r="D229" s="12" t="n">
        <x:v>213</x:v>
      </x:c>
      <x:c r="E229" s="12" t="n">
        <x:v>199</x:v>
      </x:c>
      <x:c r="F229" s="12" t="n">
        <x:v>168</x:v>
      </x:c>
      <x:c r="G229" s="12" t="n">
        <x:v>131</x:v>
      </x:c>
      <x:c r="H229" s="12" t="n">
        <x:f>MIN(C229:G229)</x:f>
        <x:v>131</x:v>
      </x:c>
      <x:c r="I229" s="14" t="n">
        <x:f>(C229-$H229)/$H229*100</x:f>
        <x:v>67.93893129770993</x:v>
      </x:c>
      <x:c r="J229" s="14" t="n">
        <x:f>(D229-$H229)/$H229*100</x:f>
        <x:v>62.59541984732825</x:v>
      </x:c>
      <x:c r="K229" s="14" t="n">
        <x:f>(E229-$H229)/$H229*100</x:f>
        <x:v>51.908396946564885</x:v>
      </x:c>
      <x:c r="L229" s="14" t="n">
        <x:f>(F229-$H229)/$H229*100</x:f>
        <x:v>28.24427480916031</x:v>
      </x:c>
      <x:c r="M229" s="14" t="n">
        <x:f>(G229-$H229)/$H229*100</x:f>
        <x:v>0</x:v>
      </x:c>
      <x:c r="N229" s="12" t="str">
        <x:f>IF(C229=$H229,"YES","NO")</x:f>
        <x:v>NO</x:v>
      </x:c>
      <x:c r="O229" s="12" t="str">
        <x:f>IF(D229=$H229,"YES","NO")</x:f>
        <x:v>NO</x:v>
      </x:c>
      <x:c r="P229" s="12" t="str">
        <x:f>IF(E229=$H229,"YES","NO")</x:f>
        <x:v>NO</x:v>
      </x:c>
      <x:c r="Q229" s="12" t="str">
        <x:f>IF(F229=$H229,"YES","NO")</x:f>
        <x:v>NO</x:v>
      </x:c>
      <x:c r="R229" s="12" t="str">
        <x:f>IF(G229=$H229,"YES","NO")</x:f>
        <x:v>YES</x:v>
      </x:c>
    </x:row>
    <x:row r="230">
      <x:c r="A230" s="44" t="str">
        <x:v>bpps_d1000n100m5w10_300s100_200f0_seed0</x:v>
      </x:c>
      <x:c r="B230" s="12" t="n">
        <x:v>100</x:v>
      </x:c>
      <x:c r="C230" s="12" t="n">
        <x:v>23</x:v>
      </x:c>
      <x:c r="D230" s="12" t="n">
        <x:v>23</x:v>
      </x:c>
      <x:c r="E230" s="12" t="n">
        <x:v>23</x:v>
      </x:c>
      <x:c r="F230" s="12" t="n">
        <x:v>21</x:v>
      </x:c>
      <x:c r="G230" s="12" t="n">
        <x:v>20</x:v>
      </x:c>
      <x:c r="H230" s="12" t="n">
        <x:f>MIN(C230:G230)</x:f>
        <x:v>20</x:v>
      </x:c>
      <x:c r="I230" s="14" t="n">
        <x:f>(C230-$H230)/$H230*100</x:f>
        <x:v>15</x:v>
      </x:c>
      <x:c r="J230" s="14" t="n">
        <x:f>(D230-$H230)/$H230*100</x:f>
        <x:v>15</x:v>
      </x:c>
      <x:c r="K230" s="14" t="n">
        <x:f>(E230-$H230)/$H230*100</x:f>
        <x:v>15</x:v>
      </x:c>
      <x:c r="L230" s="14" t="n">
        <x:f>(F230-$H230)/$H230*100</x:f>
        <x:v>5</x:v>
      </x:c>
      <x:c r="M230" s="14" t="n">
        <x:f>(G230-$H230)/$H230*100</x:f>
        <x:v>0</x:v>
      </x:c>
      <x:c r="N230" s="12" t="str">
        <x:f>IF(C230=$H230,"YES","NO")</x:f>
        <x:v>NO</x:v>
      </x:c>
      <x:c r="O230" s="12" t="str">
        <x:f>IF(D230=$H230,"YES","NO")</x:f>
        <x:v>NO</x:v>
      </x:c>
      <x:c r="P230" s="12" t="str">
        <x:f>IF(E230=$H230,"YES","NO")</x:f>
        <x:v>NO</x:v>
      </x:c>
      <x:c r="Q230" s="12" t="str">
        <x:f>IF(F230=$H230,"YES","NO")</x:f>
        <x:v>NO</x:v>
      </x:c>
      <x:c r="R230" s="12" t="str">
        <x:f>IF(G230=$H230,"YES","NO")</x:f>
        <x:v>YES</x:v>
      </x:c>
    </x:row>
    <x:row r="231">
      <x:c r="A231" s="44" t="str">
        <x:v>bpps_d1000n100m5w10_300s100_200f1_seed0</x:v>
      </x:c>
      <x:c r="B231" s="12" t="n">
        <x:v>100</x:v>
      </x:c>
      <x:c r="C231" s="12" t="n">
        <x:v>401</x:v>
      </x:c>
      <x:c r="D231" s="12" t="n">
        <x:v>405</x:v>
      </x:c>
      <x:c r="E231" s="12" t="n">
        <x:v>373</x:v>
      </x:c>
      <x:c r="F231" s="12" t="n">
        <x:v>287</x:v>
      </x:c>
      <x:c r="G231" s="12" t="n">
        <x:v>256</x:v>
      </x:c>
      <x:c r="H231" s="12" t="n">
        <x:f>MIN(C231:G231)</x:f>
        <x:v>256</x:v>
      </x:c>
      <x:c r="I231" s="14" t="n">
        <x:f>(C231-$H231)/$H231*100</x:f>
        <x:v>56.640625</x:v>
      </x:c>
      <x:c r="J231" s="14" t="n">
        <x:f>(D231-$H231)/$H231*100</x:f>
        <x:v>58.203125</x:v>
      </x:c>
      <x:c r="K231" s="14" t="n">
        <x:f>(E231-$H231)/$H231*100</x:f>
        <x:v>45.703125</x:v>
      </x:c>
      <x:c r="L231" s="14" t="n">
        <x:f>(F231-$H231)/$H231*100</x:f>
        <x:v>12.109375</x:v>
      </x:c>
      <x:c r="M231" s="14" t="n">
        <x:f>(G231-$H231)/$H231*100</x:f>
        <x:v>0</x:v>
      </x:c>
      <x:c r="N231" s="12" t="str">
        <x:f>IF(C231=$H231,"YES","NO")</x:f>
        <x:v>NO</x:v>
      </x:c>
      <x:c r="O231" s="12" t="str">
        <x:f>IF(D231=$H231,"YES","NO")</x:f>
        <x:v>NO</x:v>
      </x:c>
      <x:c r="P231" s="12" t="str">
        <x:f>IF(E231=$H231,"YES","NO")</x:f>
        <x:v>NO</x:v>
      </x:c>
      <x:c r="Q231" s="12" t="str">
        <x:f>IF(F231=$H231,"YES","NO")</x:f>
        <x:v>NO</x:v>
      </x:c>
      <x:c r="R231" s="12" t="str">
        <x:f>IF(G231=$H231,"YES","NO")</x:f>
        <x:v>YES</x:v>
      </x:c>
    </x:row>
    <x:row r="232">
      <x:c r="A232" s="44" t="str">
        <x:v>bpps_d1000n100m5w10_300s10_100f0_seed0</x:v>
      </x:c>
      <x:c r="B232" s="12" t="n">
        <x:v>100</x:v>
      </x:c>
      <x:c r="C232" s="12" t="n">
        <x:v>20</x:v>
      </x:c>
      <x:c r="D232" s="12" t="n">
        <x:v>20</x:v>
      </x:c>
      <x:c r="E232" s="12" t="n">
        <x:v>19</x:v>
      </x:c>
      <x:c r="F232" s="12" t="n">
        <x:v>19</x:v>
      </x:c>
      <x:c r="G232" s="12" t="n">
        <x:v>18</x:v>
      </x:c>
      <x:c r="H232" s="12" t="n">
        <x:f>MIN(C232:G232)</x:f>
        <x:v>18</x:v>
      </x:c>
      <x:c r="I232" s="14" t="n">
        <x:f>(C232-$H232)/$H232*100</x:f>
        <x:v>11.11111111111111</x:v>
      </x:c>
      <x:c r="J232" s="14" t="n">
        <x:f>(D232-$H232)/$H232*100</x:f>
        <x:v>11.11111111111111</x:v>
      </x:c>
      <x:c r="K232" s="14" t="n">
        <x:f>(E232-$H232)/$H232*100</x:f>
        <x:v>5.555555555555555</x:v>
      </x:c>
      <x:c r="L232" s="14" t="n">
        <x:f>(F232-$H232)/$H232*100</x:f>
        <x:v>5.555555555555555</x:v>
      </x:c>
      <x:c r="M232" s="14" t="n">
        <x:f>(G232-$H232)/$H232*100</x:f>
        <x:v>0</x:v>
      </x:c>
      <x:c r="N232" s="12" t="str">
        <x:f>IF(C232=$H232,"YES","NO")</x:f>
        <x:v>NO</x:v>
      </x:c>
      <x:c r="O232" s="12" t="str">
        <x:f>IF(D232=$H232,"YES","NO")</x:f>
        <x:v>NO</x:v>
      </x:c>
      <x:c r="P232" s="12" t="str">
        <x:f>IF(E232=$H232,"YES","NO")</x:f>
        <x:v>NO</x:v>
      </x:c>
      <x:c r="Q232" s="12" t="str">
        <x:f>IF(F232=$H232,"YES","NO")</x:f>
        <x:v>NO</x:v>
      </x:c>
      <x:c r="R232" s="12" t="str">
        <x:f>IF(G232=$H232,"YES","NO")</x:f>
        <x:v>YES</x:v>
      </x:c>
    </x:row>
    <x:row r="233">
      <x:c r="A233" s="44" t="str">
        <x:v>bpps_d1000n100m5w10_300s10_100f1_seed0</x:v>
      </x:c>
      <x:c r="B233" s="12" t="n">
        <x:v>100</x:v>
      </x:c>
      <x:c r="C233" s="12" t="n">
        <x:v>351</x:v>
      </x:c>
      <x:c r="D233" s="12" t="n">
        <x:v>356</x:v>
      </x:c>
      <x:c r="E233" s="12" t="n">
        <x:v>339</x:v>
      </x:c>
      <x:c r="F233" s="12" t="n">
        <x:v>265</x:v>
      </x:c>
      <x:c r="G233" s="12" t="n">
        <x:v>231</x:v>
      </x:c>
      <x:c r="H233" s="12" t="n">
        <x:f>MIN(C233:G233)</x:f>
        <x:v>231</x:v>
      </x:c>
      <x:c r="I233" s="14" t="n">
        <x:f>(C233-$H233)/$H233*100</x:f>
        <x:v>51.94805194805194</x:v>
      </x:c>
      <x:c r="J233" s="14" t="n">
        <x:f>(D233-$H233)/$H233*100</x:f>
        <x:v>54.112554112554115</x:v>
      </x:c>
      <x:c r="K233" s="14" t="n">
        <x:f>(E233-$H233)/$H233*100</x:f>
        <x:v>46.75324675324675</x:v>
      </x:c>
      <x:c r="L233" s="14" t="n">
        <x:f>(F233-$H233)/$H233*100</x:f>
        <x:v>14.71861471861472</x:v>
      </x:c>
      <x:c r="M233" s="14" t="n">
        <x:f>(G233-$H233)/$H233*100</x:f>
        <x:v>0</x:v>
      </x:c>
      <x:c r="N233" s="12" t="str">
        <x:f>IF(C233=$H233,"YES","NO")</x:f>
        <x:v>NO</x:v>
      </x:c>
      <x:c r="O233" s="12" t="str">
        <x:f>IF(D233=$H233,"YES","NO")</x:f>
        <x:v>NO</x:v>
      </x:c>
      <x:c r="P233" s="12" t="str">
        <x:f>IF(E233=$H233,"YES","NO")</x:f>
        <x:v>NO</x:v>
      </x:c>
      <x:c r="Q233" s="12" t="str">
        <x:f>IF(F233=$H233,"YES","NO")</x:f>
        <x:v>NO</x:v>
      </x:c>
      <x:c r="R233" s="12" t="str">
        <x:f>IF(G233=$H233,"YES","NO")</x:f>
        <x:v>YES</x:v>
      </x:c>
    </x:row>
    <x:row r="234">
      <x:c r="A234" s="44" t="str">
        <x:v>bpps_d1000n100m5w10_300s10_200f0_seed0</x:v>
      </x:c>
      <x:c r="B234" s="12" t="n">
        <x:v>100</x:v>
      </x:c>
      <x:c r="C234" s="12" t="n">
        <x:v>22</x:v>
      </x:c>
      <x:c r="D234" s="12" t="n">
        <x:v>22</x:v>
      </x:c>
      <x:c r="E234" s="12" t="n">
        <x:v>23</x:v>
      </x:c>
      <x:c r="F234" s="12" t="n">
        <x:v>20</x:v>
      </x:c>
      <x:c r="G234" s="12" t="n">
        <x:v>20</x:v>
      </x:c>
      <x:c r="H234" s="12" t="n">
        <x:f>MIN(C234:G234)</x:f>
        <x:v>20</x:v>
      </x:c>
      <x:c r="I234" s="14" t="n">
        <x:f>(C234-$H234)/$H234*100</x:f>
        <x:v>10</x:v>
      </x:c>
      <x:c r="J234" s="14" t="n">
        <x:f>(D234-$H234)/$H234*100</x:f>
        <x:v>10</x:v>
      </x:c>
      <x:c r="K234" s="14" t="n">
        <x:f>(E234-$H234)/$H234*100</x:f>
        <x:v>15</x:v>
      </x:c>
      <x:c r="L234" s="14" t="n">
        <x:f>(F234-$H234)/$H234*100</x:f>
        <x:v>0</x:v>
      </x:c>
      <x:c r="M234" s="14" t="n">
        <x:f>(G234-$H234)/$H234*100</x:f>
        <x:v>0</x:v>
      </x:c>
      <x:c r="N234" s="12" t="str">
        <x:f>IF(C234=$H234,"YES","NO")</x:f>
        <x:v>NO</x:v>
      </x:c>
      <x:c r="O234" s="12" t="str">
        <x:f>IF(D234=$H234,"YES","NO")</x:f>
        <x:v>NO</x:v>
      </x:c>
      <x:c r="P234" s="12" t="str">
        <x:f>IF(E234=$H234,"YES","NO")</x:f>
        <x:v>NO</x:v>
      </x:c>
      <x:c r="Q234" s="12" t="str">
        <x:f>IF(F234=$H234,"YES","NO")</x:f>
        <x:v>YES</x:v>
      </x:c>
      <x:c r="R234" s="12" t="str">
        <x:f>IF(G234=$H234,"YES","NO")</x:f>
        <x:v>YES</x:v>
      </x:c>
    </x:row>
    <x:row r="235">
      <x:c r="A235" s="44" t="str">
        <x:v>bpps_d1000n100m5w10_300s10_200f1_seed0</x:v>
      </x:c>
      <x:c r="B235" s="12" t="n">
        <x:v>100</x:v>
      </x:c>
      <x:c r="C235" s="12" t="n">
        <x:v>376</x:v>
      </x:c>
      <x:c r="D235" s="12" t="n">
        <x:v>373</x:v>
      </x:c>
      <x:c r="E235" s="12" t="n">
        <x:v>360</x:v>
      </x:c>
      <x:c r="F235" s="12" t="n">
        <x:v>277</x:v>
      </x:c>
      <x:c r="G235" s="12" t="n">
        <x:v>245</x:v>
      </x:c>
      <x:c r="H235" s="12" t="n">
        <x:f>MIN(C235:G235)</x:f>
        <x:v>245</x:v>
      </x:c>
      <x:c r="I235" s="14" t="n">
        <x:f>(C235-$H235)/$H235*100</x:f>
        <x:v>53.46938775510204</x:v>
      </x:c>
      <x:c r="J235" s="14" t="n">
        <x:f>(D235-$H235)/$H235*100</x:f>
        <x:v>52.244897959183675</x:v>
      </x:c>
      <x:c r="K235" s="14" t="n">
        <x:f>(E235-$H235)/$H235*100</x:f>
        <x:v>46.93877551020408</x:v>
      </x:c>
      <x:c r="L235" s="14" t="n">
        <x:f>(F235-$H235)/$H235*100</x:f>
        <x:v>13.061224489795919</x:v>
      </x:c>
      <x:c r="M235" s="14" t="n">
        <x:f>(G235-$H235)/$H235*100</x:f>
        <x:v>0</x:v>
      </x:c>
      <x:c r="N235" s="12" t="str">
        <x:f>IF(C235=$H235,"YES","NO")</x:f>
        <x:v>NO</x:v>
      </x:c>
      <x:c r="O235" s="12" t="str">
        <x:f>IF(D235=$H235,"YES","NO")</x:f>
        <x:v>NO</x:v>
      </x:c>
      <x:c r="P235" s="12" t="str">
        <x:f>IF(E235=$H235,"YES","NO")</x:f>
        <x:v>NO</x:v>
      </x:c>
      <x:c r="Q235" s="12" t="str">
        <x:f>IF(F235=$H235,"YES","NO")</x:f>
        <x:v>NO</x:v>
      </x:c>
      <x:c r="R235" s="12" t="str">
        <x:f>IF(G235=$H235,"YES","NO")</x:f>
        <x:v>YES</x:v>
      </x:c>
    </x:row>
    <x:row r="236">
      <x:c r="A236" s="44" t="str">
        <x:v>bpps_d1000n100m5w200_300s100_200f0_seed0</x:v>
      </x:c>
      <x:c r="B236" s="12" t="n">
        <x:v>100</x:v>
      </x:c>
      <x:c r="C236" s="12" t="n">
        <x:v>40</x:v>
      </x:c>
      <x:c r="D236" s="12" t="n">
        <x:v>40</x:v>
      </x:c>
      <x:c r="E236" s="12" t="n">
        <x:v>40</x:v>
      </x:c>
      <x:c r="F236" s="12" t="n">
        <x:v>33</x:v>
      </x:c>
      <x:c r="G236" s="12" t="n">
        <x:v>33</x:v>
      </x:c>
      <x:c r="H236" s="12" t="n">
        <x:f>MIN(C236:G236)</x:f>
        <x:v>33</x:v>
      </x:c>
      <x:c r="I236" s="14" t="n">
        <x:f>(C236-$H236)/$H236*100</x:f>
        <x:v>21.21212121212121</x:v>
      </x:c>
      <x:c r="J236" s="14" t="n">
        <x:f>(D236-$H236)/$H236*100</x:f>
        <x:v>21.21212121212121</x:v>
      </x:c>
      <x:c r="K236" s="14" t="n">
        <x:f>(E236-$H236)/$H236*100</x:f>
        <x:v>21.21212121212121</x:v>
      </x:c>
      <x:c r="L236" s="14" t="n">
        <x:f>(F236-$H236)/$H236*100</x:f>
        <x:v>0</x:v>
      </x:c>
      <x:c r="M236" s="14" t="n">
        <x:f>(G236-$H236)/$H236*100</x:f>
        <x:v>0</x:v>
      </x:c>
      <x:c r="N236" s="12" t="str">
        <x:f>IF(C236=$H236,"YES","NO")</x:f>
        <x:v>NO</x:v>
      </x:c>
      <x:c r="O236" s="12" t="str">
        <x:f>IF(D236=$H236,"YES","NO")</x:f>
        <x:v>NO</x:v>
      </x:c>
      <x:c r="P236" s="12" t="str">
        <x:f>IF(E236=$H236,"YES","NO")</x:f>
        <x:v>NO</x:v>
      </x:c>
      <x:c r="Q236" s="12" t="str">
        <x:f>IF(F236=$H236,"YES","NO")</x:f>
        <x:v>YES</x:v>
      </x:c>
      <x:c r="R236" s="12" t="str">
        <x:f>IF(G236=$H236,"YES","NO")</x:f>
        <x:v>YES</x:v>
      </x:c>
    </x:row>
    <x:row r="237">
      <x:c r="A237" s="44" t="str">
        <x:v>bpps_d1000n100m5w200_300s100_200f1_seed0</x:v>
      </x:c>
      <x:c r="B237" s="12" t="n">
        <x:v>100</x:v>
      </x:c>
      <x:c r="C237" s="12" t="n">
        <x:v>619</x:v>
      </x:c>
      <x:c r="D237" s="12" t="n">
        <x:v>619</x:v>
      </x:c>
      <x:c r="E237" s="12" t="n">
        <x:v>626</x:v>
      </x:c>
      <x:c r="F237" s="12" t="n">
        <x:v>451</x:v>
      </x:c>
      <x:c r="G237" s="12" t="n">
        <x:v>446</x:v>
      </x:c>
      <x:c r="H237" s="12" t="n">
        <x:f>MIN(C237:G237)</x:f>
        <x:v>446</x:v>
      </x:c>
      <x:c r="I237" s="14" t="n">
        <x:f>(C237-$H237)/$H237*100</x:f>
        <x:v>38.789237668161434</x:v>
      </x:c>
      <x:c r="J237" s="14" t="n">
        <x:f>(D237-$H237)/$H237*100</x:f>
        <x:v>38.789237668161434</x:v>
      </x:c>
      <x:c r="K237" s="14" t="n">
        <x:f>(E237-$H237)/$H237*100</x:f>
        <x:v>40.35874439461883</x:v>
      </x:c>
      <x:c r="L237" s="14" t="n">
        <x:f>(F237-$H237)/$H237*100</x:f>
        <x:v>1.1210762331838564</x:v>
      </x:c>
      <x:c r="M237" s="14" t="n">
        <x:f>(G237-$H237)/$H237*100</x:f>
        <x:v>0</x:v>
      </x:c>
      <x:c r="N237" s="12" t="str">
        <x:f>IF(C237=$H237,"YES","NO")</x:f>
        <x:v>NO</x:v>
      </x:c>
      <x:c r="O237" s="12" t="str">
        <x:f>IF(D237=$H237,"YES","NO")</x:f>
        <x:v>NO</x:v>
      </x:c>
      <x:c r="P237" s="12" t="str">
        <x:f>IF(E237=$H237,"YES","NO")</x:f>
        <x:v>NO</x:v>
      </x:c>
      <x:c r="Q237" s="12" t="str">
        <x:f>IF(F237=$H237,"YES","NO")</x:f>
        <x:v>NO</x:v>
      </x:c>
      <x:c r="R237" s="12" t="str">
        <x:f>IF(G237=$H237,"YES","NO")</x:f>
        <x:v>YES</x:v>
      </x:c>
    </x:row>
    <x:row r="238">
      <x:c r="A238" s="44" t="str">
        <x:v>bpps_d1000n100m5w200_300s10_100f0_seed0</x:v>
      </x:c>
      <x:c r="B238" s="12" t="n">
        <x:v>100</x:v>
      </x:c>
      <x:c r="C238" s="12" t="n">
        <x:v>32</x:v>
      </x:c>
      <x:c r="D238" s="12" t="n">
        <x:v>32</x:v>
      </x:c>
      <x:c r="E238" s="12" t="n">
        <x:v>32</x:v>
      </x:c>
      <x:c r="F238" s="12" t="n">
        <x:v>30</x:v>
      </x:c>
      <x:c r="G238" s="12" t="n">
        <x:v>30</x:v>
      </x:c>
      <x:c r="H238" s="12" t="n">
        <x:f>MIN(C238:G238)</x:f>
        <x:v>30</x:v>
      </x:c>
      <x:c r="I238" s="14" t="n">
        <x:f>(C238-$H238)/$H238*100</x:f>
        <x:v>6.666666666666667</x:v>
      </x:c>
      <x:c r="J238" s="14" t="n">
        <x:f>(D238-$H238)/$H238*100</x:f>
        <x:v>6.666666666666667</x:v>
      </x:c>
      <x:c r="K238" s="14" t="n">
        <x:f>(E238-$H238)/$H238*100</x:f>
        <x:v>6.666666666666667</x:v>
      </x:c>
      <x:c r="L238" s="14" t="n">
        <x:f>(F238-$H238)/$H238*100</x:f>
        <x:v>0</x:v>
      </x:c>
      <x:c r="M238" s="14" t="n">
        <x:f>(G238-$H238)/$H238*100</x:f>
        <x:v>0</x:v>
      </x:c>
      <x:c r="N238" s="12" t="str">
        <x:f>IF(C238=$H238,"YES","NO")</x:f>
        <x:v>NO</x:v>
      </x:c>
      <x:c r="O238" s="12" t="str">
        <x:f>IF(D238=$H238,"YES","NO")</x:f>
        <x:v>NO</x:v>
      </x:c>
      <x:c r="P238" s="12" t="str">
        <x:f>IF(E238=$H238,"YES","NO")</x:f>
        <x:v>NO</x:v>
      </x:c>
      <x:c r="Q238" s="12" t="str">
        <x:f>IF(F238=$H238,"YES","NO")</x:f>
        <x:v>YES</x:v>
      </x:c>
      <x:c r="R238" s="12" t="str">
        <x:f>IF(G238=$H238,"YES","NO")</x:f>
        <x:v>YES</x:v>
      </x:c>
    </x:row>
    <x:row r="239">
      <x:c r="A239" s="44" t="str">
        <x:v>bpps_d1000n100m5w200_300s10_100f1_seed0</x:v>
      </x:c>
      <x:c r="B239" s="12" t="n">
        <x:v>100</x:v>
      </x:c>
      <x:c r="C239" s="12" t="n">
        <x:v>549</x:v>
      </x:c>
      <x:c r="D239" s="12" t="n">
        <x:v>549</x:v>
      </x:c>
      <x:c r="E239" s="12" t="n">
        <x:v>542</x:v>
      </x:c>
      <x:c r="F239" s="12" t="n">
        <x:v>407</x:v>
      </x:c>
      <x:c r="G239" s="12" t="n">
        <x:v>390</x:v>
      </x:c>
      <x:c r="H239" s="12" t="n">
        <x:f>MIN(C239:G239)</x:f>
        <x:v>390</x:v>
      </x:c>
      <x:c r="I239" s="14" t="n">
        <x:f>(C239-$H239)/$H239*100</x:f>
        <x:v>40.76923076923077</x:v>
      </x:c>
      <x:c r="J239" s="14" t="n">
        <x:f>(D239-$H239)/$H239*100</x:f>
        <x:v>40.76923076923077</x:v>
      </x:c>
      <x:c r="K239" s="14" t="n">
        <x:f>(E239-$H239)/$H239*100</x:f>
        <x:v>38.97435897435898</x:v>
      </x:c>
      <x:c r="L239" s="14" t="n">
        <x:f>(F239-$H239)/$H239*100</x:f>
        <x:v>4.358974358974359</x:v>
      </x:c>
      <x:c r="M239" s="14" t="n">
        <x:f>(G239-$H239)/$H239*100</x:f>
        <x:v>0</x:v>
      </x:c>
      <x:c r="N239" s="12" t="str">
        <x:f>IF(C239=$H239,"YES","NO")</x:f>
        <x:v>NO</x:v>
      </x:c>
      <x:c r="O239" s="12" t="str">
        <x:f>IF(D239=$H239,"YES","NO")</x:f>
        <x:v>NO</x:v>
      </x:c>
      <x:c r="P239" s="12" t="str">
        <x:f>IF(E239=$H239,"YES","NO")</x:f>
        <x:v>NO</x:v>
      </x:c>
      <x:c r="Q239" s="12" t="str">
        <x:f>IF(F239=$H239,"YES","NO")</x:f>
        <x:v>NO</x:v>
      </x:c>
      <x:c r="R239" s="12" t="str">
        <x:f>IF(G239=$H239,"YES","NO")</x:f>
        <x:v>YES</x:v>
      </x:c>
    </x:row>
    <x:row r="240">
      <x:c r="A240" s="44" t="str">
        <x:v>bpps_d1000n100m5w200_300s10_200f0_seed0</x:v>
      </x:c>
      <x:c r="B240" s="12" t="n">
        <x:v>100</x:v>
      </x:c>
      <x:c r="C240" s="12" t="n">
        <x:v>34</x:v>
      </x:c>
      <x:c r="D240" s="12" t="n">
        <x:v>34</x:v>
      </x:c>
      <x:c r="E240" s="12" t="n">
        <x:v>34</x:v>
      </x:c>
      <x:c r="F240" s="12" t="n">
        <x:v>32</x:v>
      </x:c>
      <x:c r="G240" s="12" t="n">
        <x:v>31</x:v>
      </x:c>
      <x:c r="H240" s="12" t="n">
        <x:f>MIN(C240:G240)</x:f>
        <x:v>31</x:v>
      </x:c>
      <x:c r="I240" s="14" t="n">
        <x:f>(C240-$H240)/$H240*100</x:f>
        <x:v>9.67741935483871</x:v>
      </x:c>
      <x:c r="J240" s="14" t="n">
        <x:f>(D240-$H240)/$H240*100</x:f>
        <x:v>9.67741935483871</x:v>
      </x:c>
      <x:c r="K240" s="14" t="n">
        <x:f>(E240-$H240)/$H240*100</x:f>
        <x:v>9.67741935483871</x:v>
      </x:c>
      <x:c r="L240" s="14" t="n">
        <x:f>(F240-$H240)/$H240*100</x:f>
        <x:v>3.225806451612903</x:v>
      </x:c>
      <x:c r="M240" s="14" t="n">
        <x:f>(G240-$H240)/$H240*100</x:f>
        <x:v>0</x:v>
      </x:c>
      <x:c r="N240" s="12" t="str">
        <x:f>IF(C240=$H240,"YES","NO")</x:f>
        <x:v>NO</x:v>
      </x:c>
      <x:c r="O240" s="12" t="str">
        <x:f>IF(D240=$H240,"YES","NO")</x:f>
        <x:v>NO</x:v>
      </x:c>
      <x:c r="P240" s="12" t="str">
        <x:f>IF(E240=$H240,"YES","NO")</x:f>
        <x:v>NO</x:v>
      </x:c>
      <x:c r="Q240" s="12" t="str">
        <x:f>IF(F240=$H240,"YES","NO")</x:f>
        <x:v>NO</x:v>
      </x:c>
      <x:c r="R240" s="12" t="str">
        <x:f>IF(G240=$H240,"YES","NO")</x:f>
        <x:v>YES</x:v>
      </x:c>
    </x:row>
    <x:row r="241">
      <x:c r="A241" s="44" t="str">
        <x:v>bpps_d1000n100m5w200_300s10_200f1_seed0</x:v>
      </x:c>
      <x:c r="B241" s="12" t="n">
        <x:v>100</x:v>
      </x:c>
      <x:c r="C241" s="12" t="n">
        <x:v>563</x:v>
      </x:c>
      <x:c r="D241" s="12" t="n">
        <x:v>577</x:v>
      </x:c>
      <x:c r="E241" s="12" t="n">
        <x:v>575</x:v>
      </x:c>
      <x:c r="F241" s="12" t="n">
        <x:v>446</x:v>
      </x:c>
      <x:c r="G241" s="12" t="n">
        <x:v>422</x:v>
      </x:c>
      <x:c r="H241" s="12" t="n">
        <x:f>MIN(C241:G241)</x:f>
        <x:v>422</x:v>
      </x:c>
      <x:c r="I241" s="14" t="n">
        <x:f>(C241-$H241)/$H241*100</x:f>
        <x:v>33.41232227488152</x:v>
      </x:c>
      <x:c r="J241" s="14" t="n">
        <x:f>(D241-$H241)/$H241*100</x:f>
        <x:v>36.72985781990521</x:v>
      </x:c>
      <x:c r="K241" s="14" t="n">
        <x:f>(E241-$H241)/$H241*100</x:f>
        <x:v>36.25592417061612</x:v>
      </x:c>
      <x:c r="L241" s="14" t="n">
        <x:f>(F241-$H241)/$H241*100</x:f>
        <x:v>5.687203791469194</x:v>
      </x:c>
      <x:c r="M241" s="14" t="n">
        <x:f>(G241-$H241)/$H241*100</x:f>
        <x:v>0</x:v>
      </x:c>
      <x:c r="N241" s="12" t="str">
        <x:f>IF(C241=$H241,"YES","NO")</x:f>
        <x:v>NO</x:v>
      </x:c>
      <x:c r="O241" s="12" t="str">
        <x:f>IF(D241=$H241,"YES","NO")</x:f>
        <x:v>NO</x:v>
      </x:c>
      <x:c r="P241" s="12" t="str">
        <x:f>IF(E241=$H241,"YES","NO")</x:f>
        <x:v>NO</x:v>
      </x:c>
      <x:c r="Q241" s="12" t="str">
        <x:f>IF(F241=$H241,"YES","NO")</x:f>
        <x:v>NO</x:v>
      </x:c>
      <x:c r="R241" s="12" t="str">
        <x:f>IF(G241=$H241,"YES","NO")</x:f>
        <x:v>YES</x:v>
      </x:c>
    </x:row>
    <x:row r="242">
      <x:c r="A242" s="44" t="str">
        <x:v>bpps_d1000n200m10w100_200s100_200f0_seed0</x:v>
      </x:c>
      <x:c r="B242" s="12" t="n">
        <x:v>200</x:v>
      </x:c>
      <x:c r="C242" s="12" t="n">
        <x:v>53</x:v>
      </x:c>
      <x:c r="D242" s="12" t="n">
        <x:v>53</x:v>
      </x:c>
      <x:c r="E242" s="12" t="n">
        <x:v>51</x:v>
      </x:c>
      <x:c r="F242" s="12" t="n">
        <x:v>40</x:v>
      </x:c>
      <x:c r="G242" s="12" t="n">
        <x:v>39</x:v>
      </x:c>
      <x:c r="H242" s="12" t="n">
        <x:f>MIN(C242:G242)</x:f>
        <x:v>39</x:v>
      </x:c>
      <x:c r="I242" s="14" t="n">
        <x:f>(C242-$H242)/$H242*100</x:f>
        <x:v>35.8974358974359</x:v>
      </x:c>
      <x:c r="J242" s="14" t="n">
        <x:f>(D242-$H242)/$H242*100</x:f>
        <x:v>35.8974358974359</x:v>
      </x:c>
      <x:c r="K242" s="14" t="n">
        <x:f>(E242-$H242)/$H242*100</x:f>
        <x:v>30.76923076923077</x:v>
      </x:c>
      <x:c r="L242" s="14" t="n">
        <x:f>(F242-$H242)/$H242*100</x:f>
        <x:v>2.564102564102564</x:v>
      </x:c>
      <x:c r="M242" s="14" t="n">
        <x:f>(G242-$H242)/$H242*100</x:f>
        <x:v>0</x:v>
      </x:c>
      <x:c r="N242" s="12" t="str">
        <x:f>IF(C242=$H242,"YES","NO")</x:f>
        <x:v>NO</x:v>
      </x:c>
      <x:c r="O242" s="12" t="str">
        <x:f>IF(D242=$H242,"YES","NO")</x:f>
        <x:v>NO</x:v>
      </x:c>
      <x:c r="P242" s="12" t="str">
        <x:f>IF(E242=$H242,"YES","NO")</x:f>
        <x:v>NO</x:v>
      </x:c>
      <x:c r="Q242" s="12" t="str">
        <x:f>IF(F242=$H242,"YES","NO")</x:f>
        <x:v>NO</x:v>
      </x:c>
      <x:c r="R242" s="12" t="str">
        <x:f>IF(G242=$H242,"YES","NO")</x:f>
        <x:v>YES</x:v>
      </x:c>
    </x:row>
    <x:row r="243">
      <x:c r="A243" s="44" t="str">
        <x:v>bpps_d1000n200m10w100_200s100_200f1_seed0</x:v>
      </x:c>
      <x:c r="B243" s="12" t="n">
        <x:v>200</x:v>
      </x:c>
      <x:c r="C243" s="12" t="n">
        <x:v>991</x:v>
      </x:c>
      <x:c r="D243" s="12" t="n">
        <x:v>1017</x:v>
      </x:c>
      <x:c r="E243" s="12" t="n">
        <x:v>970</x:v>
      </x:c>
      <x:c r="F243" s="12" t="n">
        <x:v>554</x:v>
      </x:c>
      <x:c r="G243" s="12" t="n">
        <x:v>517</x:v>
      </x:c>
      <x:c r="H243" s="12" t="n">
        <x:f>MIN(C243:G243)</x:f>
        <x:v>517</x:v>
      </x:c>
      <x:c r="I243" s="14" t="n">
        <x:f>(C243-$H243)/$H243*100</x:f>
        <x:v>91.68278529980658</x:v>
      </x:c>
      <x:c r="J243" s="14" t="n">
        <x:f>(D243-$H243)/$H243*100</x:f>
        <x:v>96.71179883945842</x:v>
      </x:c>
      <x:c r="K243" s="14" t="n">
        <x:f>(E243-$H243)/$H243*100</x:f>
        <x:v>87.62088974854933</x:v>
      </x:c>
      <x:c r="L243" s="14" t="n">
        <x:f>(F243-$H243)/$H243*100</x:f>
        <x:v>7.156673114119923</x:v>
      </x:c>
      <x:c r="M243" s="14" t="n">
        <x:f>(G243-$H243)/$H243*100</x:f>
        <x:v>0</x:v>
      </x:c>
      <x:c r="N243" s="12" t="str">
        <x:f>IF(C243=$H243,"YES","NO")</x:f>
        <x:v>NO</x:v>
      </x:c>
      <x:c r="O243" s="12" t="str">
        <x:f>IF(D243=$H243,"YES","NO")</x:f>
        <x:v>NO</x:v>
      </x:c>
      <x:c r="P243" s="12" t="str">
        <x:f>IF(E243=$H243,"YES","NO")</x:f>
        <x:v>NO</x:v>
      </x:c>
      <x:c r="Q243" s="12" t="str">
        <x:f>IF(F243=$H243,"YES","NO")</x:f>
        <x:v>NO</x:v>
      </x:c>
      <x:c r="R243" s="12" t="str">
        <x:f>IF(G243=$H243,"YES","NO")</x:f>
        <x:v>YES</x:v>
      </x:c>
    </x:row>
    <x:row r="244">
      <x:c r="A244" s="44" t="str">
        <x:v>bpps_d1000n200m10w100_200s10_100f0_seed0</x:v>
      </x:c>
      <x:c r="B244" s="12" t="n">
        <x:v>200</x:v>
      </x:c>
      <x:c r="C244" s="12" t="n">
        <x:v>40</x:v>
      </x:c>
      <x:c r="D244" s="12" t="n">
        <x:v>40</x:v>
      </x:c>
      <x:c r="E244" s="12" t="n">
        <x:v>39</x:v>
      </x:c>
      <x:c r="F244" s="12" t="n">
        <x:v>35</x:v>
      </x:c>
      <x:c r="G244" s="12" t="n">
        <x:v>34</x:v>
      </x:c>
      <x:c r="H244" s="12" t="n">
        <x:f>MIN(C244:G244)</x:f>
        <x:v>34</x:v>
      </x:c>
      <x:c r="I244" s="14" t="n">
        <x:f>(C244-$H244)/$H244*100</x:f>
        <x:v>17.647058823529413</x:v>
      </x:c>
      <x:c r="J244" s="14" t="n">
        <x:f>(D244-$H244)/$H244*100</x:f>
        <x:v>17.647058823529413</x:v>
      </x:c>
      <x:c r="K244" s="14" t="n">
        <x:f>(E244-$H244)/$H244*100</x:f>
        <x:v>14.705882352941178</x:v>
      </x:c>
      <x:c r="L244" s="14" t="n">
        <x:f>(F244-$H244)/$H244*100</x:f>
        <x:v>2.941176470588235</x:v>
      </x:c>
      <x:c r="M244" s="14" t="n">
        <x:f>(G244-$H244)/$H244*100</x:f>
        <x:v>0</x:v>
      </x:c>
      <x:c r="N244" s="12" t="str">
        <x:f>IF(C244=$H244,"YES","NO")</x:f>
        <x:v>NO</x:v>
      </x:c>
      <x:c r="O244" s="12" t="str">
        <x:f>IF(D244=$H244,"YES","NO")</x:f>
        <x:v>NO</x:v>
      </x:c>
      <x:c r="P244" s="12" t="str">
        <x:f>IF(E244=$H244,"YES","NO")</x:f>
        <x:v>NO</x:v>
      </x:c>
      <x:c r="Q244" s="12" t="str">
        <x:f>IF(F244=$H244,"YES","NO")</x:f>
        <x:v>NO</x:v>
      </x:c>
      <x:c r="R244" s="12" t="str">
        <x:f>IF(G244=$H244,"YES","NO")</x:f>
        <x:v>YES</x:v>
      </x:c>
    </x:row>
    <x:row r="245">
      <x:c r="A245" s="44" t="str">
        <x:v>bpps_d1000n200m10w100_200s10_100f1_seed0</x:v>
      </x:c>
      <x:c r="B245" s="12" t="n">
        <x:v>200</x:v>
      </x:c>
      <x:c r="C245" s="12" t="n">
        <x:v>851</x:v>
      </x:c>
      <x:c r="D245" s="12" t="n">
        <x:v>856</x:v>
      </x:c>
      <x:c r="E245" s="12" t="n">
        <x:v>805</x:v>
      </x:c>
      <x:c r="F245" s="12" t="n">
        <x:v>481</x:v>
      </x:c>
      <x:c r="G245" s="12" t="n">
        <x:v>466</x:v>
      </x:c>
      <x:c r="H245" s="12" t="n">
        <x:f>MIN(C245:G245)</x:f>
        <x:v>466</x:v>
      </x:c>
      <x:c r="I245" s="14" t="n">
        <x:f>(C245-$H245)/$H245*100</x:f>
        <x:v>82.61802575107296</x:v>
      </x:c>
      <x:c r="J245" s="14" t="n">
        <x:f>(D245-$H245)/$H245*100</x:f>
        <x:v>83.69098712446352</x:v>
      </x:c>
      <x:c r="K245" s="14" t="n">
        <x:f>(E245-$H245)/$H245*100</x:f>
        <x:v>72.74678111587983</x:v>
      </x:c>
      <x:c r="L245" s="14" t="n">
        <x:f>(F245-$H245)/$H245*100</x:f>
        <x:v>3.2188841201716736</x:v>
      </x:c>
      <x:c r="M245" s="14" t="n">
        <x:f>(G245-$H245)/$H245*100</x:f>
        <x:v>0</x:v>
      </x:c>
      <x:c r="N245" s="12" t="str">
        <x:f>IF(C245=$H245,"YES","NO")</x:f>
        <x:v>NO</x:v>
      </x:c>
      <x:c r="O245" s="12" t="str">
        <x:f>IF(D245=$H245,"YES","NO")</x:f>
        <x:v>NO</x:v>
      </x:c>
      <x:c r="P245" s="12" t="str">
        <x:f>IF(E245=$H245,"YES","NO")</x:f>
        <x:v>NO</x:v>
      </x:c>
      <x:c r="Q245" s="12" t="str">
        <x:f>IF(F245=$H245,"YES","NO")</x:f>
        <x:v>NO</x:v>
      </x:c>
      <x:c r="R245" s="12" t="str">
        <x:f>IF(G245=$H245,"YES","NO")</x:f>
        <x:v>YES</x:v>
      </x:c>
    </x:row>
    <x:row r="246">
      <x:c r="A246" s="44" t="str">
        <x:v>bpps_d1000n200m10w100_200s10_200f0_seed0</x:v>
      </x:c>
      <x:c r="B246" s="12" t="n">
        <x:v>200</x:v>
      </x:c>
      <x:c r="C246" s="12" t="n">
        <x:v>48</x:v>
      </x:c>
      <x:c r="D246" s="12" t="n">
        <x:v>48</x:v>
      </x:c>
      <x:c r="E246" s="12" t="n">
        <x:v>47</x:v>
      </x:c>
      <x:c r="F246" s="12" t="n">
        <x:v>37</x:v>
      </x:c>
      <x:c r="G246" s="12" t="n">
        <x:v>37</x:v>
      </x:c>
      <x:c r="H246" s="12" t="n">
        <x:f>MIN(C246:G246)</x:f>
        <x:v>37</x:v>
      </x:c>
      <x:c r="I246" s="14" t="n">
        <x:f>(C246-$H246)/$H246*100</x:f>
        <x:v>29.72972972972973</x:v>
      </x:c>
      <x:c r="J246" s="14" t="n">
        <x:f>(D246-$H246)/$H246*100</x:f>
        <x:v>29.72972972972973</x:v>
      </x:c>
      <x:c r="K246" s="14" t="n">
        <x:f>(E246-$H246)/$H246*100</x:f>
        <x:v>27.027027027027028</x:v>
      </x:c>
      <x:c r="L246" s="14" t="n">
        <x:f>(F246-$H246)/$H246*100</x:f>
        <x:v>0</x:v>
      </x:c>
      <x:c r="M246" s="14" t="n">
        <x:f>(G246-$H246)/$H246*100</x:f>
        <x:v>0</x:v>
      </x:c>
      <x:c r="N246" s="12" t="str">
        <x:f>IF(C246=$H246,"YES","NO")</x:f>
        <x:v>NO</x:v>
      </x:c>
      <x:c r="O246" s="12" t="str">
        <x:f>IF(D246=$H246,"YES","NO")</x:f>
        <x:v>NO</x:v>
      </x:c>
      <x:c r="P246" s="12" t="str">
        <x:f>IF(E246=$H246,"YES","NO")</x:f>
        <x:v>NO</x:v>
      </x:c>
      <x:c r="Q246" s="12" t="str">
        <x:f>IF(F246=$H246,"YES","NO")</x:f>
        <x:v>YES</x:v>
      </x:c>
      <x:c r="R246" s="12" t="str">
        <x:f>IF(G246=$H246,"YES","NO")</x:f>
        <x:v>YES</x:v>
      </x:c>
    </x:row>
    <x:row r="247">
      <x:c r="A247" s="44" t="str">
        <x:v>bpps_d1000n200m10w100_200s10_200f1_seed0</x:v>
      </x:c>
      <x:c r="B247" s="12" t="n">
        <x:v>200</x:v>
      </x:c>
      <x:c r="C247" s="12" t="n">
        <x:v>916</x:v>
      </x:c>
      <x:c r="D247" s="12" t="n">
        <x:v>912</x:v>
      </x:c>
      <x:c r="E247" s="12" t="n">
        <x:v>856</x:v>
      </x:c>
      <x:c r="F247" s="12" t="n">
        <x:v>509</x:v>
      </x:c>
      <x:c r="G247" s="12" t="n">
        <x:v>468</x:v>
      </x:c>
      <x:c r="H247" s="12" t="n">
        <x:f>MIN(C247:G247)</x:f>
        <x:v>468</x:v>
      </x:c>
      <x:c r="I247" s="14" t="n">
        <x:f>(C247-$H247)/$H247*100</x:f>
        <x:v>95.72649572649573</x:v>
      </x:c>
      <x:c r="J247" s="14" t="n">
        <x:f>(D247-$H247)/$H247*100</x:f>
        <x:v>94.87179487179486</x:v>
      </x:c>
      <x:c r="K247" s="14" t="n">
        <x:f>(E247-$H247)/$H247*100</x:f>
        <x:v>82.90598290598291</x:v>
      </x:c>
      <x:c r="L247" s="14" t="n">
        <x:f>(F247-$H247)/$H247*100</x:f>
        <x:v>8.76068376068376</x:v>
      </x:c>
      <x:c r="M247" s="14" t="n">
        <x:f>(G247-$H247)/$H247*100</x:f>
        <x:v>0</x:v>
      </x:c>
      <x:c r="N247" s="12" t="str">
        <x:f>IF(C247=$H247,"YES","NO")</x:f>
        <x:v>NO</x:v>
      </x:c>
      <x:c r="O247" s="12" t="str">
        <x:f>IF(D247=$H247,"YES","NO")</x:f>
        <x:v>NO</x:v>
      </x:c>
      <x:c r="P247" s="12" t="str">
        <x:f>IF(E247=$H247,"YES","NO")</x:f>
        <x:v>NO</x:v>
      </x:c>
      <x:c r="Q247" s="12" t="str">
        <x:f>IF(F247=$H247,"YES","NO")</x:f>
        <x:v>NO</x:v>
      </x:c>
      <x:c r="R247" s="12" t="str">
        <x:f>IF(G247=$H247,"YES","NO")</x:f>
        <x:v>YES</x:v>
      </x:c>
    </x:row>
    <x:row r="248">
      <x:c r="A248" s="44" t="str">
        <x:v>bpps_d1000n200m10w10_100s100_200f0_seed0</x:v>
      </x:c>
      <x:c r="B248" s="12" t="n">
        <x:v>200</x:v>
      </x:c>
      <x:c r="C248" s="12" t="n">
        <x:v>26</x:v>
      </x:c>
      <x:c r="D248" s="12" t="n">
        <x:v>27</x:v>
      </x:c>
      <x:c r="E248" s="12" t="n">
        <x:v>23</x:v>
      </x:c>
      <x:c r="F248" s="12" t="n">
        <x:v>20</x:v>
      </x:c>
      <x:c r="G248" s="12" t="n">
        <x:v>18</x:v>
      </x:c>
      <x:c r="H248" s="12" t="n">
        <x:f>MIN(C248:G248)</x:f>
        <x:v>18</x:v>
      </x:c>
      <x:c r="I248" s="14" t="n">
        <x:f>(C248-$H248)/$H248*100</x:f>
        <x:v>44.44444444444444</x:v>
      </x:c>
      <x:c r="J248" s="14" t="n">
        <x:f>(D248-$H248)/$H248*100</x:f>
        <x:v>50</x:v>
      </x:c>
      <x:c r="K248" s="14" t="n">
        <x:f>(E248-$H248)/$H248*100</x:f>
        <x:v>27.77777777777778</x:v>
      </x:c>
      <x:c r="L248" s="14" t="n">
        <x:f>(F248-$H248)/$H248*100</x:f>
        <x:v>11.11111111111111</x:v>
      </x:c>
      <x:c r="M248" s="14" t="n">
        <x:f>(G248-$H248)/$H248*100</x:f>
        <x:v>0</x:v>
      </x:c>
      <x:c r="N248" s="12" t="str">
        <x:f>IF(C248=$H248,"YES","NO")</x:f>
        <x:v>NO</x:v>
      </x:c>
      <x:c r="O248" s="12" t="str">
        <x:f>IF(D248=$H248,"YES","NO")</x:f>
        <x:v>NO</x:v>
      </x:c>
      <x:c r="P248" s="12" t="str">
        <x:f>IF(E248=$H248,"YES","NO")</x:f>
        <x:v>NO</x:v>
      </x:c>
      <x:c r="Q248" s="12" t="str">
        <x:f>IF(F248=$H248,"YES","NO")</x:f>
        <x:v>NO</x:v>
      </x:c>
      <x:c r="R248" s="12" t="str">
        <x:f>IF(G248=$H248,"YES","NO")</x:f>
        <x:v>YES</x:v>
      </x:c>
    </x:row>
    <x:row r="249">
      <x:c r="A249" s="44" t="str">
        <x:v>bpps_d1000n200m10w10_100s100_200f1_seed0</x:v>
      </x:c>
      <x:c r="B249" s="12" t="n">
        <x:v>200</x:v>
      </x:c>
      <x:c r="C249" s="12" t="n">
        <x:v>645</x:v>
      </x:c>
      <x:c r="D249" s="12" t="n">
        <x:v>645</x:v>
      </x:c>
      <x:c r="E249" s="12" t="n">
        <x:v>583</x:v>
      </x:c>
      <x:c r="F249" s="12" t="n">
        <x:v>317</x:v>
      </x:c>
      <x:c r="G249" s="12" t="n">
        <x:v>284</x:v>
      </x:c>
      <x:c r="H249" s="12" t="n">
        <x:f>MIN(C249:G249)</x:f>
        <x:v>284</x:v>
      </x:c>
      <x:c r="I249" s="14" t="n">
        <x:f>(C249-$H249)/$H249*100</x:f>
        <x:v>127.11267605633803</x:v>
      </x:c>
      <x:c r="J249" s="14" t="n">
        <x:f>(D249-$H249)/$H249*100</x:f>
        <x:v>127.11267605633803</x:v>
      </x:c>
      <x:c r="K249" s="14" t="n">
        <x:f>(E249-$H249)/$H249*100</x:f>
        <x:v>105.28169014084507</x:v>
      </x:c>
      <x:c r="L249" s="14" t="n">
        <x:f>(F249-$H249)/$H249*100</x:f>
        <x:v>11.619718309859154</x:v>
      </x:c>
      <x:c r="M249" s="14" t="n">
        <x:f>(G249-$H249)/$H249*100</x:f>
        <x:v>0</x:v>
      </x:c>
      <x:c r="N249" s="12" t="str">
        <x:f>IF(C249=$H249,"YES","NO")</x:f>
        <x:v>NO</x:v>
      </x:c>
      <x:c r="O249" s="12" t="str">
        <x:f>IF(D249=$H249,"YES","NO")</x:f>
        <x:v>NO</x:v>
      </x:c>
      <x:c r="P249" s="12" t="str">
        <x:f>IF(E249=$H249,"YES","NO")</x:f>
        <x:v>NO</x:v>
      </x:c>
      <x:c r="Q249" s="12" t="str">
        <x:f>IF(F249=$H249,"YES","NO")</x:f>
        <x:v>NO</x:v>
      </x:c>
      <x:c r="R249" s="12" t="str">
        <x:f>IF(G249=$H249,"YES","NO")</x:f>
        <x:v>YES</x:v>
      </x:c>
    </x:row>
    <x:row r="250">
      <x:c r="A250" s="44" t="str">
        <x:v>bpps_d1000n200m10w10_100s10_100f0_seed0</x:v>
      </x:c>
      <x:c r="B250" s="12" t="n">
        <x:v>200</x:v>
      </x:c>
      <x:c r="C250" s="12" t="n">
        <x:v>17</x:v>
      </x:c>
      <x:c r="D250" s="12" t="n">
        <x:v>17</x:v>
      </x:c>
      <x:c r="E250" s="12" t="n">
        <x:v>16</x:v>
      </x:c>
      <x:c r="F250" s="12" t="n">
        <x:v>22</x:v>
      </x:c>
      <x:c r="G250" s="12" t="n">
        <x:v>14</x:v>
      </x:c>
      <x:c r="H250" s="12" t="n">
        <x:f>MIN(C250:G250)</x:f>
        <x:v>14</x:v>
      </x:c>
      <x:c r="I250" s="14" t="n">
        <x:f>(C250-$H250)/$H250*100</x:f>
        <x:v>21.428571428571427</x:v>
      </x:c>
      <x:c r="J250" s="14" t="n">
        <x:f>(D250-$H250)/$H250*100</x:f>
        <x:v>21.428571428571427</x:v>
      </x:c>
      <x:c r="K250" s="14" t="n">
        <x:f>(E250-$H250)/$H250*100</x:f>
        <x:v>14.285714285714285</x:v>
      </x:c>
      <x:c r="L250" s="14" t="n">
        <x:f>(F250-$H250)/$H250*100</x:f>
        <x:v>57.14285714285714</x:v>
      </x:c>
      <x:c r="M250" s="14" t="n">
        <x:f>(G250-$H250)/$H250*100</x:f>
        <x:v>0</x:v>
      </x:c>
      <x:c r="N250" s="12" t="str">
        <x:f>IF(C250=$H250,"YES","NO")</x:f>
        <x:v>NO</x:v>
      </x:c>
      <x:c r="O250" s="12" t="str">
        <x:f>IF(D250=$H250,"YES","NO")</x:f>
        <x:v>NO</x:v>
      </x:c>
      <x:c r="P250" s="12" t="str">
        <x:f>IF(E250=$H250,"YES","NO")</x:f>
        <x:v>NO</x:v>
      </x:c>
      <x:c r="Q250" s="12" t="str">
        <x:f>IF(F250=$H250,"YES","NO")</x:f>
        <x:v>NO</x:v>
      </x:c>
      <x:c r="R250" s="12" t="str">
        <x:f>IF(G250=$H250,"YES","NO")</x:f>
        <x:v>YES</x:v>
      </x:c>
    </x:row>
    <x:row r="251">
      <x:c r="A251" s="44" t="str">
        <x:v>bpps_d1000n200m10w10_100s10_100f1_seed0</x:v>
      </x:c>
      <x:c r="B251" s="12" t="n">
        <x:v>200</x:v>
      </x:c>
      <x:c r="C251" s="12" t="n">
        <x:v>488</x:v>
      </x:c>
      <x:c r="D251" s="12" t="n">
        <x:v>501</x:v>
      </x:c>
      <x:c r="E251" s="12" t="n">
        <x:v>452</x:v>
      </x:c>
      <x:c r="F251" s="12" t="n">
        <x:v>331</x:v>
      </x:c>
      <x:c r="G251" s="12" t="n">
        <x:v>264</x:v>
      </x:c>
      <x:c r="H251" s="12" t="n">
        <x:f>MIN(C251:G251)</x:f>
        <x:v>264</x:v>
      </x:c>
      <x:c r="I251" s="14" t="n">
        <x:f>(C251-$H251)/$H251*100</x:f>
        <x:v>84.84848484848484</x:v>
      </x:c>
      <x:c r="J251" s="14" t="n">
        <x:f>(D251-$H251)/$H251*100</x:f>
        <x:v>89.77272727272727</x:v>
      </x:c>
      <x:c r="K251" s="14" t="n">
        <x:f>(E251-$H251)/$H251*100</x:f>
        <x:v>71.21212121212122</x:v>
      </x:c>
      <x:c r="L251" s="14" t="n">
        <x:f>(F251-$H251)/$H251*100</x:f>
        <x:v>25.37878787878788</x:v>
      </x:c>
      <x:c r="M251" s="14" t="n">
        <x:f>(G251-$H251)/$H251*100</x:f>
        <x:v>0</x:v>
      </x:c>
      <x:c r="N251" s="12" t="str">
        <x:f>IF(C251=$H251,"YES","NO")</x:f>
        <x:v>NO</x:v>
      </x:c>
      <x:c r="O251" s="12" t="str">
        <x:f>IF(D251=$H251,"YES","NO")</x:f>
        <x:v>NO</x:v>
      </x:c>
      <x:c r="P251" s="12" t="str">
        <x:f>IF(E251=$H251,"YES","NO")</x:f>
        <x:v>NO</x:v>
      </x:c>
      <x:c r="Q251" s="12" t="str">
        <x:f>IF(F251=$H251,"YES","NO")</x:f>
        <x:v>NO</x:v>
      </x:c>
      <x:c r="R251" s="12" t="str">
        <x:f>IF(G251=$H251,"YES","NO")</x:f>
        <x:v>YES</x:v>
      </x:c>
    </x:row>
    <x:row r="252">
      <x:c r="A252" s="44" t="str">
        <x:v>bpps_d1000n200m10w10_100s10_200f0_seed0</x:v>
      </x:c>
      <x:c r="B252" s="12" t="n">
        <x:v>200</x:v>
      </x:c>
      <x:c r="C252" s="12" t="n">
        <x:v>20</x:v>
      </x:c>
      <x:c r="D252" s="12" t="n">
        <x:v>21</x:v>
      </x:c>
      <x:c r="E252" s="12" t="n">
        <x:v>19</x:v>
      </x:c>
      <x:c r="F252" s="12" t="n">
        <x:v>21</x:v>
      </x:c>
      <x:c r="G252" s="12" t="n">
        <x:v>15</x:v>
      </x:c>
      <x:c r="H252" s="12" t="n">
        <x:f>MIN(C252:G252)</x:f>
        <x:v>15</x:v>
      </x:c>
      <x:c r="I252" s="14" t="n">
        <x:f>(C252-$H252)/$H252*100</x:f>
        <x:v>33.33333333333333</x:v>
      </x:c>
      <x:c r="J252" s="14" t="n">
        <x:f>(D252-$H252)/$H252*100</x:f>
        <x:v>40</x:v>
      </x:c>
      <x:c r="K252" s="14" t="n">
        <x:f>(E252-$H252)/$H252*100</x:f>
        <x:v>26.666666666666668</x:v>
      </x:c>
      <x:c r="L252" s="14" t="n">
        <x:f>(F252-$H252)/$H252*100</x:f>
        <x:v>40</x:v>
      </x:c>
      <x:c r="M252" s="14" t="n">
        <x:f>(G252-$H252)/$H252*100</x:f>
        <x:v>0</x:v>
      </x:c>
      <x:c r="N252" s="12" t="str">
        <x:f>IF(C252=$H252,"YES","NO")</x:f>
        <x:v>NO</x:v>
      </x:c>
      <x:c r="O252" s="12" t="str">
        <x:f>IF(D252=$H252,"YES","NO")</x:f>
        <x:v>NO</x:v>
      </x:c>
      <x:c r="P252" s="12" t="str">
        <x:f>IF(E252=$H252,"YES","NO")</x:f>
        <x:v>NO</x:v>
      </x:c>
      <x:c r="Q252" s="12" t="str">
        <x:f>IF(F252=$H252,"YES","NO")</x:f>
        <x:v>NO</x:v>
      </x:c>
      <x:c r="R252" s="12" t="str">
        <x:f>IF(G252=$H252,"YES","NO")</x:f>
        <x:v>YES</x:v>
      </x:c>
    </x:row>
    <x:row r="253">
      <x:c r="A253" s="44" t="str">
        <x:v>bpps_d1000n200m10w10_100s10_200f1_seed0</x:v>
      </x:c>
      <x:c r="B253" s="12" t="n">
        <x:v>200</x:v>
      </x:c>
      <x:c r="C253" s="12" t="n">
        <x:v>596</x:v>
      </x:c>
      <x:c r="D253" s="12" t="n">
        <x:v>635</x:v>
      </x:c>
      <x:c r="E253" s="12" t="n">
        <x:v>511</x:v>
      </x:c>
      <x:c r="F253" s="12" t="n">
        <x:v>318</x:v>
      </x:c>
      <x:c r="G253" s="12" t="n">
        <x:v>269</x:v>
      </x:c>
      <x:c r="H253" s="12" t="n">
        <x:f>MIN(C253:G253)</x:f>
        <x:v>269</x:v>
      </x:c>
      <x:c r="I253" s="14" t="n">
        <x:f>(C253-$H253)/$H253*100</x:f>
        <x:v>121.56133828996283</x:v>
      </x:c>
      <x:c r="J253" s="14" t="n">
        <x:f>(D253-$H253)/$H253*100</x:f>
        <x:v>136.05947955390334</x:v>
      </x:c>
      <x:c r="K253" s="14" t="n">
        <x:f>(E253-$H253)/$H253*100</x:f>
        <x:v>89.96282527881041</x:v>
      </x:c>
      <x:c r="L253" s="14" t="n">
        <x:f>(F253-$H253)/$H253*100</x:f>
        <x:v>18.21561338289963</x:v>
      </x:c>
      <x:c r="M253" s="14" t="n">
        <x:f>(G253-$H253)/$H253*100</x:f>
        <x:v>0</x:v>
      </x:c>
      <x:c r="N253" s="12" t="str">
        <x:f>IF(C253=$H253,"YES","NO")</x:f>
        <x:v>NO</x:v>
      </x:c>
      <x:c r="O253" s="12" t="str">
        <x:f>IF(D253=$H253,"YES","NO")</x:f>
        <x:v>NO</x:v>
      </x:c>
      <x:c r="P253" s="12" t="str">
        <x:f>IF(E253=$H253,"YES","NO")</x:f>
        <x:v>NO</x:v>
      </x:c>
      <x:c r="Q253" s="12" t="str">
        <x:f>IF(F253=$H253,"YES","NO")</x:f>
        <x:v>NO</x:v>
      </x:c>
      <x:c r="R253" s="12" t="str">
        <x:f>IF(G253=$H253,"YES","NO")</x:f>
        <x:v>YES</x:v>
      </x:c>
    </x:row>
    <x:row r="254">
      <x:c r="A254" s="44" t="str">
        <x:v>bpps_d1000n200m10w10_300s100_200f0_seed0</x:v>
      </x:c>
      <x:c r="B254" s="12" t="n">
        <x:v>200</x:v>
      </x:c>
      <x:c r="C254" s="12" t="n">
        <x:v>49</x:v>
      </x:c>
      <x:c r="D254" s="12" t="n">
        <x:v>49</x:v>
      </x:c>
      <x:c r="E254" s="12" t="n">
        <x:v>48</x:v>
      </x:c>
      <x:c r="F254" s="12" t="n">
        <x:v>41</x:v>
      </x:c>
      <x:c r="G254" s="12" t="n">
        <x:v>39</x:v>
      </x:c>
      <x:c r="H254" s="12" t="n">
        <x:f>MIN(C254:G254)</x:f>
        <x:v>39</x:v>
      </x:c>
      <x:c r="I254" s="14" t="n">
        <x:f>(C254-$H254)/$H254*100</x:f>
        <x:v>25.64102564102564</x:v>
      </x:c>
      <x:c r="J254" s="14" t="n">
        <x:f>(D254-$H254)/$H254*100</x:f>
        <x:v>25.64102564102564</x:v>
      </x:c>
      <x:c r="K254" s="14" t="n">
        <x:f>(E254-$H254)/$H254*100</x:f>
        <x:v>23.076923076923077</x:v>
      </x:c>
      <x:c r="L254" s="14" t="n">
        <x:f>(F254-$H254)/$H254*100</x:f>
        <x:v>5.128205128205128</x:v>
      </x:c>
      <x:c r="M254" s="14" t="n">
        <x:f>(G254-$H254)/$H254*100</x:f>
        <x:v>0</x:v>
      </x:c>
      <x:c r="N254" s="12" t="str">
        <x:f>IF(C254=$H254,"YES","NO")</x:f>
        <x:v>NO</x:v>
      </x:c>
      <x:c r="O254" s="12" t="str">
        <x:f>IF(D254=$H254,"YES","NO")</x:f>
        <x:v>NO</x:v>
      </x:c>
      <x:c r="P254" s="12" t="str">
        <x:f>IF(E254=$H254,"YES","NO")</x:f>
        <x:v>NO</x:v>
      </x:c>
      <x:c r="Q254" s="12" t="str">
        <x:f>IF(F254=$H254,"YES","NO")</x:f>
        <x:v>NO</x:v>
      </x:c>
      <x:c r="R254" s="12" t="str">
        <x:f>IF(G254=$H254,"YES","NO")</x:f>
        <x:v>YES</x:v>
      </x:c>
    </x:row>
    <x:row r="255">
      <x:c r="A255" s="44" t="str">
        <x:v>bpps_d1000n200m10w10_300s100_200f1_seed0</x:v>
      </x:c>
      <x:c r="B255" s="12" t="n">
        <x:v>200</x:v>
      </x:c>
      <x:c r="C255" s="12" t="n">
        <x:v>837</x:v>
      </x:c>
      <x:c r="D255" s="12" t="n">
        <x:v>857</x:v>
      </x:c>
      <x:c r="E255" s="12" t="n">
        <x:v>835</x:v>
      </x:c>
      <x:c r="F255" s="12" t="n">
        <x:v>574</x:v>
      </x:c>
      <x:c r="G255" s="12" t="n">
        <x:v>513</x:v>
      </x:c>
      <x:c r="H255" s="12" t="n">
        <x:f>MIN(C255:G255)</x:f>
        <x:v>513</x:v>
      </x:c>
      <x:c r="I255" s="14" t="n">
        <x:f>(C255-$H255)/$H255*100</x:f>
        <x:v>63.1578947368421</x:v>
      </x:c>
      <x:c r="J255" s="14" t="n">
        <x:f>(D255-$H255)/$H255*100</x:f>
        <x:v>67.05653021442495</x:v>
      </x:c>
      <x:c r="K255" s="14" t="n">
        <x:f>(E255-$H255)/$H255*100</x:f>
        <x:v>62.768031189083814</x:v>
      </x:c>
      <x:c r="L255" s="14" t="n">
        <x:f>(F255-$H255)/$H255*100</x:f>
        <x:v>11.890838206627679</x:v>
      </x:c>
      <x:c r="M255" s="14" t="n">
        <x:f>(G255-$H255)/$H255*100</x:f>
        <x:v>0</x:v>
      </x:c>
      <x:c r="N255" s="12" t="str">
        <x:f>IF(C255=$H255,"YES","NO")</x:f>
        <x:v>NO</x:v>
      </x:c>
      <x:c r="O255" s="12" t="str">
        <x:f>IF(D255=$H255,"YES","NO")</x:f>
        <x:v>NO</x:v>
      </x:c>
      <x:c r="P255" s="12" t="str">
        <x:f>IF(E255=$H255,"YES","NO")</x:f>
        <x:v>NO</x:v>
      </x:c>
      <x:c r="Q255" s="12" t="str">
        <x:f>IF(F255=$H255,"YES","NO")</x:f>
        <x:v>NO</x:v>
      </x:c>
      <x:c r="R255" s="12" t="str">
        <x:f>IF(G255=$H255,"YES","NO")</x:f>
        <x:v>YES</x:v>
      </x:c>
    </x:row>
    <x:row r="256">
      <x:c r="A256" s="44" t="str">
        <x:v>bpps_d1000n200m10w10_300s10_100f0_seed0</x:v>
      </x:c>
      <x:c r="B256" s="12" t="n">
        <x:v>200</x:v>
      </x:c>
      <x:c r="C256" s="12" t="n">
        <x:v>40</x:v>
      </x:c>
      <x:c r="D256" s="12" t="n">
        <x:v>39</x:v>
      </x:c>
      <x:c r="E256" s="12" t="n">
        <x:v>38</x:v>
      </x:c>
      <x:c r="F256" s="12" t="n">
        <x:v>36</x:v>
      </x:c>
      <x:c r="G256" s="12" t="n">
        <x:v>34</x:v>
      </x:c>
      <x:c r="H256" s="12" t="n">
        <x:f>MIN(C256:G256)</x:f>
        <x:v>34</x:v>
      </x:c>
      <x:c r="I256" s="14" t="n">
        <x:f>(C256-$H256)/$H256*100</x:f>
        <x:v>17.647058823529413</x:v>
      </x:c>
      <x:c r="J256" s="14" t="n">
        <x:f>(D256-$H256)/$H256*100</x:f>
        <x:v>14.705882352941178</x:v>
      </x:c>
      <x:c r="K256" s="14" t="n">
        <x:f>(E256-$H256)/$H256*100</x:f>
        <x:v>11.76470588235294</x:v>
      </x:c>
      <x:c r="L256" s="14" t="n">
        <x:f>(F256-$H256)/$H256*100</x:f>
        <x:v>5.88235294117647</x:v>
      </x:c>
      <x:c r="M256" s="14" t="n">
        <x:f>(G256-$H256)/$H256*100</x:f>
        <x:v>0</x:v>
      </x:c>
      <x:c r="N256" s="12" t="str">
        <x:f>IF(C256=$H256,"YES","NO")</x:f>
        <x:v>NO</x:v>
      </x:c>
      <x:c r="O256" s="12" t="str">
        <x:f>IF(D256=$H256,"YES","NO")</x:f>
        <x:v>NO</x:v>
      </x:c>
      <x:c r="P256" s="12" t="str">
        <x:f>IF(E256=$H256,"YES","NO")</x:f>
        <x:v>NO</x:v>
      </x:c>
      <x:c r="Q256" s="12" t="str">
        <x:f>IF(F256=$H256,"YES","NO")</x:f>
        <x:v>NO</x:v>
      </x:c>
      <x:c r="R256" s="12" t="str">
        <x:f>IF(G256=$H256,"YES","NO")</x:f>
        <x:v>YES</x:v>
      </x:c>
    </x:row>
    <x:row r="257">
      <x:c r="A257" s="44" t="str">
        <x:v>bpps_d1000n200m10w10_300s10_100f1_seed0</x:v>
      </x:c>
      <x:c r="B257" s="12" t="n">
        <x:v>200</x:v>
      </x:c>
      <x:c r="C257" s="12" t="n">
        <x:v>796</x:v>
      </x:c>
      <x:c r="D257" s="12" t="n">
        <x:v>791</x:v>
      </x:c>
      <x:c r="E257" s="12" t="n">
        <x:v>772</x:v>
      </x:c>
      <x:c r="F257" s="12" t="n">
        <x:v>512</x:v>
      </x:c>
      <x:c r="G257" s="12" t="n">
        <x:v>469</x:v>
      </x:c>
      <x:c r="H257" s="12" t="n">
        <x:f>MIN(C257:G257)</x:f>
        <x:v>469</x:v>
      </x:c>
      <x:c r="I257" s="14" t="n">
        <x:f>(C257-$H257)/$H257*100</x:f>
        <x:v>69.7228144989339</x:v>
      </x:c>
      <x:c r="J257" s="14" t="n">
        <x:f>(D257-$H257)/$H257*100</x:f>
        <x:v>68.65671641791045</x:v>
      </x:c>
      <x:c r="K257" s="14" t="n">
        <x:f>(E257-$H257)/$H257*100</x:f>
        <x:v>64.60554371002132</x:v>
      </x:c>
      <x:c r="L257" s="14" t="n">
        <x:f>(F257-$H257)/$H257*100</x:f>
        <x:v>9.168443496801707</x:v>
      </x:c>
      <x:c r="M257" s="14" t="n">
        <x:f>(G257-$H257)/$H257*100</x:f>
        <x:v>0</x:v>
      </x:c>
      <x:c r="N257" s="12" t="str">
        <x:f>IF(C257=$H257,"YES","NO")</x:f>
        <x:v>NO</x:v>
      </x:c>
      <x:c r="O257" s="12" t="str">
        <x:f>IF(D257=$H257,"YES","NO")</x:f>
        <x:v>NO</x:v>
      </x:c>
      <x:c r="P257" s="12" t="str">
        <x:f>IF(E257=$H257,"YES","NO")</x:f>
        <x:v>NO</x:v>
      </x:c>
      <x:c r="Q257" s="12" t="str">
        <x:f>IF(F257=$H257,"YES","NO")</x:f>
        <x:v>NO</x:v>
      </x:c>
      <x:c r="R257" s="12" t="str">
        <x:f>IF(G257=$H257,"YES","NO")</x:f>
        <x:v>YES</x:v>
      </x:c>
    </x:row>
    <x:row r="258">
      <x:c r="A258" s="44" t="str">
        <x:v>bpps_d1000n200m10w10_300s10_200f0_seed0</x:v>
      </x:c>
      <x:c r="B258" s="12" t="n">
        <x:v>200</x:v>
      </x:c>
      <x:c r="C258" s="12" t="n">
        <x:v>45</x:v>
      </x:c>
      <x:c r="D258" s="12" t="n">
        <x:v>46</x:v>
      </x:c>
      <x:c r="E258" s="12" t="n">
        <x:v>45</x:v>
      </x:c>
      <x:c r="F258" s="12" t="n">
        <x:v>38</x:v>
      </x:c>
      <x:c r="G258" s="12" t="n">
        <x:v>37</x:v>
      </x:c>
      <x:c r="H258" s="12" t="n">
        <x:f>MIN(C258:G258)</x:f>
        <x:v>37</x:v>
      </x:c>
      <x:c r="I258" s="14" t="n">
        <x:f>(C258-$H258)/$H258*100</x:f>
        <x:v>21.62162162162162</x:v>
      </x:c>
      <x:c r="J258" s="14" t="n">
        <x:f>(D258-$H258)/$H258*100</x:f>
        <x:v>24.324324324324326</x:v>
      </x:c>
      <x:c r="K258" s="14" t="n">
        <x:f>(E258-$H258)/$H258*100</x:f>
        <x:v>21.62162162162162</x:v>
      </x:c>
      <x:c r="L258" s="14" t="n">
        <x:f>(F258-$H258)/$H258*100</x:f>
        <x:v>2.7027027027027026</x:v>
      </x:c>
      <x:c r="M258" s="14" t="n">
        <x:f>(G258-$H258)/$H258*100</x:f>
        <x:v>0</x:v>
      </x:c>
      <x:c r="N258" s="12" t="str">
        <x:f>IF(C258=$H258,"YES","NO")</x:f>
        <x:v>NO</x:v>
      </x:c>
      <x:c r="O258" s="12" t="str">
        <x:f>IF(D258=$H258,"YES","NO")</x:f>
        <x:v>NO</x:v>
      </x:c>
      <x:c r="P258" s="12" t="str">
        <x:f>IF(E258=$H258,"YES","NO")</x:f>
        <x:v>NO</x:v>
      </x:c>
      <x:c r="Q258" s="12" t="str">
        <x:f>IF(F258=$H258,"YES","NO")</x:f>
        <x:v>NO</x:v>
      </x:c>
      <x:c r="R258" s="12" t="str">
        <x:f>IF(G258=$H258,"YES","NO")</x:f>
        <x:v>YES</x:v>
      </x:c>
    </x:row>
    <x:row r="259">
      <x:c r="A259" s="44" t="str">
        <x:v>bpps_d1000n200m10w10_300s10_200f1_seed0</x:v>
      </x:c>
      <x:c r="B259" s="12" t="n">
        <x:v>200</x:v>
      </x:c>
      <x:c r="C259" s="12" t="n">
        <x:v>851</x:v>
      </x:c>
      <x:c r="D259" s="12" t="n">
        <x:v>857</x:v>
      </x:c>
      <x:c r="E259" s="12" t="n">
        <x:v>800</x:v>
      </x:c>
      <x:c r="F259" s="12" t="n">
        <x:v>531</x:v>
      </x:c>
      <x:c r="G259" s="12" t="n">
        <x:v>500</x:v>
      </x:c>
      <x:c r="H259" s="12" t="n">
        <x:f>MIN(C259:G259)</x:f>
        <x:v>500</x:v>
      </x:c>
      <x:c r="I259" s="14" t="n">
        <x:f>(C259-$H259)/$H259*100</x:f>
        <x:v>70.19999999999999</x:v>
      </x:c>
      <x:c r="J259" s="14" t="n">
        <x:f>(D259-$H259)/$H259*100</x:f>
        <x:v>71.39999999999999</x:v>
      </x:c>
      <x:c r="K259" s="14" t="n">
        <x:f>(E259-$H259)/$H259*100</x:f>
        <x:v>60</x:v>
      </x:c>
      <x:c r="L259" s="14" t="n">
        <x:f>(F259-$H259)/$H259*100</x:f>
        <x:v>6.2</x:v>
      </x:c>
      <x:c r="M259" s="14" t="n">
        <x:f>(G259-$H259)/$H259*100</x:f>
        <x:v>0</x:v>
      </x:c>
      <x:c r="N259" s="12" t="str">
        <x:f>IF(C259=$H259,"YES","NO")</x:f>
        <x:v>NO</x:v>
      </x:c>
      <x:c r="O259" s="12" t="str">
        <x:f>IF(D259=$H259,"YES","NO")</x:f>
        <x:v>NO</x:v>
      </x:c>
      <x:c r="P259" s="12" t="str">
        <x:f>IF(E259=$H259,"YES","NO")</x:f>
        <x:v>NO</x:v>
      </x:c>
      <x:c r="Q259" s="12" t="str">
        <x:f>IF(F259=$H259,"YES","NO")</x:f>
        <x:v>NO</x:v>
      </x:c>
      <x:c r="R259" s="12" t="str">
        <x:f>IF(G259=$H259,"YES","NO")</x:f>
        <x:v>YES</x:v>
      </x:c>
    </x:row>
    <x:row r="260">
      <x:c r="A260" s="44" t="str">
        <x:v>bpps_d1000n200m10w200_300s100_200f0_seed0</x:v>
      </x:c>
      <x:c r="B260" s="12" t="n">
        <x:v>200</x:v>
      </x:c>
      <x:c r="C260" s="12" t="n">
        <x:v>81</x:v>
      </x:c>
      <x:c r="D260" s="12" t="n">
        <x:v>82</x:v>
      </x:c>
      <x:c r="E260" s="12" t="n">
        <x:v>81</x:v>
      </x:c>
      <x:c r="F260" s="12" t="n">
        <x:v>66</x:v>
      </x:c>
      <x:c r="G260" s="12" t="n">
        <x:v>66</x:v>
      </x:c>
      <x:c r="H260" s="12" t="n">
        <x:f>MIN(C260:G260)</x:f>
        <x:v>66</x:v>
      </x:c>
      <x:c r="I260" s="14" t="n">
        <x:f>(C260-$H260)/$H260*100</x:f>
        <x:v>22.727272727272727</x:v>
      </x:c>
      <x:c r="J260" s="14" t="n">
        <x:f>(D260-$H260)/$H260*100</x:f>
        <x:v>24.242424242424242</x:v>
      </x:c>
      <x:c r="K260" s="14" t="n">
        <x:f>(E260-$H260)/$H260*100</x:f>
        <x:v>22.727272727272727</x:v>
      </x:c>
      <x:c r="L260" s="14" t="n">
        <x:f>(F260-$H260)/$H260*100</x:f>
        <x:v>0</x:v>
      </x:c>
      <x:c r="M260" s="14" t="n">
        <x:f>(G260-$H260)/$H260*100</x:f>
        <x:v>0</x:v>
      </x:c>
      <x:c r="N260" s="12" t="str">
        <x:f>IF(C260=$H260,"YES","NO")</x:f>
        <x:v>NO</x:v>
      </x:c>
      <x:c r="O260" s="12" t="str">
        <x:f>IF(D260=$H260,"YES","NO")</x:f>
        <x:v>NO</x:v>
      </x:c>
      <x:c r="P260" s="12" t="str">
        <x:f>IF(E260=$H260,"YES","NO")</x:f>
        <x:v>NO</x:v>
      </x:c>
      <x:c r="Q260" s="12" t="str">
        <x:f>IF(F260=$H260,"YES","NO")</x:f>
        <x:v>YES</x:v>
      </x:c>
      <x:c r="R260" s="12" t="str">
        <x:f>IF(G260=$H260,"YES","NO")</x:f>
        <x:v>YES</x:v>
      </x:c>
    </x:row>
    <x:row r="261">
      <x:c r="A261" s="44" t="str">
        <x:v>bpps_d1000n200m10w200_300s100_200f1_seed0</x:v>
      </x:c>
      <x:c r="B261" s="12" t="n">
        <x:v>200</x:v>
      </x:c>
      <x:c r="C261" s="12" t="n">
        <x:v>1240</x:v>
      </x:c>
      <x:c r="D261" s="12" t="n">
        <x:v>1252</x:v>
      </x:c>
      <x:c r="E261" s="12" t="n">
        <x:v>1256</x:v>
      </x:c>
      <x:c r="F261" s="12" t="n">
        <x:v>888</x:v>
      </x:c>
      <x:c r="G261" s="12" t="n">
        <x:v>871</x:v>
      </x:c>
      <x:c r="H261" s="12" t="n">
        <x:f>MIN(C261:G261)</x:f>
        <x:v>871</x:v>
      </x:c>
      <x:c r="I261" s="14" t="n">
        <x:f>(C261-$H261)/$H261*100</x:f>
        <x:v>42.36509758897819</x:v>
      </x:c>
      <x:c r="J261" s="14" t="n">
        <x:f>(D261-$H261)/$H261*100</x:f>
        <x:v>43.74282433983927</x:v>
      </x:c>
      <x:c r="K261" s="14" t="n">
        <x:f>(E261-$H261)/$H261*100</x:f>
        <x:v>44.20206659012629</x:v>
      </x:c>
      <x:c r="L261" s="14" t="n">
        <x:f>(F261-$H261)/$H261*100</x:f>
        <x:v>1.951779563719862</x:v>
      </x:c>
      <x:c r="M261" s="14" t="n">
        <x:f>(G261-$H261)/$H261*100</x:f>
        <x:v>0</x:v>
      </x:c>
      <x:c r="N261" s="12" t="str">
        <x:f>IF(C261=$H261,"YES","NO")</x:f>
        <x:v>NO</x:v>
      </x:c>
      <x:c r="O261" s="12" t="str">
        <x:f>IF(D261=$H261,"YES","NO")</x:f>
        <x:v>NO</x:v>
      </x:c>
      <x:c r="P261" s="12" t="str">
        <x:f>IF(E261=$H261,"YES","NO")</x:f>
        <x:v>NO</x:v>
      </x:c>
      <x:c r="Q261" s="12" t="str">
        <x:f>IF(F261=$H261,"YES","NO")</x:f>
        <x:v>NO</x:v>
      </x:c>
      <x:c r="R261" s="12" t="str">
        <x:f>IF(G261=$H261,"YES","NO")</x:f>
        <x:v>YES</x:v>
      </x:c>
    </x:row>
    <x:row r="262">
      <x:c r="A262" s="44" t="str">
        <x:v>bpps_d1000n200m10w200_300s10_100f0_seed0</x:v>
      </x:c>
      <x:c r="B262" s="12" t="n">
        <x:v>200</x:v>
      </x:c>
      <x:c r="C262" s="12" t="n">
        <x:v>64</x:v>
      </x:c>
      <x:c r="D262" s="12" t="n">
        <x:v>63</x:v>
      </x:c>
      <x:c r="E262" s="12" t="n">
        <x:v>64</x:v>
      </x:c>
      <x:c r="F262" s="12" t="n">
        <x:v>60</x:v>
      </x:c>
      <x:c r="G262" s="12" t="n">
        <x:v>59</x:v>
      </x:c>
      <x:c r="H262" s="12" t="n">
        <x:f>MIN(C262:G262)</x:f>
        <x:v>59</x:v>
      </x:c>
      <x:c r="I262" s="14" t="n">
        <x:f>(C262-$H262)/$H262*100</x:f>
        <x:v>8.47457627118644</x:v>
      </x:c>
      <x:c r="J262" s="14" t="n">
        <x:f>(D262-$H262)/$H262*100</x:f>
        <x:v>6.779661016949152</x:v>
      </x:c>
      <x:c r="K262" s="14" t="n">
        <x:f>(E262-$H262)/$H262*100</x:f>
        <x:v>8.47457627118644</x:v>
      </x:c>
      <x:c r="L262" s="14" t="n">
        <x:f>(F262-$H262)/$H262*100</x:f>
        <x:v>1.694915254237288</x:v>
      </x:c>
      <x:c r="M262" s="14" t="n">
        <x:f>(G262-$H262)/$H262*100</x:f>
        <x:v>0</x:v>
      </x:c>
      <x:c r="N262" s="12" t="str">
        <x:f>IF(C262=$H262,"YES","NO")</x:f>
        <x:v>NO</x:v>
      </x:c>
      <x:c r="O262" s="12" t="str">
        <x:f>IF(D262=$H262,"YES","NO")</x:f>
        <x:v>NO</x:v>
      </x:c>
      <x:c r="P262" s="12" t="str">
        <x:f>IF(E262=$H262,"YES","NO")</x:f>
        <x:v>NO</x:v>
      </x:c>
      <x:c r="Q262" s="12" t="str">
        <x:f>IF(F262=$H262,"YES","NO")</x:f>
        <x:v>NO</x:v>
      </x:c>
      <x:c r="R262" s="12" t="str">
        <x:f>IF(G262=$H262,"YES","NO")</x:f>
        <x:v>YES</x:v>
      </x:c>
    </x:row>
    <x:row r="263">
      <x:c r="A263" s="44" t="str">
        <x:v>bpps_d1000n200m10w200_300s10_100f1_seed0</x:v>
      </x:c>
      <x:c r="B263" s="12" t="n">
        <x:v>200</x:v>
      </x:c>
      <x:c r="C263" s="12" t="n">
        <x:v>1202</x:v>
      </x:c>
      <x:c r="D263" s="12" t="n">
        <x:v>1203</x:v>
      </x:c>
      <x:c r="E263" s="12" t="n">
        <x:v>1180</x:v>
      </x:c>
      <x:c r="F263" s="12" t="n">
        <x:v>809</x:v>
      </x:c>
      <x:c r="G263" s="12" t="n">
        <x:v>760</x:v>
      </x:c>
      <x:c r="H263" s="12" t="n">
        <x:f>MIN(C263:G263)</x:f>
        <x:v>760</x:v>
      </x:c>
      <x:c r="I263" s="14" t="n">
        <x:f>(C263-$H263)/$H263*100</x:f>
        <x:v>58.15789473684211</x:v>
      </x:c>
      <x:c r="J263" s="14" t="n">
        <x:f>(D263-$H263)/$H263*100</x:f>
        <x:v>58.28947368421053</x:v>
      </x:c>
      <x:c r="K263" s="14" t="n">
        <x:f>(E263-$H263)/$H263*100</x:f>
        <x:v>55.26315789473685</x:v>
      </x:c>
      <x:c r="L263" s="14" t="n">
        <x:f>(F263-$H263)/$H263*100</x:f>
        <x:v>6.447368421052632</x:v>
      </x:c>
      <x:c r="M263" s="14" t="n">
        <x:f>(G263-$H263)/$H263*100</x:f>
        <x:v>0</x:v>
      </x:c>
      <x:c r="N263" s="12" t="str">
        <x:f>IF(C263=$H263,"YES","NO")</x:f>
        <x:v>NO</x:v>
      </x:c>
      <x:c r="O263" s="12" t="str">
        <x:f>IF(D263=$H263,"YES","NO")</x:f>
        <x:v>NO</x:v>
      </x:c>
      <x:c r="P263" s="12" t="str">
        <x:f>IF(E263=$H263,"YES","NO")</x:f>
        <x:v>NO</x:v>
      </x:c>
      <x:c r="Q263" s="12" t="str">
        <x:f>IF(F263=$H263,"YES","NO")</x:f>
        <x:v>NO</x:v>
      </x:c>
      <x:c r="R263" s="12" t="str">
        <x:f>IF(G263=$H263,"YES","NO")</x:f>
        <x:v>YES</x:v>
      </x:c>
    </x:row>
    <x:row r="264">
      <x:c r="A264" s="44" t="str">
        <x:v>bpps_d1000n200m10w200_300s10_200f0_seed0</x:v>
      </x:c>
      <x:c r="B264" s="12" t="n">
        <x:v>200</x:v>
      </x:c>
      <x:c r="C264" s="12" t="n">
        <x:v>73</x:v>
      </x:c>
      <x:c r="D264" s="12" t="n">
        <x:v>72</x:v>
      </x:c>
      <x:c r="E264" s="12" t="n">
        <x:v>73</x:v>
      </x:c>
      <x:c r="F264" s="12" t="n">
        <x:v>64</x:v>
      </x:c>
      <x:c r="G264" s="12" t="n">
        <x:v>64</x:v>
      </x:c>
      <x:c r="H264" s="12" t="n">
        <x:f>MIN(C264:G264)</x:f>
        <x:v>64</x:v>
      </x:c>
      <x:c r="I264" s="14" t="n">
        <x:f>(C264-$H264)/$H264*100</x:f>
        <x:v>14.0625</x:v>
      </x:c>
      <x:c r="J264" s="14" t="n">
        <x:f>(D264-$H264)/$H264*100</x:f>
        <x:v>12.5</x:v>
      </x:c>
      <x:c r="K264" s="14" t="n">
        <x:f>(E264-$H264)/$H264*100</x:f>
        <x:v>14.0625</x:v>
      </x:c>
      <x:c r="L264" s="14" t="n">
        <x:f>(F264-$H264)/$H264*100</x:f>
        <x:v>0</x:v>
      </x:c>
      <x:c r="M264" s="14" t="n">
        <x:f>(G264-$H264)/$H264*100</x:f>
        <x:v>0</x:v>
      </x:c>
      <x:c r="N264" s="12" t="str">
        <x:f>IF(C264=$H264,"YES","NO")</x:f>
        <x:v>NO</x:v>
      </x:c>
      <x:c r="O264" s="12" t="str">
        <x:f>IF(D264=$H264,"YES","NO")</x:f>
        <x:v>NO</x:v>
      </x:c>
      <x:c r="P264" s="12" t="str">
        <x:f>IF(E264=$H264,"YES","NO")</x:f>
        <x:v>NO</x:v>
      </x:c>
      <x:c r="Q264" s="12" t="str">
        <x:f>IF(F264=$H264,"YES","NO")</x:f>
        <x:v>YES</x:v>
      </x:c>
      <x:c r="R264" s="12" t="str">
        <x:f>IF(G264=$H264,"YES","NO")</x:f>
        <x:v>YES</x:v>
      </x:c>
    </x:row>
    <x:row r="265">
      <x:c r="A265" s="44" t="str">
        <x:v>bpps_d1000n200m10w200_300s10_200f1_seed0</x:v>
      </x:c>
      <x:c r="B265" s="12" t="n">
        <x:v>200</x:v>
      </x:c>
      <x:c r="C265" s="12" t="n">
        <x:v>1198</x:v>
      </x:c>
      <x:c r="D265" s="12" t="n">
        <x:v>1182</x:v>
      </x:c>
      <x:c r="E265" s="12" t="n">
        <x:v>1199</x:v>
      </x:c>
      <x:c r="F265" s="12" t="n">
        <x:v>838</x:v>
      </x:c>
      <x:c r="G265" s="12" t="n">
        <x:v>793</x:v>
      </x:c>
      <x:c r="H265" s="12" t="n">
        <x:f>MIN(C265:G265)</x:f>
        <x:v>793</x:v>
      </x:c>
      <x:c r="I265" s="14" t="n">
        <x:f>(C265-$H265)/$H265*100</x:f>
        <x:v>51.071878940731395</x:v>
      </x:c>
      <x:c r="J265" s="14" t="n">
        <x:f>(D265-$H265)/$H265*100</x:f>
        <x:v>49.05422446406053</x:v>
      </x:c>
      <x:c r="K265" s="14" t="n">
        <x:f>(E265-$H265)/$H265*100</x:f>
        <x:v>51.19798234552333</x:v>
      </x:c>
      <x:c r="L265" s="14" t="n">
        <x:f>(F265-$H265)/$H265*100</x:f>
        <x:v>5.674653215636822</x:v>
      </x:c>
      <x:c r="M265" s="14" t="n">
        <x:f>(G265-$H265)/$H265*100</x:f>
        <x:v>0</x:v>
      </x:c>
      <x:c r="N265" s="12" t="str">
        <x:f>IF(C265=$H265,"YES","NO")</x:f>
        <x:v>NO</x:v>
      </x:c>
      <x:c r="O265" s="12" t="str">
        <x:f>IF(D265=$H265,"YES","NO")</x:f>
        <x:v>NO</x:v>
      </x:c>
      <x:c r="P265" s="12" t="str">
        <x:f>IF(E265=$H265,"YES","NO")</x:f>
        <x:v>NO</x:v>
      </x:c>
      <x:c r="Q265" s="12" t="str">
        <x:f>IF(F265=$H265,"YES","NO")</x:f>
        <x:v>NO</x:v>
      </x:c>
      <x:c r="R265" s="12" t="str">
        <x:f>IF(G265=$H265,"YES","NO")</x:f>
        <x:v>YES</x:v>
      </x:c>
    </x:row>
    <x:row r="266">
      <x:c r="A266" s="44" t="str">
        <x:v>bpps_d1000n200m5w100_200s100_200f0_seed0</x:v>
      </x:c>
      <x:c r="B266" s="12" t="n">
        <x:v>200</x:v>
      </x:c>
      <x:c r="C266" s="12" t="n">
        <x:v>50</x:v>
      </x:c>
      <x:c r="D266" s="12" t="n">
        <x:v>49</x:v>
      </x:c>
      <x:c r="E266" s="12" t="n">
        <x:v>48</x:v>
      </x:c>
      <x:c r="F266" s="12" t="n">
        <x:v>40</x:v>
      </x:c>
      <x:c r="G266" s="12" t="n">
        <x:v>39</x:v>
      </x:c>
      <x:c r="H266" s="12" t="n">
        <x:f>MIN(C266:G266)</x:f>
        <x:v>39</x:v>
      </x:c>
      <x:c r="I266" s="14" t="n">
        <x:f>(C266-$H266)/$H266*100</x:f>
        <x:v>28.205128205128204</x:v>
      </x:c>
      <x:c r="J266" s="14" t="n">
        <x:f>(D266-$H266)/$H266*100</x:f>
        <x:v>25.64102564102564</x:v>
      </x:c>
      <x:c r="K266" s="14" t="n">
        <x:f>(E266-$H266)/$H266*100</x:f>
        <x:v>23.076923076923077</x:v>
      </x:c>
      <x:c r="L266" s="14" t="n">
        <x:f>(F266-$H266)/$H266*100</x:f>
        <x:v>2.564102564102564</x:v>
      </x:c>
      <x:c r="M266" s="14" t="n">
        <x:f>(G266-$H266)/$H266*100</x:f>
        <x:v>0</x:v>
      </x:c>
      <x:c r="N266" s="12" t="str">
        <x:f>IF(C266=$H266,"YES","NO")</x:f>
        <x:v>NO</x:v>
      </x:c>
      <x:c r="O266" s="12" t="str">
        <x:f>IF(D266=$H266,"YES","NO")</x:f>
        <x:v>NO</x:v>
      </x:c>
      <x:c r="P266" s="12" t="str">
        <x:f>IF(E266=$H266,"YES","NO")</x:f>
        <x:v>NO</x:v>
      </x:c>
      <x:c r="Q266" s="12" t="str">
        <x:f>IF(F266=$H266,"YES","NO")</x:f>
        <x:v>NO</x:v>
      </x:c>
      <x:c r="R266" s="12" t="str">
        <x:f>IF(G266=$H266,"YES","NO")</x:f>
        <x:v>YES</x:v>
      </x:c>
    </x:row>
    <x:row r="267">
      <x:c r="A267" s="44" t="str">
        <x:v>bpps_d1000n200m5w100_200s100_200f1_seed0</x:v>
      </x:c>
      <x:c r="B267" s="12" t="n">
        <x:v>200</x:v>
      </x:c>
      <x:c r="C267" s="12" t="n">
        <x:v>873</x:v>
      </x:c>
      <x:c r="D267" s="12" t="n">
        <x:v>865</x:v>
      </x:c>
      <x:c r="E267" s="12" t="n">
        <x:v>808</x:v>
      </x:c>
      <x:c r="F267" s="12" t="n">
        <x:v>522</x:v>
      </x:c>
      <x:c r="G267" s="12" t="n">
        <x:v>496</x:v>
      </x:c>
      <x:c r="H267" s="12" t="n">
        <x:f>MIN(C267:G267)</x:f>
        <x:v>496</x:v>
      </x:c>
      <x:c r="I267" s="14" t="n">
        <x:f>(C267-$H267)/$H267*100</x:f>
        <x:v>76.00806451612904</x:v>
      </x:c>
      <x:c r="J267" s="14" t="n">
        <x:f>(D267-$H267)/$H267*100</x:f>
        <x:v>74.39516129032258</x:v>
      </x:c>
      <x:c r="K267" s="14" t="n">
        <x:f>(E267-$H267)/$H267*100</x:f>
        <x:v>62.903225806451616</x:v>
      </x:c>
      <x:c r="L267" s="14" t="n">
        <x:f>(F267-$H267)/$H267*100</x:f>
        <x:v>5.241935483870968</x:v>
      </x:c>
      <x:c r="M267" s="14" t="n">
        <x:f>(G267-$H267)/$H267*100</x:f>
        <x:v>0</x:v>
      </x:c>
      <x:c r="N267" s="12" t="str">
        <x:f>IF(C267=$H267,"YES","NO")</x:f>
        <x:v>NO</x:v>
      </x:c>
      <x:c r="O267" s="12" t="str">
        <x:f>IF(D267=$H267,"YES","NO")</x:f>
        <x:v>NO</x:v>
      </x:c>
      <x:c r="P267" s="12" t="str">
        <x:f>IF(E267=$H267,"YES","NO")</x:f>
        <x:v>NO</x:v>
      </x:c>
      <x:c r="Q267" s="12" t="str">
        <x:f>IF(F267=$H267,"YES","NO")</x:f>
        <x:v>NO</x:v>
      </x:c>
      <x:c r="R267" s="12" t="str">
        <x:f>IF(G267=$H267,"YES","NO")</x:f>
        <x:v>YES</x:v>
      </x:c>
    </x:row>
    <x:row r="268">
      <x:c r="A268" s="44" t="str">
        <x:v>bpps_d1000n200m5w100_200s10_100f0_seed0</x:v>
      </x:c>
      <x:c r="B268" s="12" t="n">
        <x:v>200</x:v>
      </x:c>
      <x:c r="C268" s="12" t="n">
        <x:v>39</x:v>
      </x:c>
      <x:c r="D268" s="12" t="n">
        <x:v>39</x:v>
      </x:c>
      <x:c r="E268" s="12" t="n">
        <x:v>38</x:v>
      </x:c>
      <x:c r="F268" s="12" t="n">
        <x:v>35</x:v>
      </x:c>
      <x:c r="G268" s="12" t="n">
        <x:v>34</x:v>
      </x:c>
      <x:c r="H268" s="12" t="n">
        <x:f>MIN(C268:G268)</x:f>
        <x:v>34</x:v>
      </x:c>
      <x:c r="I268" s="14" t="n">
        <x:f>(C268-$H268)/$H268*100</x:f>
        <x:v>14.705882352941178</x:v>
      </x:c>
      <x:c r="J268" s="14" t="n">
        <x:f>(D268-$H268)/$H268*100</x:f>
        <x:v>14.705882352941178</x:v>
      </x:c>
      <x:c r="K268" s="14" t="n">
        <x:f>(E268-$H268)/$H268*100</x:f>
        <x:v>11.76470588235294</x:v>
      </x:c>
      <x:c r="L268" s="14" t="n">
        <x:f>(F268-$H268)/$H268*100</x:f>
        <x:v>2.941176470588235</x:v>
      </x:c>
      <x:c r="M268" s="14" t="n">
        <x:f>(G268-$H268)/$H268*100</x:f>
        <x:v>0</x:v>
      </x:c>
      <x:c r="N268" s="12" t="str">
        <x:f>IF(C268=$H268,"YES","NO")</x:f>
        <x:v>NO</x:v>
      </x:c>
      <x:c r="O268" s="12" t="str">
        <x:f>IF(D268=$H268,"YES","NO")</x:f>
        <x:v>NO</x:v>
      </x:c>
      <x:c r="P268" s="12" t="str">
        <x:f>IF(E268=$H268,"YES","NO")</x:f>
        <x:v>NO</x:v>
      </x:c>
      <x:c r="Q268" s="12" t="str">
        <x:f>IF(F268=$H268,"YES","NO")</x:f>
        <x:v>NO</x:v>
      </x:c>
      <x:c r="R268" s="12" t="str">
        <x:f>IF(G268=$H268,"YES","NO")</x:f>
        <x:v>YES</x:v>
      </x:c>
    </x:row>
    <x:row r="269">
      <x:c r="A269" s="44" t="str">
        <x:v>bpps_d1000n200m5w100_200s10_100f1_seed0</x:v>
      </x:c>
      <x:c r="B269" s="12" t="n">
        <x:v>200</x:v>
      </x:c>
      <x:c r="C269" s="12" t="n">
        <x:v>774</x:v>
      </x:c>
      <x:c r="D269" s="12" t="n">
        <x:v>771</x:v>
      </x:c>
      <x:c r="E269" s="12" t="n">
        <x:v>707</x:v>
      </x:c>
      <x:c r="F269" s="12" t="n">
        <x:v>480</x:v>
      </x:c>
      <x:c r="G269" s="12" t="n">
        <x:v>447</x:v>
      </x:c>
      <x:c r="H269" s="12" t="n">
        <x:f>MIN(C269:G269)</x:f>
        <x:v>447</x:v>
      </x:c>
      <x:c r="I269" s="14" t="n">
        <x:f>(C269-$H269)/$H269*100</x:f>
        <x:v>73.15436241610739</x:v>
      </x:c>
      <x:c r="J269" s="14" t="n">
        <x:f>(D269-$H269)/$H269*100</x:f>
        <x:v>72.48322147651007</x:v>
      </x:c>
      <x:c r="K269" s="14" t="n">
        <x:f>(E269-$H269)/$H269*100</x:f>
        <x:v>58.16554809843401</x:v>
      </x:c>
      <x:c r="L269" s="14" t="n">
        <x:f>(F269-$H269)/$H269*100</x:f>
        <x:v>7.38255033557047</x:v>
      </x:c>
      <x:c r="M269" s="14" t="n">
        <x:f>(G269-$H269)/$H269*100</x:f>
        <x:v>0</x:v>
      </x:c>
      <x:c r="N269" s="12" t="str">
        <x:f>IF(C269=$H269,"YES","NO")</x:f>
        <x:v>NO</x:v>
      </x:c>
      <x:c r="O269" s="12" t="str">
        <x:f>IF(D269=$H269,"YES","NO")</x:f>
        <x:v>NO</x:v>
      </x:c>
      <x:c r="P269" s="12" t="str">
        <x:f>IF(E269=$H269,"YES","NO")</x:f>
        <x:v>NO</x:v>
      </x:c>
      <x:c r="Q269" s="12" t="str">
        <x:f>IF(F269=$H269,"YES","NO")</x:f>
        <x:v>NO</x:v>
      </x:c>
      <x:c r="R269" s="12" t="str">
        <x:f>IF(G269=$H269,"YES","NO")</x:f>
        <x:v>YES</x:v>
      </x:c>
    </x:row>
    <x:row r="270">
      <x:c r="A270" s="44" t="str">
        <x:v>bpps_d1000n200m5w100_200s10_200f0_seed0</x:v>
      </x:c>
      <x:c r="B270" s="12" t="n">
        <x:v>200</x:v>
      </x:c>
      <x:c r="C270" s="12" t="n">
        <x:v>45</x:v>
      </x:c>
      <x:c r="D270" s="12" t="n">
        <x:v>45</x:v>
      </x:c>
      <x:c r="E270" s="12" t="n">
        <x:v>45</x:v>
      </x:c>
      <x:c r="F270" s="12" t="n">
        <x:v>38</x:v>
      </x:c>
      <x:c r="G270" s="12" t="n">
        <x:v>37</x:v>
      </x:c>
      <x:c r="H270" s="12" t="n">
        <x:f>MIN(C270:G270)</x:f>
        <x:v>37</x:v>
      </x:c>
      <x:c r="I270" s="14" t="n">
        <x:f>(C270-$H270)/$H270*100</x:f>
        <x:v>21.62162162162162</x:v>
      </x:c>
      <x:c r="J270" s="14" t="n">
        <x:f>(D270-$H270)/$H270*100</x:f>
        <x:v>21.62162162162162</x:v>
      </x:c>
      <x:c r="K270" s="14" t="n">
        <x:f>(E270-$H270)/$H270*100</x:f>
        <x:v>21.62162162162162</x:v>
      </x:c>
      <x:c r="L270" s="14" t="n">
        <x:f>(F270-$H270)/$H270*100</x:f>
        <x:v>2.7027027027027026</x:v>
      </x:c>
      <x:c r="M270" s="14" t="n">
        <x:f>(G270-$H270)/$H270*100</x:f>
        <x:v>0</x:v>
      </x:c>
      <x:c r="N270" s="12" t="str">
        <x:f>IF(C270=$H270,"YES","NO")</x:f>
        <x:v>NO</x:v>
      </x:c>
      <x:c r="O270" s="12" t="str">
        <x:f>IF(D270=$H270,"YES","NO")</x:f>
        <x:v>NO</x:v>
      </x:c>
      <x:c r="P270" s="12" t="str">
        <x:f>IF(E270=$H270,"YES","NO")</x:f>
        <x:v>NO</x:v>
      </x:c>
      <x:c r="Q270" s="12" t="str">
        <x:f>IF(F270=$H270,"YES","NO")</x:f>
        <x:v>NO</x:v>
      </x:c>
      <x:c r="R270" s="12" t="str">
        <x:f>IF(G270=$H270,"YES","NO")</x:f>
        <x:v>YES</x:v>
      </x:c>
    </x:row>
    <x:row r="271">
      <x:c r="A271" s="44" t="str">
        <x:v>bpps_d1000n200m5w100_200s10_200f1_seed0</x:v>
      </x:c>
      <x:c r="B271" s="12" t="n">
        <x:v>200</x:v>
      </x:c>
      <x:c r="C271" s="12" t="n">
        <x:v>842</x:v>
      </x:c>
      <x:c r="D271" s="12" t="n">
        <x:v>834</x:v>
      </x:c>
      <x:c r="E271" s="12" t="n">
        <x:v>802</x:v>
      </x:c>
      <x:c r="F271" s="12" t="n">
        <x:v>520</x:v>
      </x:c>
      <x:c r="G271" s="12" t="n">
        <x:v>481</x:v>
      </x:c>
      <x:c r="H271" s="12" t="n">
        <x:f>MIN(C271:G271)</x:f>
        <x:v>481</x:v>
      </x:c>
      <x:c r="I271" s="14" t="n">
        <x:f>(C271-$H271)/$H271*100</x:f>
        <x:v>75.05197505197505</x:v>
      </x:c>
      <x:c r="J271" s="14" t="n">
        <x:f>(D271-$H271)/$H271*100</x:f>
        <x:v>73.38877338877339</x:v>
      </x:c>
      <x:c r="K271" s="14" t="n">
        <x:f>(E271-$H271)/$H271*100</x:f>
        <x:v>66.73596673596674</x:v>
      </x:c>
      <x:c r="L271" s="14" t="n">
        <x:f>(F271-$H271)/$H271*100</x:f>
        <x:v>8.108108108108109</x:v>
      </x:c>
      <x:c r="M271" s="14" t="n">
        <x:f>(G271-$H271)/$H271*100</x:f>
        <x:v>0</x:v>
      </x:c>
      <x:c r="N271" s="12" t="str">
        <x:f>IF(C271=$H271,"YES","NO")</x:f>
        <x:v>NO</x:v>
      </x:c>
      <x:c r="O271" s="12" t="str">
        <x:f>IF(D271=$H271,"YES","NO")</x:f>
        <x:v>NO</x:v>
      </x:c>
      <x:c r="P271" s="12" t="str">
        <x:f>IF(E271=$H271,"YES","NO")</x:f>
        <x:v>NO</x:v>
      </x:c>
      <x:c r="Q271" s="12" t="str">
        <x:f>IF(F271=$H271,"YES","NO")</x:f>
        <x:v>NO</x:v>
      </x:c>
      <x:c r="R271" s="12" t="str">
        <x:f>IF(G271=$H271,"YES","NO")</x:f>
        <x:v>YES</x:v>
      </x:c>
    </x:row>
    <x:row r="272">
      <x:c r="A272" s="44" t="str">
        <x:v>bpps_d1000n200m5w10_100s100_200f0_seed0</x:v>
      </x:c>
      <x:c r="B272" s="12" t="n">
        <x:v>200</x:v>
      </x:c>
      <x:c r="C272" s="12" t="n">
        <x:v>22</x:v>
      </x:c>
      <x:c r="D272" s="12" t="n">
        <x:v>22</x:v>
      </x:c>
      <x:c r="E272" s="12" t="n">
        <x:v>19</x:v>
      </x:c>
      <x:c r="F272" s="12" t="n">
        <x:v>19</x:v>
      </x:c>
      <x:c r="G272" s="12" t="n">
        <x:v>16</x:v>
      </x:c>
      <x:c r="H272" s="12" t="n">
        <x:f>MIN(C272:G272)</x:f>
        <x:v>16</x:v>
      </x:c>
      <x:c r="I272" s="14" t="n">
        <x:f>(C272-$H272)/$H272*100</x:f>
        <x:v>37.5</x:v>
      </x:c>
      <x:c r="J272" s="14" t="n">
        <x:f>(D272-$H272)/$H272*100</x:f>
        <x:v>37.5</x:v>
      </x:c>
      <x:c r="K272" s="14" t="n">
        <x:f>(E272-$H272)/$H272*100</x:f>
        <x:v>18.75</x:v>
      </x:c>
      <x:c r="L272" s="14" t="n">
        <x:f>(F272-$H272)/$H272*100</x:f>
        <x:v>18.75</x:v>
      </x:c>
      <x:c r="M272" s="14" t="n">
        <x:f>(G272-$H272)/$H272*100</x:f>
        <x:v>0</x:v>
      </x:c>
      <x:c r="N272" s="12" t="str">
        <x:f>IF(C272=$H272,"YES","NO")</x:f>
        <x:v>NO</x:v>
      </x:c>
      <x:c r="O272" s="12" t="str">
        <x:f>IF(D272=$H272,"YES","NO")</x:f>
        <x:v>NO</x:v>
      </x:c>
      <x:c r="P272" s="12" t="str">
        <x:f>IF(E272=$H272,"YES","NO")</x:f>
        <x:v>NO</x:v>
      </x:c>
      <x:c r="Q272" s="12" t="str">
        <x:f>IF(F272=$H272,"YES","NO")</x:f>
        <x:v>NO</x:v>
      </x:c>
      <x:c r="R272" s="12" t="str">
        <x:f>IF(G272=$H272,"YES","NO")</x:f>
        <x:v>YES</x:v>
      </x:c>
    </x:row>
    <x:row r="273">
      <x:c r="A273" s="44" t="str">
        <x:v>bpps_d1000n200m5w10_100s100_200f1_seed0</x:v>
      </x:c>
      <x:c r="B273" s="12" t="n">
        <x:v>200</x:v>
      </x:c>
      <x:c r="C273" s="12" t="n">
        <x:v>461</x:v>
      </x:c>
      <x:c r="D273" s="12" t="n">
        <x:v>482</x:v>
      </x:c>
      <x:c r="E273" s="12" t="n">
        <x:v>404</x:v>
      </x:c>
      <x:c r="F273" s="12" t="n">
        <x:v>272</x:v>
      </x:c>
      <x:c r="G273" s="12" t="n">
        <x:v>225</x:v>
      </x:c>
      <x:c r="H273" s="12" t="n">
        <x:f>MIN(C273:G273)</x:f>
        <x:v>225</x:v>
      </x:c>
      <x:c r="I273" s="14" t="n">
        <x:f>(C273-$H273)/$H273*100</x:f>
        <x:v>104.8888888888889</x:v>
      </x:c>
      <x:c r="J273" s="14" t="n">
        <x:f>(D273-$H273)/$H273*100</x:f>
        <x:v>114.22222222222223</x:v>
      </x:c>
      <x:c r="K273" s="14" t="n">
        <x:f>(E273-$H273)/$H273*100</x:f>
        <x:v>79.55555555555556</x:v>
      </x:c>
      <x:c r="L273" s="14" t="n">
        <x:f>(F273-$H273)/$H273*100</x:f>
        <x:v>20.88888888888889</x:v>
      </x:c>
      <x:c r="M273" s="14" t="n">
        <x:f>(G273-$H273)/$H273*100</x:f>
        <x:v>0</x:v>
      </x:c>
      <x:c r="N273" s="12" t="str">
        <x:f>IF(C273=$H273,"YES","NO")</x:f>
        <x:v>NO</x:v>
      </x:c>
      <x:c r="O273" s="12" t="str">
        <x:f>IF(D273=$H273,"YES","NO")</x:f>
        <x:v>NO</x:v>
      </x:c>
      <x:c r="P273" s="12" t="str">
        <x:f>IF(E273=$H273,"YES","NO")</x:f>
        <x:v>NO</x:v>
      </x:c>
      <x:c r="Q273" s="12" t="str">
        <x:f>IF(F273=$H273,"YES","NO")</x:f>
        <x:v>NO</x:v>
      </x:c>
      <x:c r="R273" s="12" t="str">
        <x:f>IF(G273=$H273,"YES","NO")</x:f>
        <x:v>YES</x:v>
      </x:c>
    </x:row>
    <x:row r="274">
      <x:c r="A274" s="44" t="str">
        <x:v>bpps_d1000n200m5w10_100s10_100f0_seed0</x:v>
      </x:c>
      <x:c r="B274" s="12" t="n">
        <x:v>200</x:v>
      </x:c>
      <x:c r="C274" s="12" t="n">
        <x:v>14</x:v>
      </x:c>
      <x:c r="D274" s="12" t="n">
        <x:v>14</x:v>
      </x:c>
      <x:c r="E274" s="12" t="n">
        <x:v>14</x:v>
      </x:c>
      <x:c r="F274" s="12" t="n">
        <x:v>19</x:v>
      </x:c>
      <x:c r="G274" s="12" t="n">
        <x:v>13</x:v>
      </x:c>
      <x:c r="H274" s="12" t="n">
        <x:f>MIN(C274:G274)</x:f>
        <x:v>13</x:v>
      </x:c>
      <x:c r="I274" s="14" t="n">
        <x:f>(C274-$H274)/$H274*100</x:f>
        <x:v>7.6923076923076925</x:v>
      </x:c>
      <x:c r="J274" s="14" t="n">
        <x:f>(D274-$H274)/$H274*100</x:f>
        <x:v>7.6923076923076925</x:v>
      </x:c>
      <x:c r="K274" s="14" t="n">
        <x:f>(E274-$H274)/$H274*100</x:f>
        <x:v>7.6923076923076925</x:v>
      </x:c>
      <x:c r="L274" s="14" t="n">
        <x:f>(F274-$H274)/$H274*100</x:f>
        <x:v>46.15384615384615</x:v>
      </x:c>
      <x:c r="M274" s="14" t="n">
        <x:f>(G274-$H274)/$H274*100</x:f>
        <x:v>0</x:v>
      </x:c>
      <x:c r="N274" s="12" t="str">
        <x:f>IF(C274=$H274,"YES","NO")</x:f>
        <x:v>NO</x:v>
      </x:c>
      <x:c r="O274" s="12" t="str">
        <x:f>IF(D274=$H274,"YES","NO")</x:f>
        <x:v>NO</x:v>
      </x:c>
      <x:c r="P274" s="12" t="str">
        <x:f>IF(E274=$H274,"YES","NO")</x:f>
        <x:v>NO</x:v>
      </x:c>
      <x:c r="Q274" s="12" t="str">
        <x:f>IF(F274=$H274,"YES","NO")</x:f>
        <x:v>NO</x:v>
      </x:c>
      <x:c r="R274" s="12" t="str">
        <x:f>IF(G274=$H274,"YES","NO")</x:f>
        <x:v>YES</x:v>
      </x:c>
    </x:row>
    <x:row r="275">
      <x:c r="A275" s="44" t="str">
        <x:v>bpps_d1000n200m5w10_100s10_100f1_seed0</x:v>
      </x:c>
      <x:c r="B275" s="12" t="n">
        <x:v>200</x:v>
      </x:c>
      <x:c r="C275" s="12" t="n">
        <x:v>356</x:v>
      </x:c>
      <x:c r="D275" s="12" t="n">
        <x:v>379</x:v>
      </x:c>
      <x:c r="E275" s="12" t="n">
        <x:v>325</x:v>
      </x:c>
      <x:c r="F275" s="12" t="n">
        <x:v>277</x:v>
      </x:c>
      <x:c r="G275" s="12" t="n">
        <x:v>215</x:v>
      </x:c>
      <x:c r="H275" s="12" t="n">
        <x:f>MIN(C275:G275)</x:f>
        <x:v>215</x:v>
      </x:c>
      <x:c r="I275" s="14" t="n">
        <x:f>(C275-$H275)/$H275*100</x:f>
        <x:v>65.58139534883722</x:v>
      </x:c>
      <x:c r="J275" s="14" t="n">
        <x:f>(D275-$H275)/$H275*100</x:f>
        <x:v>76.27906976744187</x:v>
      </x:c>
      <x:c r="K275" s="14" t="n">
        <x:f>(E275-$H275)/$H275*100</x:f>
        <x:v>51.162790697674424</x:v>
      </x:c>
      <x:c r="L275" s="14" t="n">
        <x:f>(F275-$H275)/$H275*100</x:f>
        <x:v>28.837209302325583</x:v>
      </x:c>
      <x:c r="M275" s="14" t="n">
        <x:f>(G275-$H275)/$H275*100</x:f>
        <x:v>0</x:v>
      </x:c>
      <x:c r="N275" s="12" t="str">
        <x:f>IF(C275=$H275,"YES","NO")</x:f>
        <x:v>NO</x:v>
      </x:c>
      <x:c r="O275" s="12" t="str">
        <x:f>IF(D275=$H275,"YES","NO")</x:f>
        <x:v>NO</x:v>
      </x:c>
      <x:c r="P275" s="12" t="str">
        <x:f>IF(E275=$H275,"YES","NO")</x:f>
        <x:v>NO</x:v>
      </x:c>
      <x:c r="Q275" s="12" t="str">
        <x:f>IF(F275=$H275,"YES","NO")</x:f>
        <x:v>NO</x:v>
      </x:c>
      <x:c r="R275" s="12" t="str">
        <x:f>IF(G275=$H275,"YES","NO")</x:f>
        <x:v>YES</x:v>
      </x:c>
    </x:row>
    <x:row r="276">
      <x:c r="A276" s="44" t="str">
        <x:v>bpps_d1000n200m5w10_100s10_200f0_seed0</x:v>
      </x:c>
      <x:c r="B276" s="12" t="n">
        <x:v>200</x:v>
      </x:c>
      <x:c r="C276" s="12" t="n">
        <x:v>15</x:v>
      </x:c>
      <x:c r="D276" s="12" t="n">
        <x:v>15</x:v>
      </x:c>
      <x:c r="E276" s="12" t="n">
        <x:v>15</x:v>
      </x:c>
      <x:c r="F276" s="12" t="n">
        <x:v>19</x:v>
      </x:c>
      <x:c r="G276" s="12" t="n">
        <x:v>13</x:v>
      </x:c>
      <x:c r="H276" s="12" t="n">
        <x:f>MIN(C276:G276)</x:f>
        <x:v>13</x:v>
      </x:c>
      <x:c r="I276" s="14" t="n">
        <x:f>(C276-$H276)/$H276*100</x:f>
        <x:v>15.384615384615385</x:v>
      </x:c>
      <x:c r="J276" s="14" t="n">
        <x:f>(D276-$H276)/$H276*100</x:f>
        <x:v>15.384615384615385</x:v>
      </x:c>
      <x:c r="K276" s="14" t="n">
        <x:f>(E276-$H276)/$H276*100</x:f>
        <x:v>15.384615384615385</x:v>
      </x:c>
      <x:c r="L276" s="14" t="n">
        <x:f>(F276-$H276)/$H276*100</x:f>
        <x:v>46.15384615384615</x:v>
      </x:c>
      <x:c r="M276" s="14" t="n">
        <x:f>(G276-$H276)/$H276*100</x:f>
        <x:v>0</x:v>
      </x:c>
      <x:c r="N276" s="12" t="str">
        <x:f>IF(C276=$H276,"YES","NO")</x:f>
        <x:v>NO</x:v>
      </x:c>
      <x:c r="O276" s="12" t="str">
        <x:f>IF(D276=$H276,"YES","NO")</x:f>
        <x:v>NO</x:v>
      </x:c>
      <x:c r="P276" s="12" t="str">
        <x:f>IF(E276=$H276,"YES","NO")</x:f>
        <x:v>NO</x:v>
      </x:c>
      <x:c r="Q276" s="12" t="str">
        <x:f>IF(F276=$H276,"YES","NO")</x:f>
        <x:v>NO</x:v>
      </x:c>
      <x:c r="R276" s="12" t="str">
        <x:f>IF(G276=$H276,"YES","NO")</x:f>
        <x:v>YES</x:v>
      </x:c>
    </x:row>
    <x:row r="277">
      <x:c r="A277" s="44" t="str">
        <x:v>bpps_d1000n200m5w10_100s10_200f1_seed0</x:v>
      </x:c>
      <x:c r="B277" s="12" t="n">
        <x:v>200</x:v>
      </x:c>
      <x:c r="C277" s="12" t="n">
        <x:v>411</x:v>
      </x:c>
      <x:c r="D277" s="12" t="n">
        <x:v>424</x:v>
      </x:c>
      <x:c r="E277" s="12" t="n">
        <x:v>363</x:v>
      </x:c>
      <x:c r="F277" s="12" t="n">
        <x:v>267</x:v>
      </x:c>
      <x:c r="G277" s="12" t="n">
        <x:v>220</x:v>
      </x:c>
      <x:c r="H277" s="12" t="n">
        <x:f>MIN(C277:G277)</x:f>
        <x:v>220</x:v>
      </x:c>
      <x:c r="I277" s="14" t="n">
        <x:f>(C277-$H277)/$H277*100</x:f>
        <x:v>86.81818181818181</x:v>
      </x:c>
      <x:c r="J277" s="14" t="n">
        <x:f>(D277-$H277)/$H277*100</x:f>
        <x:v>92.72727272727272</x:v>
      </x:c>
      <x:c r="K277" s="14" t="n">
        <x:f>(E277-$H277)/$H277*100</x:f>
        <x:v>65</x:v>
      </x:c>
      <x:c r="L277" s="14" t="n">
        <x:f>(F277-$H277)/$H277*100</x:f>
        <x:v>21.363636363636363</x:v>
      </x:c>
      <x:c r="M277" s="14" t="n">
        <x:f>(G277-$H277)/$H277*100</x:f>
        <x:v>0</x:v>
      </x:c>
      <x:c r="N277" s="12" t="str">
        <x:f>IF(C277=$H277,"YES","NO")</x:f>
        <x:v>NO</x:v>
      </x:c>
      <x:c r="O277" s="12" t="str">
        <x:f>IF(D277=$H277,"YES","NO")</x:f>
        <x:v>NO</x:v>
      </x:c>
      <x:c r="P277" s="12" t="str">
        <x:f>IF(E277=$H277,"YES","NO")</x:f>
        <x:v>NO</x:v>
      </x:c>
      <x:c r="Q277" s="12" t="str">
        <x:f>IF(F277=$H277,"YES","NO")</x:f>
        <x:v>NO</x:v>
      </x:c>
      <x:c r="R277" s="12" t="str">
        <x:f>IF(G277=$H277,"YES","NO")</x:f>
        <x:v>YES</x:v>
      </x:c>
    </x:row>
    <x:row r="278">
      <x:c r="A278" s="44" t="str">
        <x:v>bpps_d1000n200m5w10_300s100_200f0_seed0</x:v>
      </x:c>
      <x:c r="B278" s="12" t="n">
        <x:v>200</x:v>
      </x:c>
      <x:c r="C278" s="12" t="n">
        <x:v>45</x:v>
      </x:c>
      <x:c r="D278" s="12" t="n">
        <x:v>45</x:v>
      </x:c>
      <x:c r="E278" s="12" t="n">
        <x:v>44</x:v>
      </x:c>
      <x:c r="F278" s="12" t="n">
        <x:v>38</x:v>
      </x:c>
      <x:c r="G278" s="12" t="n">
        <x:v>38</x:v>
      </x:c>
      <x:c r="H278" s="12" t="n">
        <x:f>MIN(C278:G278)</x:f>
        <x:v>38</x:v>
      </x:c>
      <x:c r="I278" s="14" t="n">
        <x:f>(C278-$H278)/$H278*100</x:f>
        <x:v>18.421052631578945</x:v>
      </x:c>
      <x:c r="J278" s="14" t="n">
        <x:f>(D278-$H278)/$H278*100</x:f>
        <x:v>18.421052631578945</x:v>
      </x:c>
      <x:c r="K278" s="14" t="n">
        <x:f>(E278-$H278)/$H278*100</x:f>
        <x:v>15.789473684210526</x:v>
      </x:c>
      <x:c r="L278" s="14" t="n">
        <x:f>(F278-$H278)/$H278*100</x:f>
        <x:v>0</x:v>
      </x:c>
      <x:c r="M278" s="14" t="n">
        <x:f>(G278-$H278)/$H278*100</x:f>
        <x:v>0</x:v>
      </x:c>
      <x:c r="N278" s="12" t="str">
        <x:f>IF(C278=$H278,"YES","NO")</x:f>
        <x:v>NO</x:v>
      </x:c>
      <x:c r="O278" s="12" t="str">
        <x:f>IF(D278=$H278,"YES","NO")</x:f>
        <x:v>NO</x:v>
      </x:c>
      <x:c r="P278" s="12" t="str">
        <x:f>IF(E278=$H278,"YES","NO")</x:f>
        <x:v>NO</x:v>
      </x:c>
      <x:c r="Q278" s="12" t="str">
        <x:f>IF(F278=$H278,"YES","NO")</x:f>
        <x:v>YES</x:v>
      </x:c>
      <x:c r="R278" s="12" t="str">
        <x:f>IF(G278=$H278,"YES","NO")</x:f>
        <x:v>YES</x:v>
      </x:c>
    </x:row>
    <x:row r="279">
      <x:c r="A279" s="44" t="str">
        <x:v>bpps_d1000n200m5w10_300s100_200f1_seed0</x:v>
      </x:c>
      <x:c r="B279" s="12" t="n">
        <x:v>200</x:v>
      </x:c>
      <x:c r="C279" s="12" t="n">
        <x:v>742</x:v>
      </x:c>
      <x:c r="D279" s="12" t="n">
        <x:v>743</x:v>
      </x:c>
      <x:c r="E279" s="12" t="n">
        <x:v>733</x:v>
      </x:c>
      <x:c r="F279" s="12" t="n">
        <x:v>526</x:v>
      </x:c>
      <x:c r="G279" s="12" t="n">
        <x:v>494</x:v>
      </x:c>
      <x:c r="H279" s="12" t="n">
        <x:f>MIN(C279:G279)</x:f>
        <x:v>494</x:v>
      </x:c>
      <x:c r="I279" s="14" t="n">
        <x:f>(C279-$H279)/$H279*100</x:f>
        <x:v>50.20242914979757</x:v>
      </x:c>
      <x:c r="J279" s="14" t="n">
        <x:f>(D279-$H279)/$H279*100</x:f>
        <x:v>50.40485829959515</x:v>
      </x:c>
      <x:c r="K279" s="14" t="n">
        <x:f>(E279-$H279)/$H279*100</x:f>
        <x:v>48.38056680161944</x:v>
      </x:c>
      <x:c r="L279" s="14" t="n">
        <x:f>(F279-$H279)/$H279*100</x:f>
        <x:v>6.477732793522267</x:v>
      </x:c>
      <x:c r="M279" s="14" t="n">
        <x:f>(G279-$H279)/$H279*100</x:f>
        <x:v>0</x:v>
      </x:c>
      <x:c r="N279" s="12" t="str">
        <x:f>IF(C279=$H279,"YES","NO")</x:f>
        <x:v>NO</x:v>
      </x:c>
      <x:c r="O279" s="12" t="str">
        <x:f>IF(D279=$H279,"YES","NO")</x:f>
        <x:v>NO</x:v>
      </x:c>
      <x:c r="P279" s="12" t="str">
        <x:f>IF(E279=$H279,"YES","NO")</x:f>
        <x:v>NO</x:v>
      </x:c>
      <x:c r="Q279" s="12" t="str">
        <x:f>IF(F279=$H279,"YES","NO")</x:f>
        <x:v>NO</x:v>
      </x:c>
      <x:c r="R279" s="12" t="str">
        <x:f>IF(G279=$H279,"YES","NO")</x:f>
        <x:v>YES</x:v>
      </x:c>
    </x:row>
    <x:row r="280">
      <x:c r="A280" s="44" t="str">
        <x:v>bpps_d1000n200m5w10_300s10_100f0_seed0</x:v>
      </x:c>
      <x:c r="B280" s="12" t="n">
        <x:v>200</x:v>
      </x:c>
      <x:c r="C280" s="12" t="n">
        <x:v>37</x:v>
      </x:c>
      <x:c r="D280" s="12" t="n">
        <x:v>37</x:v>
      </x:c>
      <x:c r="E280" s="12" t="n">
        <x:v>37</x:v>
      </x:c>
      <x:c r="F280" s="12" t="n">
        <x:v>36</x:v>
      </x:c>
      <x:c r="G280" s="12" t="n">
        <x:v>33</x:v>
      </x:c>
      <x:c r="H280" s="12" t="n">
        <x:f>MIN(C280:G280)</x:f>
        <x:v>33</x:v>
      </x:c>
      <x:c r="I280" s="14" t="n">
        <x:f>(C280-$H280)/$H280*100</x:f>
        <x:v>12.121212121212121</x:v>
      </x:c>
      <x:c r="J280" s="14" t="n">
        <x:f>(D280-$H280)/$H280*100</x:f>
        <x:v>12.121212121212121</x:v>
      </x:c>
      <x:c r="K280" s="14" t="n">
        <x:f>(E280-$H280)/$H280*100</x:f>
        <x:v>12.121212121212121</x:v>
      </x:c>
      <x:c r="L280" s="14" t="n">
        <x:f>(F280-$H280)/$H280*100</x:f>
        <x:v>9.090909090909092</x:v>
      </x:c>
      <x:c r="M280" s="14" t="n">
        <x:f>(G280-$H280)/$H280*100</x:f>
        <x:v>0</x:v>
      </x:c>
      <x:c r="N280" s="12" t="str">
        <x:f>IF(C280=$H280,"YES","NO")</x:f>
        <x:v>NO</x:v>
      </x:c>
      <x:c r="O280" s="12" t="str">
        <x:f>IF(D280=$H280,"YES","NO")</x:f>
        <x:v>NO</x:v>
      </x:c>
      <x:c r="P280" s="12" t="str">
        <x:f>IF(E280=$H280,"YES","NO")</x:f>
        <x:v>NO</x:v>
      </x:c>
      <x:c r="Q280" s="12" t="str">
        <x:f>IF(F280=$H280,"YES","NO")</x:f>
        <x:v>NO</x:v>
      </x:c>
      <x:c r="R280" s="12" t="str">
        <x:f>IF(G280=$H280,"YES","NO")</x:f>
        <x:v>YES</x:v>
      </x:c>
    </x:row>
    <x:row r="281">
      <x:c r="A281" s="44" t="str">
        <x:v>bpps_d1000n200m5w10_300s10_100f1_seed0</x:v>
      </x:c>
      <x:c r="B281" s="12" t="n">
        <x:v>200</x:v>
      </x:c>
      <x:c r="C281" s="12" t="n">
        <x:v>670</x:v>
      </x:c>
      <x:c r="D281" s="12" t="n">
        <x:v>669</x:v>
      </x:c>
      <x:c r="E281" s="12" t="n">
        <x:v>659</x:v>
      </x:c>
      <x:c r="F281" s="12" t="n">
        <x:v>505</x:v>
      </x:c>
      <x:c r="G281" s="12" t="n">
        <x:v>448</x:v>
      </x:c>
      <x:c r="H281" s="12" t="n">
        <x:f>MIN(C281:G281)</x:f>
        <x:v>448</x:v>
      </x:c>
      <x:c r="I281" s="14" t="n">
        <x:f>(C281-$H281)/$H281*100</x:f>
        <x:v>49.55357142857143</x:v>
      </x:c>
      <x:c r="J281" s="14" t="n">
        <x:f>(D281-$H281)/$H281*100</x:f>
        <x:v>49.330357142857146</x:v>
      </x:c>
      <x:c r="K281" s="14" t="n">
        <x:f>(E281-$H281)/$H281*100</x:f>
        <x:v>47.098214285714285</x:v>
      </x:c>
      <x:c r="L281" s="14" t="n">
        <x:f>(F281-$H281)/$H281*100</x:f>
        <x:v>12.723214285714285</x:v>
      </x:c>
      <x:c r="M281" s="14" t="n">
        <x:f>(G281-$H281)/$H281*100</x:f>
        <x:v>0</x:v>
      </x:c>
      <x:c r="N281" s="12" t="str">
        <x:f>IF(C281=$H281,"YES","NO")</x:f>
        <x:v>NO</x:v>
      </x:c>
      <x:c r="O281" s="12" t="str">
        <x:f>IF(D281=$H281,"YES","NO")</x:f>
        <x:v>NO</x:v>
      </x:c>
      <x:c r="P281" s="12" t="str">
        <x:f>IF(E281=$H281,"YES","NO")</x:f>
        <x:v>NO</x:v>
      </x:c>
      <x:c r="Q281" s="12" t="str">
        <x:f>IF(F281=$H281,"YES","NO")</x:f>
        <x:v>NO</x:v>
      </x:c>
      <x:c r="R281" s="12" t="str">
        <x:f>IF(G281=$H281,"YES","NO")</x:f>
        <x:v>YES</x:v>
      </x:c>
    </x:row>
    <x:row r="282">
      <x:c r="A282" s="44" t="str">
        <x:v>bpps_d1000n200m5w10_300s10_200f0_seed0</x:v>
      </x:c>
      <x:c r="B282" s="12" t="n">
        <x:v>200</x:v>
      </x:c>
      <x:c r="C282" s="12" t="n">
        <x:v>42</x:v>
      </x:c>
      <x:c r="D282" s="12" t="n">
        <x:v>42</x:v>
      </x:c>
      <x:c r="E282" s="12" t="n">
        <x:v>42</x:v>
      </x:c>
      <x:c r="F282" s="12" t="n">
        <x:v>38</x:v>
      </x:c>
      <x:c r="G282" s="12" t="n">
        <x:v>36</x:v>
      </x:c>
      <x:c r="H282" s="12" t="n">
        <x:f>MIN(C282:G282)</x:f>
        <x:v>36</x:v>
      </x:c>
      <x:c r="I282" s="14" t="n">
        <x:f>(C282-$H282)/$H282*100</x:f>
        <x:v>16.666666666666664</x:v>
      </x:c>
      <x:c r="J282" s="14" t="n">
        <x:f>(D282-$H282)/$H282*100</x:f>
        <x:v>16.666666666666664</x:v>
      </x:c>
      <x:c r="K282" s="14" t="n">
        <x:f>(E282-$H282)/$H282*100</x:f>
        <x:v>16.666666666666664</x:v>
      </x:c>
      <x:c r="L282" s="14" t="n">
        <x:f>(F282-$H282)/$H282*100</x:f>
        <x:v>5.555555555555555</x:v>
      </x:c>
      <x:c r="M282" s="14" t="n">
        <x:f>(G282-$H282)/$H282*100</x:f>
        <x:v>0</x:v>
      </x:c>
      <x:c r="N282" s="12" t="str">
        <x:f>IF(C282=$H282,"YES","NO")</x:f>
        <x:v>NO</x:v>
      </x:c>
      <x:c r="O282" s="12" t="str">
        <x:f>IF(D282=$H282,"YES","NO")</x:f>
        <x:v>NO</x:v>
      </x:c>
      <x:c r="P282" s="12" t="str">
        <x:f>IF(E282=$H282,"YES","NO")</x:f>
        <x:v>NO</x:v>
      </x:c>
      <x:c r="Q282" s="12" t="str">
        <x:f>IF(F282=$H282,"YES","NO")</x:f>
        <x:v>NO</x:v>
      </x:c>
      <x:c r="R282" s="12" t="str">
        <x:f>IF(G282=$H282,"YES","NO")</x:f>
        <x:v>YES</x:v>
      </x:c>
    </x:row>
    <x:row r="283">
      <x:c r="A283" s="44" t="str">
        <x:v>bpps_d1000n200m5w10_300s10_200f1_seed0</x:v>
      </x:c>
      <x:c r="B283" s="12" t="n">
        <x:v>200</x:v>
      </x:c>
      <x:c r="C283" s="12" t="n">
        <x:v>741</x:v>
      </x:c>
      <x:c r="D283" s="12" t="n">
        <x:v>756</x:v>
      </x:c>
      <x:c r="E283" s="12" t="n">
        <x:v>669</x:v>
      </x:c>
      <x:c r="F283" s="12" t="n">
        <x:v>520</x:v>
      </x:c>
      <x:c r="G283" s="12" t="n">
        <x:v>483</x:v>
      </x:c>
      <x:c r="H283" s="12" t="n">
        <x:f>MIN(C283:G283)</x:f>
        <x:v>483</x:v>
      </x:c>
      <x:c r="I283" s="14" t="n">
        <x:f>(C283-$H283)/$H283*100</x:f>
        <x:v>53.41614906832298</x:v>
      </x:c>
      <x:c r="J283" s="14" t="n">
        <x:f>(D283-$H283)/$H283*100</x:f>
        <x:v>56.52173913043478</x:v>
      </x:c>
      <x:c r="K283" s="14" t="n">
        <x:f>(E283-$H283)/$H283*100</x:f>
        <x:v>38.50931677018634</x:v>
      </x:c>
      <x:c r="L283" s="14" t="n">
        <x:f>(F283-$H283)/$H283*100</x:f>
        <x:v>7.6604554865424435</x:v>
      </x:c>
      <x:c r="M283" s="14" t="n">
        <x:f>(G283-$H283)/$H283*100</x:f>
        <x:v>0</x:v>
      </x:c>
      <x:c r="N283" s="12" t="str">
        <x:f>IF(C283=$H283,"YES","NO")</x:f>
        <x:v>NO</x:v>
      </x:c>
      <x:c r="O283" s="12" t="str">
        <x:f>IF(D283=$H283,"YES","NO")</x:f>
        <x:v>NO</x:v>
      </x:c>
      <x:c r="P283" s="12" t="str">
        <x:f>IF(E283=$H283,"YES","NO")</x:f>
        <x:v>NO</x:v>
      </x:c>
      <x:c r="Q283" s="12" t="str">
        <x:f>IF(F283=$H283,"YES","NO")</x:f>
        <x:v>NO</x:v>
      </x:c>
      <x:c r="R283" s="12" t="str">
        <x:f>IF(G283=$H283,"YES","NO")</x:f>
        <x:v>YES</x:v>
      </x:c>
    </x:row>
    <x:row r="284">
      <x:c r="A284" s="44" t="str">
        <x:v>bpps_d1000n200m5w200_300s100_200f0_seed0</x:v>
      </x:c>
      <x:c r="B284" s="12" t="n">
        <x:v>200</x:v>
      </x:c>
      <x:c r="C284" s="12" t="n">
        <x:v>80</x:v>
      </x:c>
      <x:c r="D284" s="12" t="n">
        <x:v>80</x:v>
      </x:c>
      <x:c r="E284" s="12" t="n">
        <x:v>80</x:v>
      </x:c>
      <x:c r="F284" s="12" t="n">
        <x:v>66</x:v>
      </x:c>
      <x:c r="G284" s="12" t="n">
        <x:v>65</x:v>
      </x:c>
      <x:c r="H284" s="12" t="n">
        <x:f>MIN(C284:G284)</x:f>
        <x:v>65</x:v>
      </x:c>
      <x:c r="I284" s="14" t="n">
        <x:f>(C284-$H284)/$H284*100</x:f>
        <x:v>23.076923076923077</x:v>
      </x:c>
      <x:c r="J284" s="14" t="n">
        <x:f>(D284-$H284)/$H284*100</x:f>
        <x:v>23.076923076923077</x:v>
      </x:c>
      <x:c r="K284" s="14" t="n">
        <x:f>(E284-$H284)/$H284*100</x:f>
        <x:v>23.076923076923077</x:v>
      </x:c>
      <x:c r="L284" s="14" t="n">
        <x:f>(F284-$H284)/$H284*100</x:f>
        <x:v>1.5384615384615385</x:v>
      </x:c>
      <x:c r="M284" s="14" t="n">
        <x:f>(G284-$H284)/$H284*100</x:f>
        <x:v>0</x:v>
      </x:c>
      <x:c r="N284" s="12" t="str">
        <x:f>IF(C284=$H284,"YES","NO")</x:f>
        <x:v>NO</x:v>
      </x:c>
      <x:c r="O284" s="12" t="str">
        <x:f>IF(D284=$H284,"YES","NO")</x:f>
        <x:v>NO</x:v>
      </x:c>
      <x:c r="P284" s="12" t="str">
        <x:f>IF(E284=$H284,"YES","NO")</x:f>
        <x:v>NO</x:v>
      </x:c>
      <x:c r="Q284" s="12" t="str">
        <x:f>IF(F284=$H284,"YES","NO")</x:f>
        <x:v>NO</x:v>
      </x:c>
      <x:c r="R284" s="12" t="str">
        <x:f>IF(G284=$H284,"YES","NO")</x:f>
        <x:v>YES</x:v>
      </x:c>
    </x:row>
    <x:row r="285">
      <x:c r="A285" s="44" t="str">
        <x:v>bpps_d1000n200m5w200_300s100_200f1_seed0</x:v>
      </x:c>
      <x:c r="B285" s="12" t="n">
        <x:v>200</x:v>
      </x:c>
      <x:c r="C285" s="12" t="n">
        <x:v>1247</x:v>
      </x:c>
      <x:c r="D285" s="12" t="n">
        <x:v>1253</x:v>
      </x:c>
      <x:c r="E285" s="12" t="n">
        <x:v>1236</x:v>
      </x:c>
      <x:c r="F285" s="12" t="n">
        <x:v>888</x:v>
      </x:c>
      <x:c r="G285" s="12" t="n">
        <x:v>860</x:v>
      </x:c>
      <x:c r="H285" s="12" t="n">
        <x:f>MIN(C285:G285)</x:f>
        <x:v>860</x:v>
      </x:c>
      <x:c r="I285" s="14" t="n">
        <x:f>(C285-$H285)/$H285*100</x:f>
        <x:v>45</x:v>
      </x:c>
      <x:c r="J285" s="14" t="n">
        <x:f>(D285-$H285)/$H285*100</x:f>
        <x:v>45.69767441860465</x:v>
      </x:c>
      <x:c r="K285" s="14" t="n">
        <x:f>(E285-$H285)/$H285*100</x:f>
        <x:v>43.72093023255814</x:v>
      </x:c>
      <x:c r="L285" s="14" t="n">
        <x:f>(F285-$H285)/$H285*100</x:f>
        <x:v>3.255813953488372</x:v>
      </x:c>
      <x:c r="M285" s="14" t="n">
        <x:f>(G285-$H285)/$H285*100</x:f>
        <x:v>0</x:v>
      </x:c>
      <x:c r="N285" s="12" t="str">
        <x:f>IF(C285=$H285,"YES","NO")</x:f>
        <x:v>NO</x:v>
      </x:c>
      <x:c r="O285" s="12" t="str">
        <x:f>IF(D285=$H285,"YES","NO")</x:f>
        <x:v>NO</x:v>
      </x:c>
      <x:c r="P285" s="12" t="str">
        <x:f>IF(E285=$H285,"YES","NO")</x:f>
        <x:v>NO</x:v>
      </x:c>
      <x:c r="Q285" s="12" t="str">
        <x:f>IF(F285=$H285,"YES","NO")</x:f>
        <x:v>NO</x:v>
      </x:c>
      <x:c r="R285" s="12" t="str">
        <x:f>IF(G285=$H285,"YES","NO")</x:f>
        <x:v>YES</x:v>
      </x:c>
    </x:row>
    <x:row r="286">
      <x:c r="A286" s="44" t="str">
        <x:v>bpps_d1000n200m5w200_300s10_100f0_seed0</x:v>
      </x:c>
      <x:c r="B286" s="12" t="n">
        <x:v>200</x:v>
      </x:c>
      <x:c r="C286" s="12" t="n">
        <x:v>64</x:v>
      </x:c>
      <x:c r="D286" s="12" t="n">
        <x:v>64</x:v>
      </x:c>
      <x:c r="E286" s="12" t="n">
        <x:v>64</x:v>
      </x:c>
      <x:c r="F286" s="12" t="n">
        <x:v>60</x:v>
      </x:c>
      <x:c r="G286" s="12" t="n">
        <x:v>60</x:v>
      </x:c>
      <x:c r="H286" s="12" t="n">
        <x:f>MIN(C286:G286)</x:f>
        <x:v>60</x:v>
      </x:c>
      <x:c r="I286" s="14" t="n">
        <x:f>(C286-$H286)/$H286*100</x:f>
        <x:v>6.666666666666667</x:v>
      </x:c>
      <x:c r="J286" s="14" t="n">
        <x:f>(D286-$H286)/$H286*100</x:f>
        <x:v>6.666666666666667</x:v>
      </x:c>
      <x:c r="K286" s="14" t="n">
        <x:f>(E286-$H286)/$H286*100</x:f>
        <x:v>6.666666666666667</x:v>
      </x:c>
      <x:c r="L286" s="14" t="n">
        <x:f>(F286-$H286)/$H286*100</x:f>
        <x:v>0</x:v>
      </x:c>
      <x:c r="M286" s="14" t="n">
        <x:f>(G286-$H286)/$H286*100</x:f>
        <x:v>0</x:v>
      </x:c>
      <x:c r="N286" s="12" t="str">
        <x:f>IF(C286=$H286,"YES","NO")</x:f>
        <x:v>NO</x:v>
      </x:c>
      <x:c r="O286" s="12" t="str">
        <x:f>IF(D286=$H286,"YES","NO")</x:f>
        <x:v>NO</x:v>
      </x:c>
      <x:c r="P286" s="12" t="str">
        <x:f>IF(E286=$H286,"YES","NO")</x:f>
        <x:v>NO</x:v>
      </x:c>
      <x:c r="Q286" s="12" t="str">
        <x:f>IF(F286=$H286,"YES","NO")</x:f>
        <x:v>YES</x:v>
      </x:c>
      <x:c r="R286" s="12" t="str">
        <x:f>IF(G286=$H286,"YES","NO")</x:f>
        <x:v>YES</x:v>
      </x:c>
    </x:row>
    <x:row r="287">
      <x:c r="A287" s="44" t="str">
        <x:v>bpps_d1000n200m5w200_300s10_100f1_seed0</x:v>
      </x:c>
      <x:c r="B287" s="12" t="n">
        <x:v>200</x:v>
      </x:c>
      <x:c r="C287" s="12" t="n">
        <x:v>1087</x:v>
      </x:c>
      <x:c r="D287" s="12" t="n">
        <x:v>1090</x:v>
      </x:c>
      <x:c r="E287" s="12" t="n">
        <x:v>1081</x:v>
      </x:c>
      <x:c r="F287" s="12" t="n">
        <x:v>797</x:v>
      </x:c>
      <x:c r="G287" s="12" t="n">
        <x:v>750</x:v>
      </x:c>
      <x:c r="H287" s="12" t="n">
        <x:f>MIN(C287:G287)</x:f>
        <x:v>750</x:v>
      </x:c>
      <x:c r="I287" s="14" t="n">
        <x:f>(C287-$H287)/$H287*100</x:f>
        <x:v>44.93333333333333</x:v>
      </x:c>
      <x:c r="J287" s="14" t="n">
        <x:f>(D287-$H287)/$H287*100</x:f>
        <x:v>45.33333333333333</x:v>
      </x:c>
      <x:c r="K287" s="14" t="n">
        <x:f>(E287-$H287)/$H287*100</x:f>
        <x:v>44.13333333333333</x:v>
      </x:c>
      <x:c r="L287" s="14" t="n">
        <x:f>(F287-$H287)/$H287*100</x:f>
        <x:v>6.266666666666667</x:v>
      </x:c>
      <x:c r="M287" s="14" t="n">
        <x:f>(G287-$H287)/$H287*100</x:f>
        <x:v>0</x:v>
      </x:c>
      <x:c r="N287" s="12" t="str">
        <x:f>IF(C287=$H287,"YES","NO")</x:f>
        <x:v>NO</x:v>
      </x:c>
      <x:c r="O287" s="12" t="str">
        <x:f>IF(D287=$H287,"YES","NO")</x:f>
        <x:v>NO</x:v>
      </x:c>
      <x:c r="P287" s="12" t="str">
        <x:f>IF(E287=$H287,"YES","NO")</x:f>
        <x:v>NO</x:v>
      </x:c>
      <x:c r="Q287" s="12" t="str">
        <x:f>IF(F287=$H287,"YES","NO")</x:f>
        <x:v>NO</x:v>
      </x:c>
      <x:c r="R287" s="12" t="str">
        <x:f>IF(G287=$H287,"YES","NO")</x:f>
        <x:v>YES</x:v>
      </x:c>
    </x:row>
    <x:row r="288">
      <x:c r="A288" s="44" t="str">
        <x:v>bpps_d1000n200m5w200_300s10_200f0_seed0</x:v>
      </x:c>
      <x:c r="B288" s="12" t="n">
        <x:v>200</x:v>
      </x:c>
      <x:c r="C288" s="12" t="n">
        <x:v>71</x:v>
      </x:c>
      <x:c r="D288" s="12" t="n">
        <x:v>71</x:v>
      </x:c>
      <x:c r="E288" s="12" t="n">
        <x:v>71</x:v>
      </x:c>
      <x:c r="F288" s="12" t="n">
        <x:v>63</x:v>
      </x:c>
      <x:c r="G288" s="12" t="n">
        <x:v>63</x:v>
      </x:c>
      <x:c r="H288" s="12" t="n">
        <x:f>MIN(C288:G288)</x:f>
        <x:v>63</x:v>
      </x:c>
      <x:c r="I288" s="14" t="n">
        <x:f>(C288-$H288)/$H288*100</x:f>
        <x:v>12.698412698412698</x:v>
      </x:c>
      <x:c r="J288" s="14" t="n">
        <x:f>(D288-$H288)/$H288*100</x:f>
        <x:v>12.698412698412698</x:v>
      </x:c>
      <x:c r="K288" s="14" t="n">
        <x:f>(E288-$H288)/$H288*100</x:f>
        <x:v>12.698412698412698</x:v>
      </x:c>
      <x:c r="L288" s="14" t="n">
        <x:f>(F288-$H288)/$H288*100</x:f>
        <x:v>0</x:v>
      </x:c>
      <x:c r="M288" s="14" t="n">
        <x:f>(G288-$H288)/$H288*100</x:f>
        <x:v>0</x:v>
      </x:c>
      <x:c r="N288" s="12" t="str">
        <x:f>IF(C288=$H288,"YES","NO")</x:f>
        <x:v>NO</x:v>
      </x:c>
      <x:c r="O288" s="12" t="str">
        <x:f>IF(D288=$H288,"YES","NO")</x:f>
        <x:v>NO</x:v>
      </x:c>
      <x:c r="P288" s="12" t="str">
        <x:f>IF(E288=$H288,"YES","NO")</x:f>
        <x:v>NO</x:v>
      </x:c>
      <x:c r="Q288" s="12" t="str">
        <x:f>IF(F288=$H288,"YES","NO")</x:f>
        <x:v>YES</x:v>
      </x:c>
      <x:c r="R288" s="12" t="str">
        <x:f>IF(G288=$H288,"YES","NO")</x:f>
        <x:v>YES</x:v>
      </x:c>
    </x:row>
    <x:row r="289">
      <x:c r="A289" s="44" t="str">
        <x:v>bpps_d1000n200m5w200_300s10_200f1_seed0</x:v>
      </x:c>
      <x:c r="B289" s="12" t="n">
        <x:v>200</x:v>
      </x:c>
      <x:c r="C289" s="12" t="n">
        <x:v>1130</x:v>
      </x:c>
      <x:c r="D289" s="12" t="n">
        <x:v>1125</x:v>
      </x:c>
      <x:c r="E289" s="12" t="n">
        <x:v>1115</x:v>
      </x:c>
      <x:c r="F289" s="12" t="n">
        <x:v>846</x:v>
      </x:c>
      <x:c r="G289" s="12" t="n">
        <x:v>818</x:v>
      </x:c>
      <x:c r="H289" s="12" t="n">
        <x:f>MIN(C289:G289)</x:f>
        <x:v>818</x:v>
      </x:c>
      <x:c r="I289" s="14" t="n">
        <x:f>(C289-$H289)/$H289*100</x:f>
        <x:v>38.141809290953546</x:v>
      </x:c>
      <x:c r="J289" s="14" t="n">
        <x:f>(D289-$H289)/$H289*100</x:f>
        <x:v>37.530562347188265</x:v>
      </x:c>
      <x:c r="K289" s="14" t="n">
        <x:f>(E289-$H289)/$H289*100</x:f>
        <x:v>36.3080684596577</x:v>
      </x:c>
      <x:c r="L289" s="14" t="n">
        <x:f>(F289-$H289)/$H289*100</x:f>
        <x:v>3.4229828850855744</x:v>
      </x:c>
      <x:c r="M289" s="14" t="n">
        <x:f>(G289-$H289)/$H289*100</x:f>
        <x:v>0</x:v>
      </x:c>
      <x:c r="N289" s="12" t="str">
        <x:f>IF(C289=$H289,"YES","NO")</x:f>
        <x:v>NO</x:v>
      </x:c>
      <x:c r="O289" s="12" t="str">
        <x:f>IF(D289=$H289,"YES","NO")</x:f>
        <x:v>NO</x:v>
      </x:c>
      <x:c r="P289" s="12" t="str">
        <x:f>IF(E289=$H289,"YES","NO")</x:f>
        <x:v>NO</x:v>
      </x:c>
      <x:c r="Q289" s="12" t="str">
        <x:f>IF(F289=$H289,"YES","NO")</x:f>
        <x:v>NO</x:v>
      </x:c>
      <x:c r="R289" s="12" t="str">
        <x:f>IF(G289=$H289,"YES","NO")</x:f>
        <x:v>YES</x:v>
      </x:c>
    </x:row>
    <x:row r="290">
      <x:c r="A290" s="44" t="str">
        <x:v>bpps_d1000n25m10w100_200s100_200f0_seed0</x:v>
      </x:c>
      <x:c r="B290" s="12" t="n">
        <x:v>25</x:v>
      </x:c>
      <x:c r="C290" s="12" t="n">
        <x:v>8</x:v>
      </x:c>
      <x:c r="D290" s="12" t="n">
        <x:v>7</x:v>
      </x:c>
      <x:c r="E290" s="12" t="n">
        <x:v>7</x:v>
      </x:c>
      <x:c r="F290" s="12" t="n">
        <x:v>7</x:v>
      </x:c>
      <x:c r="G290" s="12" t="n">
        <x:v>6</x:v>
      </x:c>
      <x:c r="H290" s="12" t="n">
        <x:f>MIN(C290:G290)</x:f>
        <x:v>6</x:v>
      </x:c>
      <x:c r="I290" s="14" t="n">
        <x:f>(C290-$H290)/$H290*100</x:f>
        <x:v>33.33333333333333</x:v>
      </x:c>
      <x:c r="J290" s="14" t="n">
        <x:f>(D290-$H290)/$H290*100</x:f>
        <x:v>16.666666666666664</x:v>
      </x:c>
      <x:c r="K290" s="14" t="n">
        <x:f>(E290-$H290)/$H290*100</x:f>
        <x:v>16.666666666666664</x:v>
      </x:c>
      <x:c r="L290" s="14" t="n">
        <x:f>(F290-$H290)/$H290*100</x:f>
        <x:v>16.666666666666664</x:v>
      </x:c>
      <x:c r="M290" s="14" t="n">
        <x:f>(G290-$H290)/$H290*100</x:f>
        <x:v>0</x:v>
      </x:c>
      <x:c r="N290" s="12" t="str">
        <x:f>IF(C290=$H290,"YES","NO")</x:f>
        <x:v>NO</x:v>
      </x:c>
      <x:c r="O290" s="12" t="str">
        <x:f>IF(D290=$H290,"YES","NO")</x:f>
        <x:v>NO</x:v>
      </x:c>
      <x:c r="P290" s="12" t="str">
        <x:f>IF(E290=$H290,"YES","NO")</x:f>
        <x:v>NO</x:v>
      </x:c>
      <x:c r="Q290" s="12" t="str">
        <x:f>IF(F290=$H290,"YES","NO")</x:f>
        <x:v>NO</x:v>
      </x:c>
      <x:c r="R290" s="12" t="str">
        <x:f>IF(G290=$H290,"YES","NO")</x:f>
        <x:v>YES</x:v>
      </x:c>
    </x:row>
    <x:row r="291">
      <x:c r="A291" s="44" t="str">
        <x:v>bpps_d1000n25m10w100_200s100_200f1_seed0</x:v>
      </x:c>
      <x:c r="B291" s="12" t="n">
        <x:v>25</x:v>
      </x:c>
      <x:c r="C291" s="12" t="n">
        <x:v>127</x:v>
      </x:c>
      <x:c r="D291" s="12" t="n">
        <x:v>127</x:v>
      </x:c>
      <x:c r="E291" s="12" t="n">
        <x:v>132</x:v>
      </x:c>
      <x:c r="F291" s="12" t="n">
        <x:v>93</x:v>
      </x:c>
      <x:c r="G291" s="12" t="n">
        <x:v>93</x:v>
      </x:c>
      <x:c r="H291" s="12" t="n">
        <x:f>MIN(C291:G291)</x:f>
        <x:v>93</x:v>
      </x:c>
      <x:c r="I291" s="14" t="n">
        <x:f>(C291-$H291)/$H291*100</x:f>
        <x:v>36.55913978494624</x:v>
      </x:c>
      <x:c r="J291" s="14" t="n">
        <x:f>(D291-$H291)/$H291*100</x:f>
        <x:v>36.55913978494624</x:v>
      </x:c>
      <x:c r="K291" s="14" t="n">
        <x:f>(E291-$H291)/$H291*100</x:f>
        <x:v>41.935483870967744</x:v>
      </x:c>
      <x:c r="L291" s="14" t="n">
        <x:f>(F291-$H291)/$H291*100</x:f>
        <x:v>0</x:v>
      </x:c>
      <x:c r="M291" s="14" t="n">
        <x:f>(G291-$H291)/$H291*100</x:f>
        <x:v>0</x:v>
      </x:c>
      <x:c r="N291" s="12" t="str">
        <x:f>IF(C291=$H291,"YES","NO")</x:f>
        <x:v>NO</x:v>
      </x:c>
      <x:c r="O291" s="12" t="str">
        <x:f>IF(D291=$H291,"YES","NO")</x:f>
        <x:v>NO</x:v>
      </x:c>
      <x:c r="P291" s="12" t="str">
        <x:f>IF(E291=$H291,"YES","NO")</x:f>
        <x:v>NO</x:v>
      </x:c>
      <x:c r="Q291" s="12" t="str">
        <x:f>IF(F291=$H291,"YES","NO")</x:f>
        <x:v>YES</x:v>
      </x:c>
      <x:c r="R291" s="12" t="str">
        <x:f>IF(G291=$H291,"YES","NO")</x:f>
        <x:v>YES</x:v>
      </x:c>
    </x:row>
    <x:row r="292">
      <x:c r="A292" s="44" t="str">
        <x:v>bpps_d1000n25m10w100_200s10_100f0_seed0</x:v>
      </x:c>
      <x:c r="B292" s="12" t="n">
        <x:v>25</x:v>
      </x:c>
      <x:c r="C292" s="12" t="n">
        <x:v>6</x:v>
      </x:c>
      <x:c r="D292" s="12" t="n">
        <x:v>6</x:v>
      </x:c>
      <x:c r="E292" s="12" t="n">
        <x:v>6</x:v>
      </x:c>
      <x:c r="F292" s="12" t="n">
        <x:v>6</x:v>
      </x:c>
      <x:c r="G292" s="12" t="n">
        <x:v>5</x:v>
      </x:c>
      <x:c r="H292" s="12" t="n">
        <x:f>MIN(C292:G292)</x:f>
        <x:v>5</x:v>
      </x:c>
      <x:c r="I292" s="14" t="n">
        <x:f>(C292-$H292)/$H292*100</x:f>
        <x:v>20</x:v>
      </x:c>
      <x:c r="J292" s="14" t="n">
        <x:f>(D292-$H292)/$H292*100</x:f>
        <x:v>20</x:v>
      </x:c>
      <x:c r="K292" s="14" t="n">
        <x:f>(E292-$H292)/$H292*100</x:f>
        <x:v>20</x:v>
      </x:c>
      <x:c r="L292" s="14" t="n">
        <x:f>(F292-$H292)/$H292*100</x:f>
        <x:v>20</x:v>
      </x:c>
      <x:c r="M292" s="14" t="n">
        <x:f>(G292-$H292)/$H292*100</x:f>
        <x:v>0</x:v>
      </x:c>
      <x:c r="N292" s="12" t="str">
        <x:f>IF(C292=$H292,"YES","NO")</x:f>
        <x:v>NO</x:v>
      </x:c>
      <x:c r="O292" s="12" t="str">
        <x:f>IF(D292=$H292,"YES","NO")</x:f>
        <x:v>NO</x:v>
      </x:c>
      <x:c r="P292" s="12" t="str">
        <x:f>IF(E292=$H292,"YES","NO")</x:f>
        <x:v>NO</x:v>
      </x:c>
      <x:c r="Q292" s="12" t="str">
        <x:f>IF(F292=$H292,"YES","NO")</x:f>
        <x:v>NO</x:v>
      </x:c>
      <x:c r="R292" s="12" t="str">
        <x:f>IF(G292=$H292,"YES","NO")</x:f>
        <x:v>YES</x:v>
      </x:c>
    </x:row>
    <x:row r="293">
      <x:c r="A293" s="44" t="str">
        <x:v>bpps_d1000n25m10w100_200s10_100f1_seed0</x:v>
      </x:c>
      <x:c r="B293" s="12" t="n">
        <x:v>25</x:v>
      </x:c>
      <x:c r="C293" s="12" t="n">
        <x:v>113</x:v>
      </x:c>
      <x:c r="D293" s="12" t="n">
        <x:v>113</x:v>
      </x:c>
      <x:c r="E293" s="12" t="n">
        <x:v>111</x:v>
      </x:c>
      <x:c r="F293" s="12" t="n">
        <x:v>84</x:v>
      </x:c>
      <x:c r="G293" s="12" t="n">
        <x:v>88</x:v>
      </x:c>
      <x:c r="H293" s="12" t="n">
        <x:f>MIN(C293:G293)</x:f>
        <x:v>84</x:v>
      </x:c>
      <x:c r="I293" s="14" t="n">
        <x:f>(C293-$H293)/$H293*100</x:f>
        <x:v>34.523809523809526</x:v>
      </x:c>
      <x:c r="J293" s="14" t="n">
        <x:f>(D293-$H293)/$H293*100</x:f>
        <x:v>34.523809523809526</x:v>
      </x:c>
      <x:c r="K293" s="14" t="n">
        <x:f>(E293-$H293)/$H293*100</x:f>
        <x:v>32.142857142857146</x:v>
      </x:c>
      <x:c r="L293" s="14" t="n">
        <x:f>(F293-$H293)/$H293*100</x:f>
        <x:v>0</x:v>
      </x:c>
      <x:c r="M293" s="14" t="n">
        <x:f>(G293-$H293)/$H293*100</x:f>
        <x:v>4.761904761904762</x:v>
      </x:c>
      <x:c r="N293" s="12" t="str">
        <x:f>IF(C293=$H293,"YES","NO")</x:f>
        <x:v>NO</x:v>
      </x:c>
      <x:c r="O293" s="12" t="str">
        <x:f>IF(D293=$H293,"YES","NO")</x:f>
        <x:v>NO</x:v>
      </x:c>
      <x:c r="P293" s="12" t="str">
        <x:f>IF(E293=$H293,"YES","NO")</x:f>
        <x:v>NO</x:v>
      </x:c>
      <x:c r="Q293" s="12" t="str">
        <x:f>IF(F293=$H293,"YES","NO")</x:f>
        <x:v>YES</x:v>
      </x:c>
      <x:c r="R293" s="12" t="str">
        <x:f>IF(G293=$H293,"YES","NO")</x:f>
        <x:v>NO</x:v>
      </x:c>
    </x:row>
    <x:row r="294">
      <x:c r="A294" s="44" t="str">
        <x:v>bpps_d1000n25m10w100_200s10_200f0_seed0</x:v>
      </x:c>
      <x:c r="B294" s="12" t="n">
        <x:v>25</x:v>
      </x:c>
      <x:c r="C294" s="12" t="n">
        <x:v>7</x:v>
      </x:c>
      <x:c r="D294" s="12" t="n">
        <x:v>7</x:v>
      </x:c>
      <x:c r="E294" s="12" t="n">
        <x:v>7</x:v>
      </x:c>
      <x:c r="F294" s="12" t="n">
        <x:v>6</x:v>
      </x:c>
      <x:c r="G294" s="12" t="n">
        <x:v>6</x:v>
      </x:c>
      <x:c r="H294" s="12" t="n">
        <x:f>MIN(C294:G294)</x:f>
        <x:v>6</x:v>
      </x:c>
      <x:c r="I294" s="14" t="n">
        <x:f>(C294-$H294)/$H294*100</x:f>
        <x:v>16.666666666666664</x:v>
      </x:c>
      <x:c r="J294" s="14" t="n">
        <x:f>(D294-$H294)/$H294*100</x:f>
        <x:v>16.666666666666664</x:v>
      </x:c>
      <x:c r="K294" s="14" t="n">
        <x:f>(E294-$H294)/$H294*100</x:f>
        <x:v>16.666666666666664</x:v>
      </x:c>
      <x:c r="L294" s="14" t="n">
        <x:f>(F294-$H294)/$H294*100</x:f>
        <x:v>0</x:v>
      </x:c>
      <x:c r="M294" s="14" t="n">
        <x:f>(G294-$H294)/$H294*100</x:f>
        <x:v>0</x:v>
      </x:c>
      <x:c r="N294" s="12" t="str">
        <x:f>IF(C294=$H294,"YES","NO")</x:f>
        <x:v>NO</x:v>
      </x:c>
      <x:c r="O294" s="12" t="str">
        <x:f>IF(D294=$H294,"YES","NO")</x:f>
        <x:v>NO</x:v>
      </x:c>
      <x:c r="P294" s="12" t="str">
        <x:f>IF(E294=$H294,"YES","NO")</x:f>
        <x:v>NO</x:v>
      </x:c>
      <x:c r="Q294" s="12" t="str">
        <x:f>IF(F294=$H294,"YES","NO")</x:f>
        <x:v>YES</x:v>
      </x:c>
      <x:c r="R294" s="12" t="str">
        <x:f>IF(G294=$H294,"YES","NO")</x:f>
        <x:v>YES</x:v>
      </x:c>
    </x:row>
    <x:row r="295">
      <x:c r="A295" s="44" t="str">
        <x:v>bpps_d1000n25m10w100_200s10_200f1_seed0</x:v>
      </x:c>
      <x:c r="B295" s="12" t="n">
        <x:v>25</x:v>
      </x:c>
      <x:c r="C295" s="12" t="n">
        <x:v>125</x:v>
      </x:c>
      <x:c r="D295" s="12" t="n">
        <x:v>125</x:v>
      </x:c>
      <x:c r="E295" s="12" t="n">
        <x:v>117</x:v>
      </x:c>
      <x:c r="F295" s="12" t="n">
        <x:v>92</x:v>
      </x:c>
      <x:c r="G295" s="12" t="n">
        <x:v>92</x:v>
      </x:c>
      <x:c r="H295" s="12" t="n">
        <x:f>MIN(C295:G295)</x:f>
        <x:v>92</x:v>
      </x:c>
      <x:c r="I295" s="14" t="n">
        <x:f>(C295-$H295)/$H295*100</x:f>
        <x:v>35.869565217391305</x:v>
      </x:c>
      <x:c r="J295" s="14" t="n">
        <x:f>(D295-$H295)/$H295*100</x:f>
        <x:v>35.869565217391305</x:v>
      </x:c>
      <x:c r="K295" s="14" t="n">
        <x:f>(E295-$H295)/$H295*100</x:f>
        <x:v>27.173913043478258</x:v>
      </x:c>
      <x:c r="L295" s="14" t="n">
        <x:f>(F295-$H295)/$H295*100</x:f>
        <x:v>0</x:v>
      </x:c>
      <x:c r="M295" s="14" t="n">
        <x:f>(G295-$H295)/$H295*100</x:f>
        <x:v>0</x:v>
      </x:c>
      <x:c r="N295" s="12" t="str">
        <x:f>IF(C295=$H295,"YES","NO")</x:f>
        <x:v>NO</x:v>
      </x:c>
      <x:c r="O295" s="12" t="str">
        <x:f>IF(D295=$H295,"YES","NO")</x:f>
        <x:v>NO</x:v>
      </x:c>
      <x:c r="P295" s="12" t="str">
        <x:f>IF(E295=$H295,"YES","NO")</x:f>
        <x:v>NO</x:v>
      </x:c>
      <x:c r="Q295" s="12" t="str">
        <x:f>IF(F295=$H295,"YES","NO")</x:f>
        <x:v>YES</x:v>
      </x:c>
      <x:c r="R295" s="12" t="str">
        <x:f>IF(G295=$H295,"YES","NO")</x:f>
        <x:v>YES</x:v>
      </x:c>
    </x:row>
    <x:row r="296">
      <x:c r="A296" s="44" t="str">
        <x:v>bpps_d1000n25m10w10_100s100_200f0_seed0</x:v>
      </x:c>
      <x:c r="B296" s="12" t="n">
        <x:v>25</x:v>
      </x:c>
      <x:c r="C296" s="12" t="n">
        <x:v>4</x:v>
      </x:c>
      <x:c r="D296" s="12" t="n">
        <x:v>4</x:v>
      </x:c>
      <x:c r="E296" s="12" t="n">
        <x:v>4</x:v>
      </x:c>
      <x:c r="F296" s="12" t="n">
        <x:v>4</x:v>
      </x:c>
      <x:c r="G296" s="12" t="n">
        <x:v>3</x:v>
      </x:c>
      <x:c r="H296" s="12" t="n">
        <x:f>MIN(C296:G296)</x:f>
        <x:v>3</x:v>
      </x:c>
      <x:c r="I296" s="14" t="n">
        <x:f>(C296-$H296)/$H296*100</x:f>
        <x:v>33.33333333333333</x:v>
      </x:c>
      <x:c r="J296" s="14" t="n">
        <x:f>(D296-$H296)/$H296*100</x:f>
        <x:v>33.33333333333333</x:v>
      </x:c>
      <x:c r="K296" s="14" t="n">
        <x:f>(E296-$H296)/$H296*100</x:f>
        <x:v>33.33333333333333</x:v>
      </x:c>
      <x:c r="L296" s="14" t="n">
        <x:f>(F296-$H296)/$H296*100</x:f>
        <x:v>33.33333333333333</x:v>
      </x:c>
      <x:c r="M296" s="14" t="n">
        <x:f>(G296-$H296)/$H296*100</x:f>
        <x:v>0</x:v>
      </x:c>
      <x:c r="N296" s="12" t="str">
        <x:f>IF(C296=$H296,"YES","NO")</x:f>
        <x:v>NO</x:v>
      </x:c>
      <x:c r="O296" s="12" t="str">
        <x:f>IF(D296=$H296,"YES","NO")</x:f>
        <x:v>NO</x:v>
      </x:c>
      <x:c r="P296" s="12" t="str">
        <x:f>IF(E296=$H296,"YES","NO")</x:f>
        <x:v>NO</x:v>
      </x:c>
      <x:c r="Q296" s="12" t="str">
        <x:f>IF(F296=$H296,"YES","NO")</x:f>
        <x:v>NO</x:v>
      </x:c>
      <x:c r="R296" s="12" t="str">
        <x:f>IF(G296=$H296,"YES","NO")</x:f>
        <x:v>YES</x:v>
      </x:c>
    </x:row>
    <x:row r="297">
      <x:c r="A297" s="44" t="str">
        <x:v>bpps_d1000n25m10w10_100s100_200f1_seed0</x:v>
      </x:c>
      <x:c r="B297" s="12" t="n">
        <x:v>25</x:v>
      </x:c>
      <x:c r="C297" s="12" t="n">
        <x:v>90</x:v>
      </x:c>
      <x:c r="D297" s="12" t="n">
        <x:v>90</x:v>
      </x:c>
      <x:c r="E297" s="12" t="n">
        <x:v>95</x:v>
      </x:c>
      <x:c r="F297" s="12" t="n">
        <x:v>88</x:v>
      </x:c>
      <x:c r="G297" s="12" t="n">
        <x:v>78</x:v>
      </x:c>
      <x:c r="H297" s="12" t="n">
        <x:f>MIN(C297:G297)</x:f>
        <x:v>78</x:v>
      </x:c>
      <x:c r="I297" s="14" t="n">
        <x:f>(C297-$H297)/$H297*100</x:f>
        <x:v>15.384615384615385</x:v>
      </x:c>
      <x:c r="J297" s="14" t="n">
        <x:f>(D297-$H297)/$H297*100</x:f>
        <x:v>15.384615384615385</x:v>
      </x:c>
      <x:c r="K297" s="14" t="n">
        <x:f>(E297-$H297)/$H297*100</x:f>
        <x:v>21.794871794871796</x:v>
      </x:c>
      <x:c r="L297" s="14" t="n">
        <x:f>(F297-$H297)/$H297*100</x:f>
        <x:v>12.82051282051282</x:v>
      </x:c>
      <x:c r="M297" s="14" t="n">
        <x:f>(G297-$H297)/$H297*100</x:f>
        <x:v>0</x:v>
      </x:c>
      <x:c r="N297" s="12" t="str">
        <x:f>IF(C297=$H297,"YES","NO")</x:f>
        <x:v>NO</x:v>
      </x:c>
      <x:c r="O297" s="12" t="str">
        <x:f>IF(D297=$H297,"YES","NO")</x:f>
        <x:v>NO</x:v>
      </x:c>
      <x:c r="P297" s="12" t="str">
        <x:f>IF(E297=$H297,"YES","NO")</x:f>
        <x:v>NO</x:v>
      </x:c>
      <x:c r="Q297" s="12" t="str">
        <x:f>IF(F297=$H297,"YES","NO")</x:f>
        <x:v>NO</x:v>
      </x:c>
      <x:c r="R297" s="12" t="str">
        <x:f>IF(G297=$H297,"YES","NO")</x:f>
        <x:v>YES</x:v>
      </x:c>
    </x:row>
    <x:row r="298">
      <x:c r="A298" s="44" t="str">
        <x:v>bpps_d1000n25m10w10_100s10_100f0_seed0</x:v>
      </x:c>
      <x:c r="B298" s="12" t="n">
        <x:v>25</x:v>
      </x:c>
      <x:c r="C298" s="12" t="n">
        <x:v>3</x:v>
      </x:c>
      <x:c r="D298" s="12" t="n">
        <x:v>3</x:v>
      </x:c>
      <x:c r="E298" s="12" t="n">
        <x:v>3</x:v>
      </x:c>
      <x:c r="F298" s="12" t="n">
        <x:v>4</x:v>
      </x:c>
      <x:c r="G298" s="12" t="n">
        <x:v>3</x:v>
      </x:c>
      <x:c r="H298" s="12" t="n">
        <x:f>MIN(C298:G298)</x:f>
        <x:v>3</x:v>
      </x:c>
      <x:c r="I298" s="14" t="n">
        <x:f>(C298-$H298)/$H298*100</x:f>
        <x:v>0</x:v>
      </x:c>
      <x:c r="J298" s="14" t="n">
        <x:f>(D298-$H298)/$H298*100</x:f>
        <x:v>0</x:v>
      </x:c>
      <x:c r="K298" s="14" t="n">
        <x:f>(E298-$H298)/$H298*100</x:f>
        <x:v>0</x:v>
      </x:c>
      <x:c r="L298" s="14" t="n">
        <x:f>(F298-$H298)/$H298*100</x:f>
        <x:v>33.33333333333333</x:v>
      </x:c>
      <x:c r="M298" s="14" t="n">
        <x:f>(G298-$H298)/$H298*100</x:f>
        <x:v>0</x:v>
      </x:c>
      <x:c r="N298" s="12" t="str">
        <x:f>IF(C298=$H298,"YES","NO")</x:f>
        <x:v>YES</x:v>
      </x:c>
      <x:c r="O298" s="12" t="str">
        <x:f>IF(D298=$H298,"YES","NO")</x:f>
        <x:v>YES</x:v>
      </x:c>
      <x:c r="P298" s="12" t="str">
        <x:f>IF(E298=$H298,"YES","NO")</x:f>
        <x:v>YES</x:v>
      </x:c>
      <x:c r="Q298" s="12" t="str">
        <x:f>IF(F298=$H298,"YES","NO")</x:f>
        <x:v>NO</x:v>
      </x:c>
      <x:c r="R298" s="12" t="str">
        <x:f>IF(G298=$H298,"YES","NO")</x:f>
        <x:v>YES</x:v>
      </x:c>
    </x:row>
    <x:row r="299">
      <x:c r="A299" s="44" t="str">
        <x:v>bpps_d1000n25m10w10_100s10_100f1_seed0</x:v>
      </x:c>
      <x:c r="B299" s="12" t="n">
        <x:v>25</x:v>
      </x:c>
      <x:c r="C299" s="12" t="n">
        <x:v>69</x:v>
      </x:c>
      <x:c r="D299" s="12" t="n">
        <x:v>69</x:v>
      </x:c>
      <x:c r="E299" s="12" t="n">
        <x:v>67</x:v>
      </x:c>
      <x:c r="F299" s="12" t="n">
        <x:v>60</x:v>
      </x:c>
      <x:c r="G299" s="12" t="n">
        <x:v>60</x:v>
      </x:c>
      <x:c r="H299" s="12" t="n">
        <x:f>MIN(C299:G299)</x:f>
        <x:v>60</x:v>
      </x:c>
      <x:c r="I299" s="14" t="n">
        <x:f>(C299-$H299)/$H299*100</x:f>
        <x:v>15</x:v>
      </x:c>
      <x:c r="J299" s="14" t="n">
        <x:f>(D299-$H299)/$H299*100</x:f>
        <x:v>15</x:v>
      </x:c>
      <x:c r="K299" s="14" t="n">
        <x:f>(E299-$H299)/$H299*100</x:f>
        <x:v>11.666666666666666</x:v>
      </x:c>
      <x:c r="L299" s="14" t="n">
        <x:f>(F299-$H299)/$H299*100</x:f>
        <x:v>0</x:v>
      </x:c>
      <x:c r="M299" s="14" t="n">
        <x:f>(G299-$H299)/$H299*100</x:f>
        <x:v>0</x:v>
      </x:c>
      <x:c r="N299" s="12" t="str">
        <x:f>IF(C299=$H299,"YES","NO")</x:f>
        <x:v>NO</x:v>
      </x:c>
      <x:c r="O299" s="12" t="str">
        <x:f>IF(D299=$H299,"YES","NO")</x:f>
        <x:v>NO</x:v>
      </x:c>
      <x:c r="P299" s="12" t="str">
        <x:f>IF(E299=$H299,"YES","NO")</x:f>
        <x:v>NO</x:v>
      </x:c>
      <x:c r="Q299" s="12" t="str">
        <x:f>IF(F299=$H299,"YES","NO")</x:f>
        <x:v>YES</x:v>
      </x:c>
      <x:c r="R299" s="12" t="str">
        <x:f>IF(G299=$H299,"YES","NO")</x:f>
        <x:v>YES</x:v>
      </x:c>
    </x:row>
    <x:row r="300">
      <x:c r="A300" s="44" t="str">
        <x:v>bpps_d1000n25m10w10_100s10_200f0_seed0</x:v>
      </x:c>
      <x:c r="B300" s="12" t="n">
        <x:v>25</x:v>
      </x:c>
      <x:c r="C300" s="12" t="n">
        <x:v>4</x:v>
      </x:c>
      <x:c r="D300" s="12" t="n">
        <x:v>4</x:v>
      </x:c>
      <x:c r="E300" s="12" t="n">
        <x:v>4</x:v>
      </x:c>
      <x:c r="F300" s="12" t="n">
        <x:v>4</x:v>
      </x:c>
      <x:c r="G300" s="12" t="n">
        <x:v>3</x:v>
      </x:c>
      <x:c r="H300" s="12" t="n">
        <x:f>MIN(C300:G300)</x:f>
        <x:v>3</x:v>
      </x:c>
      <x:c r="I300" s="14" t="n">
        <x:f>(C300-$H300)/$H300*100</x:f>
        <x:v>33.33333333333333</x:v>
      </x:c>
      <x:c r="J300" s="14" t="n">
        <x:f>(D300-$H300)/$H300*100</x:f>
        <x:v>33.33333333333333</x:v>
      </x:c>
      <x:c r="K300" s="14" t="n">
        <x:f>(E300-$H300)/$H300*100</x:f>
        <x:v>33.33333333333333</x:v>
      </x:c>
      <x:c r="L300" s="14" t="n">
        <x:f>(F300-$H300)/$H300*100</x:f>
        <x:v>33.33333333333333</x:v>
      </x:c>
      <x:c r="M300" s="14" t="n">
        <x:f>(G300-$H300)/$H300*100</x:f>
        <x:v>0</x:v>
      </x:c>
      <x:c r="N300" s="12" t="str">
        <x:f>IF(C300=$H300,"YES","NO")</x:f>
        <x:v>NO</x:v>
      </x:c>
      <x:c r="O300" s="12" t="str">
        <x:f>IF(D300=$H300,"YES","NO")</x:f>
        <x:v>NO</x:v>
      </x:c>
      <x:c r="P300" s="12" t="str">
        <x:f>IF(E300=$H300,"YES","NO")</x:f>
        <x:v>NO</x:v>
      </x:c>
      <x:c r="Q300" s="12" t="str">
        <x:f>IF(F300=$H300,"YES","NO")</x:f>
        <x:v>NO</x:v>
      </x:c>
      <x:c r="R300" s="12" t="str">
        <x:f>IF(G300=$H300,"YES","NO")</x:f>
        <x:v>YES</x:v>
      </x:c>
    </x:row>
    <x:row r="301">
      <x:c r="A301" s="44" t="str">
        <x:v>bpps_d1000n25m10w10_100s10_200f1_seed0</x:v>
      </x:c>
      <x:c r="B301" s="12" t="n">
        <x:v>25</x:v>
      </x:c>
      <x:c r="C301" s="12" t="n">
        <x:v>82</x:v>
      </x:c>
      <x:c r="D301" s="12" t="n">
        <x:v>82</x:v>
      </x:c>
      <x:c r="E301" s="12" t="n">
        <x:v>63</x:v>
      </x:c>
      <x:c r="F301" s="12" t="n">
        <x:v>82</x:v>
      </x:c>
      <x:c r="G301" s="12" t="n">
        <x:v>68</x:v>
      </x:c>
      <x:c r="H301" s="12" t="n">
        <x:f>MIN(C301:G301)</x:f>
        <x:v>63</x:v>
      </x:c>
      <x:c r="I301" s="14" t="n">
        <x:f>(C301-$H301)/$H301*100</x:f>
        <x:v>30.158730158730158</x:v>
      </x:c>
      <x:c r="J301" s="14" t="n">
        <x:f>(D301-$H301)/$H301*100</x:f>
        <x:v>30.158730158730158</x:v>
      </x:c>
      <x:c r="K301" s="14" t="n">
        <x:f>(E301-$H301)/$H301*100</x:f>
        <x:v>0</x:v>
      </x:c>
      <x:c r="L301" s="14" t="n">
        <x:f>(F301-$H301)/$H301*100</x:f>
        <x:v>30.158730158730158</x:v>
      </x:c>
      <x:c r="M301" s="14" t="n">
        <x:f>(G301-$H301)/$H301*100</x:f>
        <x:v>7.936507936507936</x:v>
      </x:c>
      <x:c r="N301" s="12" t="str">
        <x:f>IF(C301=$H301,"YES","NO")</x:f>
        <x:v>NO</x:v>
      </x:c>
      <x:c r="O301" s="12" t="str">
        <x:f>IF(D301=$H301,"YES","NO")</x:f>
        <x:v>NO</x:v>
      </x:c>
      <x:c r="P301" s="12" t="str">
        <x:f>IF(E301=$H301,"YES","NO")</x:f>
        <x:v>YES</x:v>
      </x:c>
      <x:c r="Q301" s="12" t="str">
        <x:f>IF(F301=$H301,"YES","NO")</x:f>
        <x:v>NO</x:v>
      </x:c>
      <x:c r="R301" s="12" t="str">
        <x:f>IF(G301=$H301,"YES","NO")</x:f>
        <x:v>NO</x:v>
      </x:c>
    </x:row>
    <x:row r="302">
      <x:c r="A302" s="44" t="str">
        <x:v>bpps_d1000n25m10w10_300s100_200f0_seed0</x:v>
      </x:c>
      <x:c r="B302" s="12" t="n">
        <x:v>25</x:v>
      </x:c>
      <x:c r="C302" s="12" t="n">
        <x:v>8</x:v>
      </x:c>
      <x:c r="D302" s="12" t="n">
        <x:v>8</x:v>
      </x:c>
      <x:c r="E302" s="12" t="n">
        <x:v>7</x:v>
      </x:c>
      <x:c r="F302" s="12" t="n">
        <x:v>7</x:v>
      </x:c>
      <x:c r="G302" s="12" t="n">
        <x:v>7</x:v>
      </x:c>
      <x:c r="H302" s="12" t="n">
        <x:f>MIN(C302:G302)</x:f>
        <x:v>7</x:v>
      </x:c>
      <x:c r="I302" s="14" t="n">
        <x:f>(C302-$H302)/$H302*100</x:f>
        <x:v>14.285714285714285</x:v>
      </x:c>
      <x:c r="J302" s="14" t="n">
        <x:f>(D302-$H302)/$H302*100</x:f>
        <x:v>14.285714285714285</x:v>
      </x:c>
      <x:c r="K302" s="14" t="n">
        <x:f>(E302-$H302)/$H302*100</x:f>
        <x:v>0</x:v>
      </x:c>
      <x:c r="L302" s="14" t="n">
        <x:f>(F302-$H302)/$H302*100</x:f>
        <x:v>0</x:v>
      </x:c>
      <x:c r="M302" s="14" t="n">
        <x:f>(G302-$H302)/$H302*100</x:f>
        <x:v>0</x:v>
      </x:c>
      <x:c r="N302" s="12" t="str">
        <x:f>IF(C302=$H302,"YES","NO")</x:f>
        <x:v>NO</x:v>
      </x:c>
      <x:c r="O302" s="12" t="str">
        <x:f>IF(D302=$H302,"YES","NO")</x:f>
        <x:v>NO</x:v>
      </x:c>
      <x:c r="P302" s="12" t="str">
        <x:f>IF(E302=$H302,"YES","NO")</x:f>
        <x:v>YES</x:v>
      </x:c>
      <x:c r="Q302" s="12" t="str">
        <x:f>IF(F302=$H302,"YES","NO")</x:f>
        <x:v>YES</x:v>
      </x:c>
      <x:c r="R302" s="12" t="str">
        <x:f>IF(G302=$H302,"YES","NO")</x:f>
        <x:v>YES</x:v>
      </x:c>
    </x:row>
    <x:row r="303">
      <x:c r="A303" s="44" t="str">
        <x:v>bpps_d1000n25m10w10_300s100_200f1_seed0</x:v>
      </x:c>
      <x:c r="B303" s="12" t="n">
        <x:v>25</x:v>
      </x:c>
      <x:c r="C303" s="12" t="n">
        <x:v>114</x:v>
      </x:c>
      <x:c r="D303" s="12" t="n">
        <x:v>114</x:v>
      </x:c>
      <x:c r="E303" s="12" t="n">
        <x:v>95</x:v>
      </x:c>
      <x:c r="F303" s="12" t="n">
        <x:v>109</x:v>
      </x:c>
      <x:c r="G303" s="12" t="n">
        <x:v>90</x:v>
      </x:c>
      <x:c r="H303" s="12" t="n">
        <x:f>MIN(C303:G303)</x:f>
        <x:v>90</x:v>
      </x:c>
      <x:c r="I303" s="14" t="n">
        <x:f>(C303-$H303)/$H303*100</x:f>
        <x:v>26.666666666666668</x:v>
      </x:c>
      <x:c r="J303" s="14" t="n">
        <x:f>(D303-$H303)/$H303*100</x:f>
        <x:v>26.666666666666668</x:v>
      </x:c>
      <x:c r="K303" s="14" t="n">
        <x:f>(E303-$H303)/$H303*100</x:f>
        <x:v>5.555555555555555</x:v>
      </x:c>
      <x:c r="L303" s="14" t="n">
        <x:f>(F303-$H303)/$H303*100</x:f>
        <x:v>21.11111111111111</x:v>
      </x:c>
      <x:c r="M303" s="14" t="n">
        <x:f>(G303-$H303)/$H303*100</x:f>
        <x:v>0</x:v>
      </x:c>
      <x:c r="N303" s="12" t="str">
        <x:f>IF(C303=$H303,"YES","NO")</x:f>
        <x:v>NO</x:v>
      </x:c>
      <x:c r="O303" s="12" t="str">
        <x:f>IF(D303=$H303,"YES","NO")</x:f>
        <x:v>NO</x:v>
      </x:c>
      <x:c r="P303" s="12" t="str">
        <x:f>IF(E303=$H303,"YES","NO")</x:f>
        <x:v>NO</x:v>
      </x:c>
      <x:c r="Q303" s="12" t="str">
        <x:f>IF(F303=$H303,"YES","NO")</x:f>
        <x:v>NO</x:v>
      </x:c>
      <x:c r="R303" s="12" t="str">
        <x:f>IF(G303=$H303,"YES","NO")</x:f>
        <x:v>YES</x:v>
      </x:c>
    </x:row>
    <x:row r="304">
      <x:c r="A304" s="44" t="str">
        <x:v>bpps_d1000n25m10w10_300s10_100f0_seed0</x:v>
      </x:c>
      <x:c r="B304" s="12" t="n">
        <x:v>25</x:v>
      </x:c>
      <x:c r="C304" s="12" t="n">
        <x:v>6</x:v>
      </x:c>
      <x:c r="D304" s="12" t="n">
        <x:v>6</x:v>
      </x:c>
      <x:c r="E304" s="12" t="n">
        <x:v>6</x:v>
      </x:c>
      <x:c r="F304" s="12" t="n">
        <x:v>6</x:v>
      </x:c>
      <x:c r="G304" s="12" t="n">
        <x:v>5</x:v>
      </x:c>
      <x:c r="H304" s="12" t="n">
        <x:f>MIN(C304:G304)</x:f>
        <x:v>5</x:v>
      </x:c>
      <x:c r="I304" s="14" t="n">
        <x:f>(C304-$H304)/$H304*100</x:f>
        <x:v>20</x:v>
      </x:c>
      <x:c r="J304" s="14" t="n">
        <x:f>(D304-$H304)/$H304*100</x:f>
        <x:v>20</x:v>
      </x:c>
      <x:c r="K304" s="14" t="n">
        <x:f>(E304-$H304)/$H304*100</x:f>
        <x:v>20</x:v>
      </x:c>
      <x:c r="L304" s="14" t="n">
        <x:f>(F304-$H304)/$H304*100</x:f>
        <x:v>20</x:v>
      </x:c>
      <x:c r="M304" s="14" t="n">
        <x:f>(G304-$H304)/$H304*100</x:f>
        <x:v>0</x:v>
      </x:c>
      <x:c r="N304" s="12" t="str">
        <x:f>IF(C304=$H304,"YES","NO")</x:f>
        <x:v>NO</x:v>
      </x:c>
      <x:c r="O304" s="12" t="str">
        <x:f>IF(D304=$H304,"YES","NO")</x:f>
        <x:v>NO</x:v>
      </x:c>
      <x:c r="P304" s="12" t="str">
        <x:f>IF(E304=$H304,"YES","NO")</x:f>
        <x:v>NO</x:v>
      </x:c>
      <x:c r="Q304" s="12" t="str">
        <x:f>IF(F304=$H304,"YES","NO")</x:f>
        <x:v>NO</x:v>
      </x:c>
      <x:c r="R304" s="12" t="str">
        <x:f>IF(G304=$H304,"YES","NO")</x:f>
        <x:v>YES</x:v>
      </x:c>
    </x:row>
    <x:row r="305">
      <x:c r="A305" s="44" t="str">
        <x:v>bpps_d1000n25m10w10_300s10_100f1_seed0</x:v>
      </x:c>
      <x:c r="B305" s="12" t="n">
        <x:v>25</x:v>
      </x:c>
      <x:c r="C305" s="12" t="n">
        <x:v>99</x:v>
      </x:c>
      <x:c r="D305" s="12" t="n">
        <x:v>98</x:v>
      </x:c>
      <x:c r="E305" s="12" t="n">
        <x:v>98</x:v>
      </x:c>
      <x:c r="F305" s="12" t="n">
        <x:v>85</x:v>
      </x:c>
      <x:c r="G305" s="12" t="n">
        <x:v>85</x:v>
      </x:c>
      <x:c r="H305" s="12" t="n">
        <x:f>MIN(C305:G305)</x:f>
        <x:v>85</x:v>
      </x:c>
      <x:c r="I305" s="14" t="n">
        <x:f>(C305-$H305)/$H305*100</x:f>
        <x:v>16.470588235294116</x:v>
      </x:c>
      <x:c r="J305" s="14" t="n">
        <x:f>(D305-$H305)/$H305*100</x:f>
        <x:v>15.294117647058824</x:v>
      </x:c>
      <x:c r="K305" s="14" t="n">
        <x:f>(E305-$H305)/$H305*100</x:f>
        <x:v>15.294117647058824</x:v>
      </x:c>
      <x:c r="L305" s="14" t="n">
        <x:f>(F305-$H305)/$H305*100</x:f>
        <x:v>0</x:v>
      </x:c>
      <x:c r="M305" s="14" t="n">
        <x:f>(G305-$H305)/$H305*100</x:f>
        <x:v>0</x:v>
      </x:c>
      <x:c r="N305" s="12" t="str">
        <x:f>IF(C305=$H305,"YES","NO")</x:f>
        <x:v>NO</x:v>
      </x:c>
      <x:c r="O305" s="12" t="str">
        <x:f>IF(D305=$H305,"YES","NO")</x:f>
        <x:v>NO</x:v>
      </x:c>
      <x:c r="P305" s="12" t="str">
        <x:f>IF(E305=$H305,"YES","NO")</x:f>
        <x:v>NO</x:v>
      </x:c>
      <x:c r="Q305" s="12" t="str">
        <x:f>IF(F305=$H305,"YES","NO")</x:f>
        <x:v>YES</x:v>
      </x:c>
      <x:c r="R305" s="12" t="str">
        <x:f>IF(G305=$H305,"YES","NO")</x:f>
        <x:v>YES</x:v>
      </x:c>
    </x:row>
    <x:row r="306">
      <x:c r="A306" s="44" t="str">
        <x:v>bpps_d1000n25m10w10_300s10_200f0_seed0</x:v>
      </x:c>
      <x:c r="B306" s="12" t="n">
        <x:v>25</x:v>
      </x:c>
      <x:c r="C306" s="12" t="n">
        <x:v>7</x:v>
      </x:c>
      <x:c r="D306" s="12" t="n">
        <x:v>7</x:v>
      </x:c>
      <x:c r="E306" s="12" t="n">
        <x:v>7</x:v>
      </x:c>
      <x:c r="F306" s="12" t="n">
        <x:v>7</x:v>
      </x:c>
      <x:c r="G306" s="12" t="n">
        <x:v>6</x:v>
      </x:c>
      <x:c r="H306" s="12" t="n">
        <x:f>MIN(C306:G306)</x:f>
        <x:v>6</x:v>
      </x:c>
      <x:c r="I306" s="14" t="n">
        <x:f>(C306-$H306)/$H306*100</x:f>
        <x:v>16.666666666666664</x:v>
      </x:c>
      <x:c r="J306" s="14" t="n">
        <x:f>(D306-$H306)/$H306*100</x:f>
        <x:v>16.666666666666664</x:v>
      </x:c>
      <x:c r="K306" s="14" t="n">
        <x:f>(E306-$H306)/$H306*100</x:f>
        <x:v>16.666666666666664</x:v>
      </x:c>
      <x:c r="L306" s="14" t="n">
        <x:f>(F306-$H306)/$H306*100</x:f>
        <x:v>16.666666666666664</x:v>
      </x:c>
      <x:c r="M306" s="14" t="n">
        <x:f>(G306-$H306)/$H306*100</x:f>
        <x:v>0</x:v>
      </x:c>
      <x:c r="N306" s="12" t="str">
        <x:f>IF(C306=$H306,"YES","NO")</x:f>
        <x:v>NO</x:v>
      </x:c>
      <x:c r="O306" s="12" t="str">
        <x:f>IF(D306=$H306,"YES","NO")</x:f>
        <x:v>NO</x:v>
      </x:c>
      <x:c r="P306" s="12" t="str">
        <x:f>IF(E306=$H306,"YES","NO")</x:f>
        <x:v>NO</x:v>
      </x:c>
      <x:c r="Q306" s="12" t="str">
        <x:f>IF(F306=$H306,"YES","NO")</x:f>
        <x:v>NO</x:v>
      </x:c>
      <x:c r="R306" s="12" t="str">
        <x:f>IF(G306=$H306,"YES","NO")</x:f>
        <x:v>YES</x:v>
      </x:c>
    </x:row>
    <x:row r="307">
      <x:c r="A307" s="44" t="str">
        <x:v>bpps_d1000n25m10w10_300s10_200f1_seed0</x:v>
      </x:c>
      <x:c r="B307" s="12" t="n">
        <x:v>25</x:v>
      </x:c>
      <x:c r="C307" s="12" t="n">
        <x:v>103</x:v>
      </x:c>
      <x:c r="D307" s="12" t="n">
        <x:v>100</x:v>
      </x:c>
      <x:c r="E307" s="12" t="n">
        <x:v>100</x:v>
      </x:c>
      <x:c r="F307" s="12" t="n">
        <x:v>93</x:v>
      </x:c>
      <x:c r="G307" s="12" t="n">
        <x:v>87</x:v>
      </x:c>
      <x:c r="H307" s="12" t="n">
        <x:f>MIN(C307:G307)</x:f>
        <x:v>87</x:v>
      </x:c>
      <x:c r="I307" s="14" t="n">
        <x:f>(C307-$H307)/$H307*100</x:f>
        <x:v>18.39080459770115</x:v>
      </x:c>
      <x:c r="J307" s="14" t="n">
        <x:f>(D307-$H307)/$H307*100</x:f>
        <x:v>14.942528735632186</x:v>
      </x:c>
      <x:c r="K307" s="14" t="n">
        <x:f>(E307-$H307)/$H307*100</x:f>
        <x:v>14.942528735632186</x:v>
      </x:c>
      <x:c r="L307" s="14" t="n">
        <x:f>(F307-$H307)/$H307*100</x:f>
        <x:v>6.896551724137931</x:v>
      </x:c>
      <x:c r="M307" s="14" t="n">
        <x:f>(G307-$H307)/$H307*100</x:f>
        <x:v>0</x:v>
      </x:c>
      <x:c r="N307" s="12" t="str">
        <x:f>IF(C307=$H307,"YES","NO")</x:f>
        <x:v>NO</x:v>
      </x:c>
      <x:c r="O307" s="12" t="str">
        <x:f>IF(D307=$H307,"YES","NO")</x:f>
        <x:v>NO</x:v>
      </x:c>
      <x:c r="P307" s="12" t="str">
        <x:f>IF(E307=$H307,"YES","NO")</x:f>
        <x:v>NO</x:v>
      </x:c>
      <x:c r="Q307" s="12" t="str">
        <x:f>IF(F307=$H307,"YES","NO")</x:f>
        <x:v>NO</x:v>
      </x:c>
      <x:c r="R307" s="12" t="str">
        <x:f>IF(G307=$H307,"YES","NO")</x:f>
        <x:v>YES</x:v>
      </x:c>
    </x:row>
    <x:row r="308">
      <x:c r="A308" s="44" t="str">
        <x:v>bpps_d1000n25m10w200_300s100_200f0_seed0</x:v>
      </x:c>
      <x:c r="B308" s="12" t="n">
        <x:v>25</x:v>
      </x:c>
      <x:c r="C308" s="12" t="n">
        <x:v>11</x:v>
      </x:c>
      <x:c r="D308" s="12" t="n">
        <x:v>11</x:v>
      </x:c>
      <x:c r="E308" s="12" t="n">
        <x:v>11</x:v>
      </x:c>
      <x:c r="F308" s="12" t="n">
        <x:v>11</x:v>
      </x:c>
      <x:c r="G308" s="12" t="n">
        <x:v>10</x:v>
      </x:c>
      <x:c r="H308" s="12" t="n">
        <x:f>MIN(C308:G308)</x:f>
        <x:v>10</x:v>
      </x:c>
      <x:c r="I308" s="14" t="n">
        <x:f>(C308-$H308)/$H308*100</x:f>
        <x:v>10</x:v>
      </x:c>
      <x:c r="J308" s="14" t="n">
        <x:f>(D308-$H308)/$H308*100</x:f>
        <x:v>10</x:v>
      </x:c>
      <x:c r="K308" s="14" t="n">
        <x:f>(E308-$H308)/$H308*100</x:f>
        <x:v>10</x:v>
      </x:c>
      <x:c r="L308" s="14" t="n">
        <x:f>(F308-$H308)/$H308*100</x:f>
        <x:v>10</x:v>
      </x:c>
      <x:c r="M308" s="14" t="n">
        <x:f>(G308-$H308)/$H308*100</x:f>
        <x:v>0</x:v>
      </x:c>
      <x:c r="N308" s="12" t="str">
        <x:f>IF(C308=$H308,"YES","NO")</x:f>
        <x:v>NO</x:v>
      </x:c>
      <x:c r="O308" s="12" t="str">
        <x:f>IF(D308=$H308,"YES","NO")</x:f>
        <x:v>NO</x:v>
      </x:c>
      <x:c r="P308" s="12" t="str">
        <x:f>IF(E308=$H308,"YES","NO")</x:f>
        <x:v>NO</x:v>
      </x:c>
      <x:c r="Q308" s="12" t="str">
        <x:f>IF(F308=$H308,"YES","NO")</x:f>
        <x:v>NO</x:v>
      </x:c>
      <x:c r="R308" s="12" t="str">
        <x:f>IF(G308=$H308,"YES","NO")</x:f>
        <x:v>YES</x:v>
      </x:c>
    </x:row>
    <x:row r="309">
      <x:c r="A309" s="44" t="str">
        <x:v>bpps_d1000n25m10w200_300s100_200f1_seed0</x:v>
      </x:c>
      <x:c r="B309" s="12" t="n">
        <x:v>25</x:v>
      </x:c>
      <x:c r="C309" s="12" t="n">
        <x:v>167</x:v>
      </x:c>
      <x:c r="D309" s="12" t="n">
        <x:v>167</x:v>
      </x:c>
      <x:c r="E309" s="12" t="n">
        <x:v>167</x:v>
      </x:c>
      <x:c r="F309" s="12" t="n">
        <x:v>146</x:v>
      </x:c>
      <x:c r="G309" s="12" t="n">
        <x:v>138</x:v>
      </x:c>
      <x:c r="H309" s="12" t="n">
        <x:f>MIN(C309:G309)</x:f>
        <x:v>138</x:v>
      </x:c>
      <x:c r="I309" s="14" t="n">
        <x:f>(C309-$H309)/$H309*100</x:f>
        <x:v>21.014492753623188</x:v>
      </x:c>
      <x:c r="J309" s="14" t="n">
        <x:f>(D309-$H309)/$H309*100</x:f>
        <x:v>21.014492753623188</x:v>
      </x:c>
      <x:c r="K309" s="14" t="n">
        <x:f>(E309-$H309)/$H309*100</x:f>
        <x:v>21.014492753623188</x:v>
      </x:c>
      <x:c r="L309" s="14" t="n">
        <x:f>(F309-$H309)/$H309*100</x:f>
        <x:v>5.797101449275362</x:v>
      </x:c>
      <x:c r="M309" s="14" t="n">
        <x:f>(G309-$H309)/$H309*100</x:f>
        <x:v>0</x:v>
      </x:c>
      <x:c r="N309" s="12" t="str">
        <x:f>IF(C309=$H309,"YES","NO")</x:f>
        <x:v>NO</x:v>
      </x:c>
      <x:c r="O309" s="12" t="str">
        <x:f>IF(D309=$H309,"YES","NO")</x:f>
        <x:v>NO</x:v>
      </x:c>
      <x:c r="P309" s="12" t="str">
        <x:f>IF(E309=$H309,"YES","NO")</x:f>
        <x:v>NO</x:v>
      </x:c>
      <x:c r="Q309" s="12" t="str">
        <x:f>IF(F309=$H309,"YES","NO")</x:f>
        <x:v>NO</x:v>
      </x:c>
      <x:c r="R309" s="12" t="str">
        <x:f>IF(G309=$H309,"YES","NO")</x:f>
        <x:v>YES</x:v>
      </x:c>
    </x:row>
    <x:row r="310">
      <x:c r="A310" s="44" t="str">
        <x:v>bpps_d1000n25m10w200_300s10_100f0_seed0</x:v>
      </x:c>
      <x:c r="B310" s="12" t="n">
        <x:v>25</x:v>
      </x:c>
      <x:c r="C310" s="12" t="n">
        <x:v>8</x:v>
      </x:c>
      <x:c r="D310" s="12" t="n">
        <x:v>8</x:v>
      </x:c>
      <x:c r="E310" s="12" t="n">
        <x:v>9</x:v>
      </x:c>
      <x:c r="F310" s="12" t="n">
        <x:v>10</x:v>
      </x:c>
      <x:c r="G310" s="12" t="n">
        <x:v>8</x:v>
      </x:c>
      <x:c r="H310" s="12" t="n">
        <x:f>MIN(C310:G310)</x:f>
        <x:v>8</x:v>
      </x:c>
      <x:c r="I310" s="14" t="n">
        <x:f>(C310-$H310)/$H310*100</x:f>
        <x:v>0</x:v>
      </x:c>
      <x:c r="J310" s="14" t="n">
        <x:f>(D310-$H310)/$H310*100</x:f>
        <x:v>0</x:v>
      </x:c>
      <x:c r="K310" s="14" t="n">
        <x:f>(E310-$H310)/$H310*100</x:f>
        <x:v>12.5</x:v>
      </x:c>
      <x:c r="L310" s="14" t="n">
        <x:f>(F310-$H310)/$H310*100</x:f>
        <x:v>25</x:v>
      </x:c>
      <x:c r="M310" s="14" t="n">
        <x:f>(G310-$H310)/$H310*100</x:f>
        <x:v>0</x:v>
      </x:c>
      <x:c r="N310" s="12" t="str">
        <x:f>IF(C310=$H310,"YES","NO")</x:f>
        <x:v>YES</x:v>
      </x:c>
      <x:c r="O310" s="12" t="str">
        <x:f>IF(D310=$H310,"YES","NO")</x:f>
        <x:v>YES</x:v>
      </x:c>
      <x:c r="P310" s="12" t="str">
        <x:f>IF(E310=$H310,"YES","NO")</x:f>
        <x:v>NO</x:v>
      </x:c>
      <x:c r="Q310" s="12" t="str">
        <x:f>IF(F310=$H310,"YES","NO")</x:f>
        <x:v>NO</x:v>
      </x:c>
      <x:c r="R310" s="12" t="str">
        <x:f>IF(G310=$H310,"YES","NO")</x:f>
        <x:v>YES</x:v>
      </x:c>
    </x:row>
    <x:row r="311">
      <x:c r="A311" s="44" t="str">
        <x:v>bpps_d1000n25m10w200_300s10_100f1_seed0</x:v>
      </x:c>
      <x:c r="B311" s="12" t="n">
        <x:v>25</x:v>
      </x:c>
      <x:c r="C311" s="12" t="n">
        <x:v>152</x:v>
      </x:c>
      <x:c r="D311" s="12" t="n">
        <x:v>151</x:v>
      </x:c>
      <x:c r="E311" s="12" t="n">
        <x:v>153</x:v>
      </x:c>
      <x:c r="F311" s="12" t="n">
        <x:v>131</x:v>
      </x:c>
      <x:c r="G311" s="12" t="n">
        <x:v>123</x:v>
      </x:c>
      <x:c r="H311" s="12" t="n">
        <x:f>MIN(C311:G311)</x:f>
        <x:v>123</x:v>
      </x:c>
      <x:c r="I311" s="14" t="n">
        <x:f>(C311-$H311)/$H311*100</x:f>
        <x:v>23.577235772357724</x:v>
      </x:c>
      <x:c r="J311" s="14" t="n">
        <x:f>(D311-$H311)/$H311*100</x:f>
        <x:v>22.76422764227642</x:v>
      </x:c>
      <x:c r="K311" s="14" t="n">
        <x:f>(E311-$H311)/$H311*100</x:f>
        <x:v>24.390243902439025</x:v>
      </x:c>
      <x:c r="L311" s="14" t="n">
        <x:f>(F311-$H311)/$H311*100</x:f>
        <x:v>6.504065040650407</x:v>
      </x:c>
      <x:c r="M311" s="14" t="n">
        <x:f>(G311-$H311)/$H311*100</x:f>
        <x:v>0</x:v>
      </x:c>
      <x:c r="N311" s="12" t="str">
        <x:f>IF(C311=$H311,"YES","NO")</x:f>
        <x:v>NO</x:v>
      </x:c>
      <x:c r="O311" s="12" t="str">
        <x:f>IF(D311=$H311,"YES","NO")</x:f>
        <x:v>NO</x:v>
      </x:c>
      <x:c r="P311" s="12" t="str">
        <x:f>IF(E311=$H311,"YES","NO")</x:f>
        <x:v>NO</x:v>
      </x:c>
      <x:c r="Q311" s="12" t="str">
        <x:f>IF(F311=$H311,"YES","NO")</x:f>
        <x:v>NO</x:v>
      </x:c>
      <x:c r="R311" s="12" t="str">
        <x:f>IF(G311=$H311,"YES","NO")</x:f>
        <x:v>YES</x:v>
      </x:c>
    </x:row>
    <x:row r="312">
      <x:c r="A312" s="44" t="str">
        <x:v>bpps_d1000n25m10w200_300s10_200f0_seed0</x:v>
      </x:c>
      <x:c r="B312" s="12" t="n">
        <x:v>25</x:v>
      </x:c>
      <x:c r="C312" s="12" t="n">
        <x:v>10</x:v>
      </x:c>
      <x:c r="D312" s="12" t="n">
        <x:v>10</x:v>
      </x:c>
      <x:c r="E312" s="12" t="n">
        <x:v>10</x:v>
      </x:c>
      <x:c r="F312" s="12" t="n">
        <x:v>10</x:v>
      </x:c>
      <x:c r="G312" s="12" t="n">
        <x:v>9</x:v>
      </x:c>
      <x:c r="H312" s="12" t="n">
        <x:f>MIN(C312:G312)</x:f>
        <x:v>9</x:v>
      </x:c>
      <x:c r="I312" s="14" t="n">
        <x:f>(C312-$H312)/$H312*100</x:f>
        <x:v>11.11111111111111</x:v>
      </x:c>
      <x:c r="J312" s="14" t="n">
        <x:f>(D312-$H312)/$H312*100</x:f>
        <x:v>11.11111111111111</x:v>
      </x:c>
      <x:c r="K312" s="14" t="n">
        <x:f>(E312-$H312)/$H312*100</x:f>
        <x:v>11.11111111111111</x:v>
      </x:c>
      <x:c r="L312" s="14" t="n">
        <x:f>(F312-$H312)/$H312*100</x:f>
        <x:v>11.11111111111111</x:v>
      </x:c>
      <x:c r="M312" s="14" t="n">
        <x:f>(G312-$H312)/$H312*100</x:f>
        <x:v>0</x:v>
      </x:c>
      <x:c r="N312" s="12" t="str">
        <x:f>IF(C312=$H312,"YES","NO")</x:f>
        <x:v>NO</x:v>
      </x:c>
      <x:c r="O312" s="12" t="str">
        <x:f>IF(D312=$H312,"YES","NO")</x:f>
        <x:v>NO</x:v>
      </x:c>
      <x:c r="P312" s="12" t="str">
        <x:f>IF(E312=$H312,"YES","NO")</x:f>
        <x:v>NO</x:v>
      </x:c>
      <x:c r="Q312" s="12" t="str">
        <x:f>IF(F312=$H312,"YES","NO")</x:f>
        <x:v>NO</x:v>
      </x:c>
      <x:c r="R312" s="12" t="str">
        <x:f>IF(G312=$H312,"YES","NO")</x:f>
        <x:v>YES</x:v>
      </x:c>
    </x:row>
    <x:row r="313">
      <x:c r="A313" s="44" t="str">
        <x:v>bpps_d1000n25m10w200_300s10_200f1_seed0</x:v>
      </x:c>
      <x:c r="B313" s="12" t="n">
        <x:v>25</x:v>
      </x:c>
      <x:c r="C313" s="12" t="n">
        <x:v>140</x:v>
      </x:c>
      <x:c r="D313" s="12" t="n">
        <x:v>140</x:v>
      </x:c>
      <x:c r="E313" s="12" t="n">
        <x:v>140</x:v>
      </x:c>
      <x:c r="F313" s="12" t="n">
        <x:v>129</x:v>
      </x:c>
      <x:c r="G313" s="12" t="n">
        <x:v>129</x:v>
      </x:c>
      <x:c r="H313" s="12" t="n">
        <x:f>MIN(C313:G313)</x:f>
        <x:v>129</x:v>
      </x:c>
      <x:c r="I313" s="14" t="n">
        <x:f>(C313-$H313)/$H313*100</x:f>
        <x:v>8.527131782945736</x:v>
      </x:c>
      <x:c r="J313" s="14" t="n">
        <x:f>(D313-$H313)/$H313*100</x:f>
        <x:v>8.527131782945736</x:v>
      </x:c>
      <x:c r="K313" s="14" t="n">
        <x:f>(E313-$H313)/$H313*100</x:f>
        <x:v>8.527131782945736</x:v>
      </x:c>
      <x:c r="L313" s="14" t="n">
        <x:f>(F313-$H313)/$H313*100</x:f>
        <x:v>0</x:v>
      </x:c>
      <x:c r="M313" s="14" t="n">
        <x:f>(G313-$H313)/$H313*100</x:f>
        <x:v>0</x:v>
      </x:c>
      <x:c r="N313" s="12" t="str">
        <x:f>IF(C313=$H313,"YES","NO")</x:f>
        <x:v>NO</x:v>
      </x:c>
      <x:c r="O313" s="12" t="str">
        <x:f>IF(D313=$H313,"YES","NO")</x:f>
        <x:v>NO</x:v>
      </x:c>
      <x:c r="P313" s="12" t="str">
        <x:f>IF(E313=$H313,"YES","NO")</x:f>
        <x:v>NO</x:v>
      </x:c>
      <x:c r="Q313" s="12" t="str">
        <x:f>IF(F313=$H313,"YES","NO")</x:f>
        <x:v>YES</x:v>
      </x:c>
      <x:c r="R313" s="12" t="str">
        <x:f>IF(G313=$H313,"YES","NO")</x:f>
        <x:v>YES</x:v>
      </x:c>
    </x:row>
    <x:row r="314">
      <x:c r="A314" s="44" t="str">
        <x:v>bpps_d1000n25m5w100_200s100_200f0_seed0</x:v>
      </x:c>
      <x:c r="B314" s="12" t="n">
        <x:v>25</x:v>
      </x:c>
      <x:c r="C314" s="12" t="n">
        <x:v>7</x:v>
      </x:c>
      <x:c r="D314" s="12" t="n">
        <x:v>7</x:v>
      </x:c>
      <x:c r="E314" s="12" t="n">
        <x:v>7</x:v>
      </x:c>
      <x:c r="F314" s="12" t="n">
        <x:v>6</x:v>
      </x:c>
      <x:c r="G314" s="12" t="n">
        <x:v>6</x:v>
      </x:c>
      <x:c r="H314" s="12" t="n">
        <x:f>MIN(C314:G314)</x:f>
        <x:v>6</x:v>
      </x:c>
      <x:c r="I314" s="14" t="n">
        <x:f>(C314-$H314)/$H314*100</x:f>
        <x:v>16.666666666666664</x:v>
      </x:c>
      <x:c r="J314" s="14" t="n">
        <x:f>(D314-$H314)/$H314*100</x:f>
        <x:v>16.666666666666664</x:v>
      </x:c>
      <x:c r="K314" s="14" t="n">
        <x:f>(E314-$H314)/$H314*100</x:f>
        <x:v>16.666666666666664</x:v>
      </x:c>
      <x:c r="L314" s="14" t="n">
        <x:f>(F314-$H314)/$H314*100</x:f>
        <x:v>0</x:v>
      </x:c>
      <x:c r="M314" s="14" t="n">
        <x:f>(G314-$H314)/$H314*100</x:f>
        <x:v>0</x:v>
      </x:c>
      <x:c r="N314" s="12" t="str">
        <x:f>IF(C314=$H314,"YES","NO")</x:f>
        <x:v>NO</x:v>
      </x:c>
      <x:c r="O314" s="12" t="str">
        <x:f>IF(D314=$H314,"YES","NO")</x:f>
        <x:v>NO</x:v>
      </x:c>
      <x:c r="P314" s="12" t="str">
        <x:f>IF(E314=$H314,"YES","NO")</x:f>
        <x:v>NO</x:v>
      </x:c>
      <x:c r="Q314" s="12" t="str">
        <x:f>IF(F314=$H314,"YES","NO")</x:f>
        <x:v>YES</x:v>
      </x:c>
      <x:c r="R314" s="12" t="str">
        <x:f>IF(G314=$H314,"YES","NO")</x:f>
        <x:v>YES</x:v>
      </x:c>
    </x:row>
    <x:row r="315">
      <x:c r="A315" s="44" t="str">
        <x:v>bpps_d1000n25m5w100_200s100_200f1_seed0</x:v>
      </x:c>
      <x:c r="B315" s="12" t="n">
        <x:v>25</x:v>
      </x:c>
      <x:c r="C315" s="12" t="n">
        <x:v>110</x:v>
      </x:c>
      <x:c r="D315" s="12" t="n">
        <x:v>110</x:v>
      </x:c>
      <x:c r="E315" s="12" t="n">
        <x:v>110</x:v>
      </x:c>
      <x:c r="F315" s="12" t="n">
        <x:v>86</x:v>
      </x:c>
      <x:c r="G315" s="12" t="n">
        <x:v>86</x:v>
      </x:c>
      <x:c r="H315" s="12" t="n">
        <x:f>MIN(C315:G315)</x:f>
        <x:v>86</x:v>
      </x:c>
      <x:c r="I315" s="14" t="n">
        <x:f>(C315-$H315)/$H315*100</x:f>
        <x:v>27.906976744186046</x:v>
      </x:c>
      <x:c r="J315" s="14" t="n">
        <x:f>(D315-$H315)/$H315*100</x:f>
        <x:v>27.906976744186046</x:v>
      </x:c>
      <x:c r="K315" s="14" t="n">
        <x:f>(E315-$H315)/$H315*100</x:f>
        <x:v>27.906976744186046</x:v>
      </x:c>
      <x:c r="L315" s="14" t="n">
        <x:f>(F315-$H315)/$H315*100</x:f>
        <x:v>0</x:v>
      </x:c>
      <x:c r="M315" s="14" t="n">
        <x:f>(G315-$H315)/$H315*100</x:f>
        <x:v>0</x:v>
      </x:c>
      <x:c r="N315" s="12" t="str">
        <x:f>IF(C315=$H315,"YES","NO")</x:f>
        <x:v>NO</x:v>
      </x:c>
      <x:c r="O315" s="12" t="str">
        <x:f>IF(D315=$H315,"YES","NO")</x:f>
        <x:v>NO</x:v>
      </x:c>
      <x:c r="P315" s="12" t="str">
        <x:f>IF(E315=$H315,"YES","NO")</x:f>
        <x:v>NO</x:v>
      </x:c>
      <x:c r="Q315" s="12" t="str">
        <x:f>IF(F315=$H315,"YES","NO")</x:f>
        <x:v>YES</x:v>
      </x:c>
      <x:c r="R315" s="12" t="str">
        <x:f>IF(G315=$H315,"YES","NO")</x:f>
        <x:v>YES</x:v>
      </x:c>
    </x:row>
    <x:row r="316">
      <x:c r="A316" s="44" t="str">
        <x:v>bpps_d1000n25m5w100_200s10_100f0_seed0</x:v>
      </x:c>
      <x:c r="B316" s="12" t="n">
        <x:v>25</x:v>
      </x:c>
      <x:c r="C316" s="12" t="n">
        <x:v>5</x:v>
      </x:c>
      <x:c r="D316" s="12" t="n">
        <x:v>5</x:v>
      </x:c>
      <x:c r="E316" s="12" t="n">
        <x:v>5</x:v>
      </x:c>
      <x:c r="F316" s="12" t="n">
        <x:v>6</x:v>
      </x:c>
      <x:c r="G316" s="12" t="n">
        <x:v>5</x:v>
      </x:c>
      <x:c r="H316" s="12" t="n">
        <x:f>MIN(C316:G316)</x:f>
        <x:v>5</x:v>
      </x:c>
      <x:c r="I316" s="14" t="n">
        <x:f>(C316-$H316)/$H316*100</x:f>
        <x:v>0</x:v>
      </x:c>
      <x:c r="J316" s="14" t="n">
        <x:f>(D316-$H316)/$H316*100</x:f>
        <x:v>0</x:v>
      </x:c>
      <x:c r="K316" s="14" t="n">
        <x:f>(E316-$H316)/$H316*100</x:f>
        <x:v>0</x:v>
      </x:c>
      <x:c r="L316" s="14" t="n">
        <x:f>(F316-$H316)/$H316*100</x:f>
        <x:v>20</x:v>
      </x:c>
      <x:c r="M316" s="14" t="n">
        <x:f>(G316-$H316)/$H316*100</x:f>
        <x:v>0</x:v>
      </x:c>
      <x:c r="N316" s="12" t="str">
        <x:f>IF(C316=$H316,"YES","NO")</x:f>
        <x:v>YES</x:v>
      </x:c>
      <x:c r="O316" s="12" t="str">
        <x:f>IF(D316=$H316,"YES","NO")</x:f>
        <x:v>YES</x:v>
      </x:c>
      <x:c r="P316" s="12" t="str">
        <x:f>IF(E316=$H316,"YES","NO")</x:f>
        <x:v>YES</x:v>
      </x:c>
      <x:c r="Q316" s="12" t="str">
        <x:f>IF(F316=$H316,"YES","NO")</x:f>
        <x:v>NO</x:v>
      </x:c>
      <x:c r="R316" s="12" t="str">
        <x:f>IF(G316=$H316,"YES","NO")</x:f>
        <x:v>YES</x:v>
      </x:c>
    </x:row>
    <x:row r="317">
      <x:c r="A317" s="44" t="str">
        <x:v>bpps_d1000n25m5w100_200s10_100f1_seed0</x:v>
      </x:c>
      <x:c r="B317" s="12" t="n">
        <x:v>25</x:v>
      </x:c>
      <x:c r="C317" s="12" t="n">
        <x:v>96</x:v>
      </x:c>
      <x:c r="D317" s="12" t="n">
        <x:v>91</x:v>
      </x:c>
      <x:c r="E317" s="12" t="n">
        <x:v>83</x:v>
      </x:c>
      <x:c r="F317" s="12" t="n">
        <x:v>82</x:v>
      </x:c>
      <x:c r="G317" s="12" t="n">
        <x:v>72</x:v>
      </x:c>
      <x:c r="H317" s="12" t="n">
        <x:f>MIN(C317:G317)</x:f>
        <x:v>72</x:v>
      </x:c>
      <x:c r="I317" s="14" t="n">
        <x:f>(C317-$H317)/$H317*100</x:f>
        <x:v>33.33333333333333</x:v>
      </x:c>
      <x:c r="J317" s="14" t="n">
        <x:f>(D317-$H317)/$H317*100</x:f>
        <x:v>26.38888888888889</x:v>
      </x:c>
      <x:c r="K317" s="14" t="n">
        <x:f>(E317-$H317)/$H317*100</x:f>
        <x:v>15.277777777777779</x:v>
      </x:c>
      <x:c r="L317" s="14" t="n">
        <x:f>(F317-$H317)/$H317*100</x:f>
        <x:v>13.88888888888889</x:v>
      </x:c>
      <x:c r="M317" s="14" t="n">
        <x:f>(G317-$H317)/$H317*100</x:f>
        <x:v>0</x:v>
      </x:c>
      <x:c r="N317" s="12" t="str">
        <x:f>IF(C317=$H317,"YES","NO")</x:f>
        <x:v>NO</x:v>
      </x:c>
      <x:c r="O317" s="12" t="str">
        <x:f>IF(D317=$H317,"YES","NO")</x:f>
        <x:v>NO</x:v>
      </x:c>
      <x:c r="P317" s="12" t="str">
        <x:f>IF(E317=$H317,"YES","NO")</x:f>
        <x:v>NO</x:v>
      </x:c>
      <x:c r="Q317" s="12" t="str">
        <x:f>IF(F317=$H317,"YES","NO")</x:f>
        <x:v>NO</x:v>
      </x:c>
      <x:c r="R317" s="12" t="str">
        <x:f>IF(G317=$H317,"YES","NO")</x:f>
        <x:v>YES</x:v>
      </x:c>
    </x:row>
    <x:row r="318">
      <x:c r="A318" s="44" t="str">
        <x:v>bpps_d1000n25m5w100_200s10_200f0_seed0</x:v>
      </x:c>
      <x:c r="B318" s="12" t="n">
        <x:v>25</x:v>
      </x:c>
      <x:c r="C318" s="12" t="n">
        <x:v>7</x:v>
      </x:c>
      <x:c r="D318" s="12" t="n">
        <x:v>6</x:v>
      </x:c>
      <x:c r="E318" s="12" t="n">
        <x:v>6</x:v>
      </x:c>
      <x:c r="F318" s="12" t="n">
        <x:v>6</x:v>
      </x:c>
      <x:c r="G318" s="12" t="n">
        <x:v>6</x:v>
      </x:c>
      <x:c r="H318" s="12" t="n">
        <x:f>MIN(C318:G318)</x:f>
        <x:v>6</x:v>
      </x:c>
      <x:c r="I318" s="14" t="n">
        <x:f>(C318-$H318)/$H318*100</x:f>
        <x:v>16.666666666666664</x:v>
      </x:c>
      <x:c r="J318" s="14" t="n">
        <x:f>(D318-$H318)/$H318*100</x:f>
        <x:v>0</x:v>
      </x:c>
      <x:c r="K318" s="14" t="n">
        <x:f>(E318-$H318)/$H318*100</x:f>
        <x:v>0</x:v>
      </x:c>
      <x:c r="L318" s="14" t="n">
        <x:f>(F318-$H318)/$H318*100</x:f>
        <x:v>0</x:v>
      </x:c>
      <x:c r="M318" s="14" t="n">
        <x:f>(G318-$H318)/$H318*100</x:f>
        <x:v>0</x:v>
      </x:c>
      <x:c r="N318" s="12" t="str">
        <x:f>IF(C318=$H318,"YES","NO")</x:f>
        <x:v>NO</x:v>
      </x:c>
      <x:c r="O318" s="12" t="str">
        <x:f>IF(D318=$H318,"YES","NO")</x:f>
        <x:v>YES</x:v>
      </x:c>
      <x:c r="P318" s="12" t="str">
        <x:f>IF(E318=$H318,"YES","NO")</x:f>
        <x:v>YES</x:v>
      </x:c>
      <x:c r="Q318" s="12" t="str">
        <x:f>IF(F318=$H318,"YES","NO")</x:f>
        <x:v>YES</x:v>
      </x:c>
      <x:c r="R318" s="12" t="str">
        <x:f>IF(G318=$H318,"YES","NO")</x:f>
        <x:v>YES</x:v>
      </x:c>
    </x:row>
    <x:row r="319">
      <x:c r="A319" s="44" t="str">
        <x:v>bpps_d1000n25m5w100_200s10_200f1_seed0</x:v>
      </x:c>
      <x:c r="B319" s="12" t="n">
        <x:v>25</x:v>
      </x:c>
      <x:c r="C319" s="12" t="n">
        <x:v>114</x:v>
      </x:c>
      <x:c r="D319" s="12" t="n">
        <x:v>118</x:v>
      </x:c>
      <x:c r="E319" s="12" t="n">
        <x:v>108</x:v>
      </x:c>
      <x:c r="F319" s="12" t="n">
        <x:v>92</x:v>
      </x:c>
      <x:c r="G319" s="12" t="n">
        <x:v>81</x:v>
      </x:c>
      <x:c r="H319" s="12" t="n">
        <x:f>MIN(C319:G319)</x:f>
        <x:v>81</x:v>
      </x:c>
      <x:c r="I319" s="14" t="n">
        <x:f>(C319-$H319)/$H319*100</x:f>
        <x:v>40.74074074074074</x:v>
      </x:c>
      <x:c r="J319" s="14" t="n">
        <x:f>(D319-$H319)/$H319*100</x:f>
        <x:v>45.67901234567901</x:v>
      </x:c>
      <x:c r="K319" s="14" t="n">
        <x:f>(E319-$H319)/$H319*100</x:f>
        <x:v>33.33333333333333</x:v>
      </x:c>
      <x:c r="L319" s="14" t="n">
        <x:f>(F319-$H319)/$H319*100</x:f>
        <x:v>13.580246913580247</x:v>
      </x:c>
      <x:c r="M319" s="14" t="n">
        <x:f>(G319-$H319)/$H319*100</x:f>
        <x:v>0</x:v>
      </x:c>
      <x:c r="N319" s="12" t="str">
        <x:f>IF(C319=$H319,"YES","NO")</x:f>
        <x:v>NO</x:v>
      </x:c>
      <x:c r="O319" s="12" t="str">
        <x:f>IF(D319=$H319,"YES","NO")</x:f>
        <x:v>NO</x:v>
      </x:c>
      <x:c r="P319" s="12" t="str">
        <x:f>IF(E319=$H319,"YES","NO")</x:f>
        <x:v>NO</x:v>
      </x:c>
      <x:c r="Q319" s="12" t="str">
        <x:f>IF(F319=$H319,"YES","NO")</x:f>
        <x:v>NO</x:v>
      </x:c>
      <x:c r="R319" s="12" t="str">
        <x:f>IF(G319=$H319,"YES","NO")</x:f>
        <x:v>YES</x:v>
      </x:c>
    </x:row>
    <x:row r="320">
      <x:c r="A320" s="44" t="str">
        <x:v>bpps_d1000n25m5w10_100s100_200f0_seed0</x:v>
      </x:c>
      <x:c r="B320" s="12" t="n">
        <x:v>25</x:v>
      </x:c>
      <x:c r="C320" s="12" t="n">
        <x:v>4</x:v>
      </x:c>
      <x:c r="D320" s="12" t="n">
        <x:v>4</x:v>
      </x:c>
      <x:c r="E320" s="12" t="n">
        <x:v>4</x:v>
      </x:c>
      <x:c r="F320" s="12" t="n">
        <x:v>5</x:v>
      </x:c>
      <x:c r="G320" s="12" t="n">
        <x:v>4</x:v>
      </x:c>
      <x:c r="H320" s="12" t="n">
        <x:f>MIN(C320:G320)</x:f>
        <x:v>4</x:v>
      </x:c>
      <x:c r="I320" s="14" t="n">
        <x:f>(C320-$H320)/$H320*100</x:f>
        <x:v>0</x:v>
      </x:c>
      <x:c r="J320" s="14" t="n">
        <x:f>(D320-$H320)/$H320*100</x:f>
        <x:v>0</x:v>
      </x:c>
      <x:c r="K320" s="14" t="n">
        <x:f>(E320-$H320)/$H320*100</x:f>
        <x:v>0</x:v>
      </x:c>
      <x:c r="L320" s="14" t="n">
        <x:f>(F320-$H320)/$H320*100</x:f>
        <x:v>25</x:v>
      </x:c>
      <x:c r="M320" s="14" t="n">
        <x:f>(G320-$H320)/$H320*100</x:f>
        <x:v>0</x:v>
      </x:c>
      <x:c r="N320" s="12" t="str">
        <x:f>IF(C320=$H320,"YES","NO")</x:f>
        <x:v>YES</x:v>
      </x:c>
      <x:c r="O320" s="12" t="str">
        <x:f>IF(D320=$H320,"YES","NO")</x:f>
        <x:v>YES</x:v>
      </x:c>
      <x:c r="P320" s="12" t="str">
        <x:f>IF(E320=$H320,"YES","NO")</x:f>
        <x:v>YES</x:v>
      </x:c>
      <x:c r="Q320" s="12" t="str">
        <x:f>IF(F320=$H320,"YES","NO")</x:f>
        <x:v>NO</x:v>
      </x:c>
      <x:c r="R320" s="12" t="str">
        <x:f>IF(G320=$H320,"YES","NO")</x:f>
        <x:v>YES</x:v>
      </x:c>
    </x:row>
    <x:row r="321">
      <x:c r="A321" s="44" t="str">
        <x:v>bpps_d1000n25m5w10_100s100_200f1_seed0</x:v>
      </x:c>
      <x:c r="B321" s="12" t="n">
        <x:v>25</x:v>
      </x:c>
      <x:c r="C321" s="12" t="n">
        <x:v>79</x:v>
      </x:c>
      <x:c r="D321" s="12" t="n">
        <x:v>79</x:v>
      </x:c>
      <x:c r="E321" s="12" t="n">
        <x:v>75</x:v>
      </x:c>
      <x:c r="F321" s="12" t="n">
        <x:v>81</x:v>
      </x:c>
      <x:c r="G321" s="12" t="n">
        <x:v>71</x:v>
      </x:c>
      <x:c r="H321" s="12" t="n">
        <x:f>MIN(C321:G321)</x:f>
        <x:v>71</x:v>
      </x:c>
      <x:c r="I321" s="14" t="n">
        <x:f>(C321-$H321)/$H321*100</x:f>
        <x:v>11.267605633802818</x:v>
      </x:c>
      <x:c r="J321" s="14" t="n">
        <x:f>(D321-$H321)/$H321*100</x:f>
        <x:v>11.267605633802818</x:v>
      </x:c>
      <x:c r="K321" s="14" t="n">
        <x:f>(E321-$H321)/$H321*100</x:f>
        <x:v>5.633802816901409</x:v>
      </x:c>
      <x:c r="L321" s="14" t="n">
        <x:f>(F321-$H321)/$H321*100</x:f>
        <x:v>14.084507042253522</x:v>
      </x:c>
      <x:c r="M321" s="14" t="n">
        <x:f>(G321-$H321)/$H321*100</x:f>
        <x:v>0</x:v>
      </x:c>
      <x:c r="N321" s="12" t="str">
        <x:f>IF(C321=$H321,"YES","NO")</x:f>
        <x:v>NO</x:v>
      </x:c>
      <x:c r="O321" s="12" t="str">
        <x:f>IF(D321=$H321,"YES","NO")</x:f>
        <x:v>NO</x:v>
      </x:c>
      <x:c r="P321" s="12" t="str">
        <x:f>IF(E321=$H321,"YES","NO")</x:f>
        <x:v>NO</x:v>
      </x:c>
      <x:c r="Q321" s="12" t="str">
        <x:f>IF(F321=$H321,"YES","NO")</x:f>
        <x:v>NO</x:v>
      </x:c>
      <x:c r="R321" s="12" t="str">
        <x:f>IF(G321=$H321,"YES","NO")</x:f>
        <x:v>YES</x:v>
      </x:c>
    </x:row>
    <x:row r="322">
      <x:c r="A322" s="44" t="str">
        <x:v>bpps_d1000n25m5w10_100s10_100f0_seed0</x:v>
      </x:c>
      <x:c r="B322" s="12" t="n">
        <x:v>25</x:v>
      </x:c>
      <x:c r="C322" s="12" t="n">
        <x:v>3</x:v>
      </x:c>
      <x:c r="D322" s="12" t="n">
        <x:v>3</x:v>
      </x:c>
      <x:c r="E322" s="12" t="n">
        <x:v>3</x:v>
      </x:c>
      <x:c r="F322" s="12" t="n">
        <x:v>4</x:v>
      </x:c>
      <x:c r="G322" s="12" t="n">
        <x:v>3</x:v>
      </x:c>
      <x:c r="H322" s="12" t="n">
        <x:f>MIN(C322:G322)</x:f>
        <x:v>3</x:v>
      </x:c>
      <x:c r="I322" s="14" t="n">
        <x:f>(C322-$H322)/$H322*100</x:f>
        <x:v>0</x:v>
      </x:c>
      <x:c r="J322" s="14" t="n">
        <x:f>(D322-$H322)/$H322*100</x:f>
        <x:v>0</x:v>
      </x:c>
      <x:c r="K322" s="14" t="n">
        <x:f>(E322-$H322)/$H322*100</x:f>
        <x:v>0</x:v>
      </x:c>
      <x:c r="L322" s="14" t="n">
        <x:f>(F322-$H322)/$H322*100</x:f>
        <x:v>33.33333333333333</x:v>
      </x:c>
      <x:c r="M322" s="14" t="n">
        <x:f>(G322-$H322)/$H322*100</x:f>
        <x:v>0</x:v>
      </x:c>
      <x:c r="N322" s="12" t="str">
        <x:f>IF(C322=$H322,"YES","NO")</x:f>
        <x:v>YES</x:v>
      </x:c>
      <x:c r="O322" s="12" t="str">
        <x:f>IF(D322=$H322,"YES","NO")</x:f>
        <x:v>YES</x:v>
      </x:c>
      <x:c r="P322" s="12" t="str">
        <x:f>IF(E322=$H322,"YES","NO")</x:f>
        <x:v>YES</x:v>
      </x:c>
      <x:c r="Q322" s="12" t="str">
        <x:f>IF(F322=$H322,"YES","NO")</x:f>
        <x:v>NO</x:v>
      </x:c>
      <x:c r="R322" s="12" t="str">
        <x:f>IF(G322=$H322,"YES","NO")</x:f>
        <x:v>YES</x:v>
      </x:c>
    </x:row>
    <x:row r="323">
      <x:c r="A323" s="44" t="str">
        <x:v>bpps_d1000n25m5w10_100s10_100f1_seed0</x:v>
      </x:c>
      <x:c r="B323" s="12" t="n">
        <x:v>25</x:v>
      </x:c>
      <x:c r="C323" s="12" t="n">
        <x:v>76</x:v>
      </x:c>
      <x:c r="D323" s="12" t="n">
        <x:v>75</x:v>
      </x:c>
      <x:c r="E323" s="12" t="n">
        <x:v>68</x:v>
      </x:c>
      <x:c r="F323" s="12" t="n">
        <x:v>71</x:v>
      </x:c>
      <x:c r="G323" s="12" t="n">
        <x:v>68</x:v>
      </x:c>
      <x:c r="H323" s="12" t="n">
        <x:f>MIN(C323:G323)</x:f>
        <x:v>68</x:v>
      </x:c>
      <x:c r="I323" s="14" t="n">
        <x:f>(C323-$H323)/$H323*100</x:f>
        <x:v>11.76470588235294</x:v>
      </x:c>
      <x:c r="J323" s="14" t="n">
        <x:f>(D323-$H323)/$H323*100</x:f>
        <x:v>10.294117647058822</x:v>
      </x:c>
      <x:c r="K323" s="14" t="n">
        <x:f>(E323-$H323)/$H323*100</x:f>
        <x:v>0</x:v>
      </x:c>
      <x:c r="L323" s="14" t="n">
        <x:f>(F323-$H323)/$H323*100</x:f>
        <x:v>4.411764705882353</x:v>
      </x:c>
      <x:c r="M323" s="14" t="n">
        <x:f>(G323-$H323)/$H323*100</x:f>
        <x:v>0</x:v>
      </x:c>
      <x:c r="N323" s="12" t="str">
        <x:f>IF(C323=$H323,"YES","NO")</x:f>
        <x:v>NO</x:v>
      </x:c>
      <x:c r="O323" s="12" t="str">
        <x:f>IF(D323=$H323,"YES","NO")</x:f>
        <x:v>NO</x:v>
      </x:c>
      <x:c r="P323" s="12" t="str">
        <x:f>IF(E323=$H323,"YES","NO")</x:f>
        <x:v>YES</x:v>
      </x:c>
      <x:c r="Q323" s="12" t="str">
        <x:f>IF(F323=$H323,"YES","NO")</x:f>
        <x:v>NO</x:v>
      </x:c>
      <x:c r="R323" s="12" t="str">
        <x:f>IF(G323=$H323,"YES","NO")</x:f>
        <x:v>YES</x:v>
      </x:c>
    </x:row>
    <x:row r="324">
      <x:c r="A324" s="44" t="str">
        <x:v>bpps_d1000n25m5w10_100s10_200f0_seed0</x:v>
      </x:c>
      <x:c r="B324" s="12" t="n">
        <x:v>25</x:v>
      </x:c>
      <x:c r="C324" s="12" t="n">
        <x:v>4</x:v>
      </x:c>
      <x:c r="D324" s="12" t="n">
        <x:v>4</x:v>
      </x:c>
      <x:c r="E324" s="12" t="n">
        <x:v>3</x:v>
      </x:c>
      <x:c r="F324" s="12" t="n">
        <x:v>4</x:v>
      </x:c>
      <x:c r="G324" s="12" t="n">
        <x:v>3</x:v>
      </x:c>
      <x:c r="H324" s="12" t="n">
        <x:f>MIN(C324:G324)</x:f>
        <x:v>3</x:v>
      </x:c>
      <x:c r="I324" s="14" t="n">
        <x:f>(C324-$H324)/$H324*100</x:f>
        <x:v>33.33333333333333</x:v>
      </x:c>
      <x:c r="J324" s="14" t="n">
        <x:f>(D324-$H324)/$H324*100</x:f>
        <x:v>33.33333333333333</x:v>
      </x:c>
      <x:c r="K324" s="14" t="n">
        <x:f>(E324-$H324)/$H324*100</x:f>
        <x:v>0</x:v>
      </x:c>
      <x:c r="L324" s="14" t="n">
        <x:f>(F324-$H324)/$H324*100</x:f>
        <x:v>33.33333333333333</x:v>
      </x:c>
      <x:c r="M324" s="14" t="n">
        <x:f>(G324-$H324)/$H324*100</x:f>
        <x:v>0</x:v>
      </x:c>
      <x:c r="N324" s="12" t="str">
        <x:f>IF(C324=$H324,"YES","NO")</x:f>
        <x:v>NO</x:v>
      </x:c>
      <x:c r="O324" s="12" t="str">
        <x:f>IF(D324=$H324,"YES","NO")</x:f>
        <x:v>NO</x:v>
      </x:c>
      <x:c r="P324" s="12" t="str">
        <x:f>IF(E324=$H324,"YES","NO")</x:f>
        <x:v>YES</x:v>
      </x:c>
      <x:c r="Q324" s="12" t="str">
        <x:f>IF(F324=$H324,"YES","NO")</x:f>
        <x:v>NO</x:v>
      </x:c>
      <x:c r="R324" s="12" t="str">
        <x:f>IF(G324=$H324,"YES","NO")</x:f>
        <x:v>YES</x:v>
      </x:c>
    </x:row>
    <x:row r="325">
      <x:c r="A325" s="44" t="str">
        <x:v>bpps_d1000n25m5w10_100s10_200f1_seed0</x:v>
      </x:c>
      <x:c r="B325" s="12" t="n">
        <x:v>25</x:v>
      </x:c>
      <x:c r="C325" s="12" t="n">
        <x:v>61</x:v>
      </x:c>
      <x:c r="D325" s="12" t="n">
        <x:v>61</x:v>
      </x:c>
      <x:c r="E325" s="12" t="n">
        <x:v>56</x:v>
      </x:c>
      <x:c r="F325" s="12" t="n">
        <x:v>66</x:v>
      </x:c>
      <x:c r="G325" s="12" t="n">
        <x:v>61</x:v>
      </x:c>
      <x:c r="H325" s="12" t="n">
        <x:f>MIN(C325:G325)</x:f>
        <x:v>56</x:v>
      </x:c>
      <x:c r="I325" s="14" t="n">
        <x:f>(C325-$H325)/$H325*100</x:f>
        <x:v>8.928571428571429</x:v>
      </x:c>
      <x:c r="J325" s="14" t="n">
        <x:f>(D325-$H325)/$H325*100</x:f>
        <x:v>8.928571428571429</x:v>
      </x:c>
      <x:c r="K325" s="14" t="n">
        <x:f>(E325-$H325)/$H325*100</x:f>
        <x:v>0</x:v>
      </x:c>
      <x:c r="L325" s="14" t="n">
        <x:f>(F325-$H325)/$H325*100</x:f>
        <x:v>17.857142857142858</x:v>
      </x:c>
      <x:c r="M325" s="14" t="n">
        <x:f>(G325-$H325)/$H325*100</x:f>
        <x:v>8.928571428571429</x:v>
      </x:c>
      <x:c r="N325" s="12" t="str">
        <x:f>IF(C325=$H325,"YES","NO")</x:f>
        <x:v>NO</x:v>
      </x:c>
      <x:c r="O325" s="12" t="str">
        <x:f>IF(D325=$H325,"YES","NO")</x:f>
        <x:v>NO</x:v>
      </x:c>
      <x:c r="P325" s="12" t="str">
        <x:f>IF(E325=$H325,"YES","NO")</x:f>
        <x:v>YES</x:v>
      </x:c>
      <x:c r="Q325" s="12" t="str">
        <x:f>IF(F325=$H325,"YES","NO")</x:f>
        <x:v>NO</x:v>
      </x:c>
      <x:c r="R325" s="12" t="str">
        <x:f>IF(G325=$H325,"YES","NO")</x:f>
        <x:v>NO</x:v>
      </x:c>
    </x:row>
    <x:row r="326">
      <x:c r="A326" s="44" t="str">
        <x:v>bpps_d1000n25m5w10_300s100_200f0_seed0</x:v>
      </x:c>
      <x:c r="B326" s="12" t="n">
        <x:v>25</x:v>
      </x:c>
      <x:c r="C326" s="12" t="n">
        <x:v>5</x:v>
      </x:c>
      <x:c r="D326" s="12" t="n">
        <x:v>5</x:v>
      </x:c>
      <x:c r="E326" s="12" t="n">
        <x:v>5</x:v>
      </x:c>
      <x:c r="F326" s="12" t="n">
        <x:v>6</x:v>
      </x:c>
      <x:c r="G326" s="12" t="n">
        <x:v>5</x:v>
      </x:c>
      <x:c r="H326" s="12" t="n">
        <x:f>MIN(C326:G326)</x:f>
        <x:v>5</x:v>
      </x:c>
      <x:c r="I326" s="14" t="n">
        <x:f>(C326-$H326)/$H326*100</x:f>
        <x:v>0</x:v>
      </x:c>
      <x:c r="J326" s="14" t="n">
        <x:f>(D326-$H326)/$H326*100</x:f>
        <x:v>0</x:v>
      </x:c>
      <x:c r="K326" s="14" t="n">
        <x:f>(E326-$H326)/$H326*100</x:f>
        <x:v>0</x:v>
      </x:c>
      <x:c r="L326" s="14" t="n">
        <x:f>(F326-$H326)/$H326*100</x:f>
        <x:v>20</x:v>
      </x:c>
      <x:c r="M326" s="14" t="n">
        <x:f>(G326-$H326)/$H326*100</x:f>
        <x:v>0</x:v>
      </x:c>
      <x:c r="N326" s="12" t="str">
        <x:f>IF(C326=$H326,"YES","NO")</x:f>
        <x:v>YES</x:v>
      </x:c>
      <x:c r="O326" s="12" t="str">
        <x:f>IF(D326=$H326,"YES","NO")</x:f>
        <x:v>YES</x:v>
      </x:c>
      <x:c r="P326" s="12" t="str">
        <x:f>IF(E326=$H326,"YES","NO")</x:f>
        <x:v>YES</x:v>
      </x:c>
      <x:c r="Q326" s="12" t="str">
        <x:f>IF(F326=$H326,"YES","NO")</x:f>
        <x:v>NO</x:v>
      </x:c>
      <x:c r="R326" s="12" t="str">
        <x:f>IF(G326=$H326,"YES","NO")</x:f>
        <x:v>YES</x:v>
      </x:c>
    </x:row>
    <x:row r="327">
      <x:c r="A327" s="44" t="str">
        <x:v>bpps_d1000n25m5w10_300s100_200f1_seed0</x:v>
      </x:c>
      <x:c r="B327" s="12" t="n">
        <x:v>25</x:v>
      </x:c>
      <x:c r="C327" s="12" t="n">
        <x:v>98</x:v>
      </x:c>
      <x:c r="D327" s="12" t="n">
        <x:v>98</x:v>
      </x:c>
      <x:c r="E327" s="12" t="n">
        <x:v>95</x:v>
      </x:c>
      <x:c r="F327" s="12" t="n">
        <x:v>85</x:v>
      </x:c>
      <x:c r="G327" s="12" t="n">
        <x:v>85</x:v>
      </x:c>
      <x:c r="H327" s="12" t="n">
        <x:f>MIN(C327:G327)</x:f>
        <x:v>85</x:v>
      </x:c>
      <x:c r="I327" s="14" t="n">
        <x:f>(C327-$H327)/$H327*100</x:f>
        <x:v>15.294117647058824</x:v>
      </x:c>
      <x:c r="J327" s="14" t="n">
        <x:f>(D327-$H327)/$H327*100</x:f>
        <x:v>15.294117647058824</x:v>
      </x:c>
      <x:c r="K327" s="14" t="n">
        <x:f>(E327-$H327)/$H327*100</x:f>
        <x:v>11.76470588235294</x:v>
      </x:c>
      <x:c r="L327" s="14" t="n">
        <x:f>(F327-$H327)/$H327*100</x:f>
        <x:v>0</x:v>
      </x:c>
      <x:c r="M327" s="14" t="n">
        <x:f>(G327-$H327)/$H327*100</x:f>
        <x:v>0</x:v>
      </x:c>
      <x:c r="N327" s="12" t="str">
        <x:f>IF(C327=$H327,"YES","NO")</x:f>
        <x:v>NO</x:v>
      </x:c>
      <x:c r="O327" s="12" t="str">
        <x:f>IF(D327=$H327,"YES","NO")</x:f>
        <x:v>NO</x:v>
      </x:c>
      <x:c r="P327" s="12" t="str">
        <x:f>IF(E327=$H327,"YES","NO")</x:f>
        <x:v>NO</x:v>
      </x:c>
      <x:c r="Q327" s="12" t="str">
        <x:f>IF(F327=$H327,"YES","NO")</x:f>
        <x:v>YES</x:v>
      </x:c>
      <x:c r="R327" s="12" t="str">
        <x:f>IF(G327=$H327,"YES","NO")</x:f>
        <x:v>YES</x:v>
      </x:c>
    </x:row>
    <x:row r="328">
      <x:c r="A328" s="44" t="str">
        <x:v>bpps_d1000n25m5w10_300s10_100f0_seed0</x:v>
      </x:c>
      <x:c r="B328" s="12" t="n">
        <x:v>25</x:v>
      </x:c>
      <x:c r="C328" s="12" t="n">
        <x:v>4</x:v>
      </x:c>
      <x:c r="D328" s="12" t="n">
        <x:v>4</x:v>
      </x:c>
      <x:c r="E328" s="12" t="n">
        <x:v>4</x:v>
      </x:c>
      <x:c r="F328" s="12" t="n">
        <x:v>5</x:v>
      </x:c>
      <x:c r="G328" s="12" t="n">
        <x:v>4</x:v>
      </x:c>
      <x:c r="H328" s="12" t="n">
        <x:f>MIN(C328:G328)</x:f>
        <x:v>4</x:v>
      </x:c>
      <x:c r="I328" s="14" t="n">
        <x:f>(C328-$H328)/$H328*100</x:f>
        <x:v>0</x:v>
      </x:c>
      <x:c r="J328" s="14" t="n">
        <x:f>(D328-$H328)/$H328*100</x:f>
        <x:v>0</x:v>
      </x:c>
      <x:c r="K328" s="14" t="n">
        <x:f>(E328-$H328)/$H328*100</x:f>
        <x:v>0</x:v>
      </x:c>
      <x:c r="L328" s="14" t="n">
        <x:f>(F328-$H328)/$H328*100</x:f>
        <x:v>25</x:v>
      </x:c>
      <x:c r="M328" s="14" t="n">
        <x:f>(G328-$H328)/$H328*100</x:f>
        <x:v>0</x:v>
      </x:c>
      <x:c r="N328" s="12" t="str">
        <x:f>IF(C328=$H328,"YES","NO")</x:f>
        <x:v>YES</x:v>
      </x:c>
      <x:c r="O328" s="12" t="str">
        <x:f>IF(D328=$H328,"YES","NO")</x:f>
        <x:v>YES</x:v>
      </x:c>
      <x:c r="P328" s="12" t="str">
        <x:f>IF(E328=$H328,"YES","NO")</x:f>
        <x:v>YES</x:v>
      </x:c>
      <x:c r="Q328" s="12" t="str">
        <x:f>IF(F328=$H328,"YES","NO")</x:f>
        <x:v>NO</x:v>
      </x:c>
      <x:c r="R328" s="12" t="str">
        <x:f>IF(G328=$H328,"YES","NO")</x:f>
        <x:v>YES</x:v>
      </x:c>
    </x:row>
    <x:row r="329">
      <x:c r="A329" s="44" t="str">
        <x:v>bpps_d1000n25m5w10_300s10_100f1_seed0</x:v>
      </x:c>
      <x:c r="B329" s="12" t="n">
        <x:v>25</x:v>
      </x:c>
      <x:c r="C329" s="12" t="n">
        <x:v>95</x:v>
      </x:c>
      <x:c r="D329" s="12" t="n">
        <x:v>95</x:v>
      </x:c>
      <x:c r="E329" s="12" t="n">
        <x:v>92</x:v>
      </x:c>
      <x:c r="F329" s="12" t="n">
        <x:v>75</x:v>
      </x:c>
      <x:c r="G329" s="12" t="n">
        <x:v>75</x:v>
      </x:c>
      <x:c r="H329" s="12" t="n">
        <x:f>MIN(C329:G329)</x:f>
        <x:v>75</x:v>
      </x:c>
      <x:c r="I329" s="14" t="n">
        <x:f>(C329-$H329)/$H329*100</x:f>
        <x:v>26.666666666666668</x:v>
      </x:c>
      <x:c r="J329" s="14" t="n">
        <x:f>(D329-$H329)/$H329*100</x:f>
        <x:v>26.666666666666668</x:v>
      </x:c>
      <x:c r="K329" s="14" t="n">
        <x:f>(E329-$H329)/$H329*100</x:f>
        <x:v>22.666666666666664</x:v>
      </x:c>
      <x:c r="L329" s="14" t="n">
        <x:f>(F329-$H329)/$H329*100</x:f>
        <x:v>0</x:v>
      </x:c>
      <x:c r="M329" s="14" t="n">
        <x:f>(G329-$H329)/$H329*100</x:f>
        <x:v>0</x:v>
      </x:c>
      <x:c r="N329" s="12" t="str">
        <x:f>IF(C329=$H329,"YES","NO")</x:f>
        <x:v>NO</x:v>
      </x:c>
      <x:c r="O329" s="12" t="str">
        <x:f>IF(D329=$H329,"YES","NO")</x:f>
        <x:v>NO</x:v>
      </x:c>
      <x:c r="P329" s="12" t="str">
        <x:f>IF(E329=$H329,"YES","NO")</x:f>
        <x:v>NO</x:v>
      </x:c>
      <x:c r="Q329" s="12" t="str">
        <x:f>IF(F329=$H329,"YES","NO")</x:f>
        <x:v>YES</x:v>
      </x:c>
      <x:c r="R329" s="12" t="str">
        <x:f>IF(G329=$H329,"YES","NO")</x:f>
        <x:v>YES</x:v>
      </x:c>
    </x:row>
    <x:row r="330">
      <x:c r="A330" s="44" t="str">
        <x:v>bpps_d1000n25m5w10_300s10_200f0_seed0</x:v>
      </x:c>
      <x:c r="B330" s="12" t="n">
        <x:v>25</x:v>
      </x:c>
      <x:c r="C330" s="12" t="n">
        <x:v>5</x:v>
      </x:c>
      <x:c r="D330" s="12" t="n">
        <x:v>5</x:v>
      </x:c>
      <x:c r="E330" s="12" t="n">
        <x:v>5</x:v>
      </x:c>
      <x:c r="F330" s="12" t="n">
        <x:v>5</x:v>
      </x:c>
      <x:c r="G330" s="12" t="n">
        <x:v>5</x:v>
      </x:c>
      <x:c r="H330" s="12" t="n">
        <x:f>MIN(C330:G330)</x:f>
        <x:v>5</x:v>
      </x:c>
      <x:c r="I330" s="14" t="n">
        <x:f>(C330-$H330)/$H330*100</x:f>
        <x:v>0</x:v>
      </x:c>
      <x:c r="J330" s="14" t="n">
        <x:f>(D330-$H330)/$H330*100</x:f>
        <x:v>0</x:v>
      </x:c>
      <x:c r="K330" s="14" t="n">
        <x:f>(E330-$H330)/$H330*100</x:f>
        <x:v>0</x:v>
      </x:c>
      <x:c r="L330" s="14" t="n">
        <x:f>(F330-$H330)/$H330*100</x:f>
        <x:v>0</x:v>
      </x:c>
      <x:c r="M330" s="14" t="n">
        <x:f>(G330-$H330)/$H330*100</x:f>
        <x:v>0</x:v>
      </x:c>
      <x:c r="N330" s="12" t="str">
        <x:f>IF(C330=$H330,"YES","NO")</x:f>
        <x:v>YES</x:v>
      </x:c>
      <x:c r="O330" s="12" t="str">
        <x:f>IF(D330=$H330,"YES","NO")</x:f>
        <x:v>YES</x:v>
      </x:c>
      <x:c r="P330" s="12" t="str">
        <x:f>IF(E330=$H330,"YES","NO")</x:f>
        <x:v>YES</x:v>
      </x:c>
      <x:c r="Q330" s="12" t="str">
        <x:f>IF(F330=$H330,"YES","NO")</x:f>
        <x:v>YES</x:v>
      </x:c>
      <x:c r="R330" s="12" t="str">
        <x:f>IF(G330=$H330,"YES","NO")</x:f>
        <x:v>YES</x:v>
      </x:c>
    </x:row>
    <x:row r="331">
      <x:c r="A331" s="44" t="str">
        <x:v>bpps_d1000n25m5w10_300s10_200f1_seed0</x:v>
      </x:c>
      <x:c r="B331" s="12" t="n">
        <x:v>25</x:v>
      </x:c>
      <x:c r="C331" s="12" t="n">
        <x:v>115</x:v>
      </x:c>
      <x:c r="D331" s="12" t="n">
        <x:v>116</x:v>
      </x:c>
      <x:c r="E331" s="12" t="n">
        <x:v>107</x:v>
      </x:c>
      <x:c r="F331" s="12" t="n">
        <x:v>94</x:v>
      </x:c>
      <x:c r="G331" s="12" t="n">
        <x:v>84</x:v>
      </x:c>
      <x:c r="H331" s="12" t="n">
        <x:f>MIN(C331:G331)</x:f>
        <x:v>84</x:v>
      </x:c>
      <x:c r="I331" s="14" t="n">
        <x:f>(C331-$H331)/$H331*100</x:f>
        <x:v>36.904761904761905</x:v>
      </x:c>
      <x:c r="J331" s="14" t="n">
        <x:f>(D331-$H331)/$H331*100</x:f>
        <x:v>38.095238095238095</x:v>
      </x:c>
      <x:c r="K331" s="14" t="n">
        <x:f>(E331-$H331)/$H331*100</x:f>
        <x:v>27.380952380952383</x:v>
      </x:c>
      <x:c r="L331" s="14" t="n">
        <x:f>(F331-$H331)/$H331*100</x:f>
        <x:v>11.904761904761903</x:v>
      </x:c>
      <x:c r="M331" s="14" t="n">
        <x:f>(G331-$H331)/$H331*100</x:f>
        <x:v>0</x:v>
      </x:c>
      <x:c r="N331" s="12" t="str">
        <x:f>IF(C331=$H331,"YES","NO")</x:f>
        <x:v>NO</x:v>
      </x:c>
      <x:c r="O331" s="12" t="str">
        <x:f>IF(D331=$H331,"YES","NO")</x:f>
        <x:v>NO</x:v>
      </x:c>
      <x:c r="P331" s="12" t="str">
        <x:f>IF(E331=$H331,"YES","NO")</x:f>
        <x:v>NO</x:v>
      </x:c>
      <x:c r="Q331" s="12" t="str">
        <x:f>IF(F331=$H331,"YES","NO")</x:f>
        <x:v>NO</x:v>
      </x:c>
      <x:c r="R331" s="12" t="str">
        <x:f>IF(G331=$H331,"YES","NO")</x:f>
        <x:v>YES</x:v>
      </x:c>
    </x:row>
    <x:row r="332">
      <x:c r="A332" s="44" t="str">
        <x:v>bpps_d1000n25m5w200_300s100_200f0_seed0</x:v>
      </x:c>
      <x:c r="B332" s="12" t="n">
        <x:v>25</x:v>
      </x:c>
      <x:c r="C332" s="12" t="n">
        <x:v>11</x:v>
      </x:c>
      <x:c r="D332" s="12" t="n">
        <x:v>11</x:v>
      </x:c>
      <x:c r="E332" s="12" t="n">
        <x:v>11</x:v>
      </x:c>
      <x:c r="F332" s="12" t="n">
        <x:v>10</x:v>
      </x:c>
      <x:c r="G332" s="12" t="n">
        <x:v>9</x:v>
      </x:c>
      <x:c r="H332" s="12" t="n">
        <x:f>MIN(C332:G332)</x:f>
        <x:v>9</x:v>
      </x:c>
      <x:c r="I332" s="14" t="n">
        <x:f>(C332-$H332)/$H332*100</x:f>
        <x:v>22.22222222222222</x:v>
      </x:c>
      <x:c r="J332" s="14" t="n">
        <x:f>(D332-$H332)/$H332*100</x:f>
        <x:v>22.22222222222222</x:v>
      </x:c>
      <x:c r="K332" s="14" t="n">
        <x:f>(E332-$H332)/$H332*100</x:f>
        <x:v>22.22222222222222</x:v>
      </x:c>
      <x:c r="L332" s="14" t="n">
        <x:f>(F332-$H332)/$H332*100</x:f>
        <x:v>11.11111111111111</x:v>
      </x:c>
      <x:c r="M332" s="14" t="n">
        <x:f>(G332-$H332)/$H332*100</x:f>
        <x:v>0</x:v>
      </x:c>
      <x:c r="N332" s="12" t="str">
        <x:f>IF(C332=$H332,"YES","NO")</x:f>
        <x:v>NO</x:v>
      </x:c>
      <x:c r="O332" s="12" t="str">
        <x:f>IF(D332=$H332,"YES","NO")</x:f>
        <x:v>NO</x:v>
      </x:c>
      <x:c r="P332" s="12" t="str">
        <x:f>IF(E332=$H332,"YES","NO")</x:f>
        <x:v>NO</x:v>
      </x:c>
      <x:c r="Q332" s="12" t="str">
        <x:f>IF(F332=$H332,"YES","NO")</x:f>
        <x:v>NO</x:v>
      </x:c>
      <x:c r="R332" s="12" t="str">
        <x:f>IF(G332=$H332,"YES","NO")</x:f>
        <x:v>YES</x:v>
      </x:c>
    </x:row>
    <x:row r="333">
      <x:c r="A333" s="44" t="str">
        <x:v>bpps_d1000n25m5w200_300s100_200f1_seed0</x:v>
      </x:c>
      <x:c r="B333" s="12" t="n">
        <x:v>25</x:v>
      </x:c>
      <x:c r="C333" s="12" t="n">
        <x:v>161</x:v>
      </x:c>
      <x:c r="D333" s="12" t="n">
        <x:v>161</x:v>
      </x:c>
      <x:c r="E333" s="12" t="n">
        <x:v>133</x:v>
      </x:c>
      <x:c r="F333" s="12" t="n">
        <x:v>120</x:v>
      </x:c>
      <x:c r="G333" s="12" t="n">
        <x:v>120</x:v>
      </x:c>
      <x:c r="H333" s="12" t="n">
        <x:f>MIN(C333:G333)</x:f>
        <x:v>120</x:v>
      </x:c>
      <x:c r="I333" s="14" t="n">
        <x:f>(C333-$H333)/$H333*100</x:f>
        <x:v>34.166666666666664</x:v>
      </x:c>
      <x:c r="J333" s="14" t="n">
        <x:f>(D333-$H333)/$H333*100</x:f>
        <x:v>34.166666666666664</x:v>
      </x:c>
      <x:c r="K333" s="14" t="n">
        <x:f>(E333-$H333)/$H333*100</x:f>
        <x:v>10.833333333333334</x:v>
      </x:c>
      <x:c r="L333" s="14" t="n">
        <x:f>(F333-$H333)/$H333*100</x:f>
        <x:v>0</x:v>
      </x:c>
      <x:c r="M333" s="14" t="n">
        <x:f>(G333-$H333)/$H333*100</x:f>
        <x:v>0</x:v>
      </x:c>
      <x:c r="N333" s="12" t="str">
        <x:f>IF(C333=$H333,"YES","NO")</x:f>
        <x:v>NO</x:v>
      </x:c>
      <x:c r="O333" s="12" t="str">
        <x:f>IF(D333=$H333,"YES","NO")</x:f>
        <x:v>NO</x:v>
      </x:c>
      <x:c r="P333" s="12" t="str">
        <x:f>IF(E333=$H333,"YES","NO")</x:f>
        <x:v>NO</x:v>
      </x:c>
      <x:c r="Q333" s="12" t="str">
        <x:f>IF(F333=$H333,"YES","NO")</x:f>
        <x:v>YES</x:v>
      </x:c>
      <x:c r="R333" s="12" t="str">
        <x:f>IF(G333=$H333,"YES","NO")</x:f>
        <x:v>YES</x:v>
      </x:c>
    </x:row>
    <x:row r="334">
      <x:c r="A334" s="44" t="str">
        <x:v>bpps_d1000n25m5w200_300s10_100f0_seed0</x:v>
      </x:c>
      <x:c r="B334" s="12" t="n">
        <x:v>25</x:v>
      </x:c>
      <x:c r="C334" s="12" t="n">
        <x:v>9</x:v>
      </x:c>
      <x:c r="D334" s="12" t="n">
        <x:v>9</x:v>
      </x:c>
      <x:c r="E334" s="12" t="n">
        <x:v>9</x:v>
      </x:c>
      <x:c r="F334" s="12" t="n">
        <x:v>9</x:v>
      </x:c>
      <x:c r="G334" s="12" t="n">
        <x:v>9</x:v>
      </x:c>
      <x:c r="H334" s="12" t="n">
        <x:f>MIN(C334:G334)</x:f>
        <x:v>9</x:v>
      </x:c>
      <x:c r="I334" s="14" t="n">
        <x:f>(C334-$H334)/$H334*100</x:f>
        <x:v>0</x:v>
      </x:c>
      <x:c r="J334" s="14" t="n">
        <x:f>(D334-$H334)/$H334*100</x:f>
        <x:v>0</x:v>
      </x:c>
      <x:c r="K334" s="14" t="n">
        <x:f>(E334-$H334)/$H334*100</x:f>
        <x:v>0</x:v>
      </x:c>
      <x:c r="L334" s="14" t="n">
        <x:f>(F334-$H334)/$H334*100</x:f>
        <x:v>0</x:v>
      </x:c>
      <x:c r="M334" s="14" t="n">
        <x:f>(G334-$H334)/$H334*100</x:f>
        <x:v>0</x:v>
      </x:c>
      <x:c r="N334" s="12" t="str">
        <x:f>IF(C334=$H334,"YES","NO")</x:f>
        <x:v>YES</x:v>
      </x:c>
      <x:c r="O334" s="12" t="str">
        <x:f>IF(D334=$H334,"YES","NO")</x:f>
        <x:v>YES</x:v>
      </x:c>
      <x:c r="P334" s="12" t="str">
        <x:f>IF(E334=$H334,"YES","NO")</x:f>
        <x:v>YES</x:v>
      </x:c>
      <x:c r="Q334" s="12" t="str">
        <x:f>IF(F334=$H334,"YES","NO")</x:f>
        <x:v>YES</x:v>
      </x:c>
      <x:c r="R334" s="12" t="str">
        <x:f>IF(G334=$H334,"YES","NO")</x:f>
        <x:v>YES</x:v>
      </x:c>
    </x:row>
    <x:row r="335">
      <x:c r="A335" s="44" t="str">
        <x:v>bpps_d1000n25m5w200_300s10_100f1_seed0</x:v>
      </x:c>
      <x:c r="B335" s="12" t="n">
        <x:v>25</x:v>
      </x:c>
      <x:c r="C335" s="12" t="n">
        <x:v>141</x:v>
      </x:c>
      <x:c r="D335" s="12" t="n">
        <x:v>141</x:v>
      </x:c>
      <x:c r="E335" s="12" t="n">
        <x:v>140</x:v>
      </x:c>
      <x:c r="F335" s="12" t="n">
        <x:v>119</x:v>
      </x:c>
      <x:c r="G335" s="12" t="n">
        <x:v>115</x:v>
      </x:c>
      <x:c r="H335" s="12" t="n">
        <x:f>MIN(C335:G335)</x:f>
        <x:v>115</x:v>
      </x:c>
      <x:c r="I335" s="14" t="n">
        <x:f>(C335-$H335)/$H335*100</x:f>
        <x:v>22.608695652173914</x:v>
      </x:c>
      <x:c r="J335" s="14" t="n">
        <x:f>(D335-$H335)/$H335*100</x:f>
        <x:v>22.608695652173914</x:v>
      </x:c>
      <x:c r="K335" s="14" t="n">
        <x:f>(E335-$H335)/$H335*100</x:f>
        <x:v>21.73913043478261</x:v>
      </x:c>
      <x:c r="L335" s="14" t="n">
        <x:f>(F335-$H335)/$H335*100</x:f>
        <x:v>3.4782608695652173</x:v>
      </x:c>
      <x:c r="M335" s="14" t="n">
        <x:f>(G335-$H335)/$H335*100</x:f>
        <x:v>0</x:v>
      </x:c>
      <x:c r="N335" s="12" t="str">
        <x:f>IF(C335=$H335,"YES","NO")</x:f>
        <x:v>NO</x:v>
      </x:c>
      <x:c r="O335" s="12" t="str">
        <x:f>IF(D335=$H335,"YES","NO")</x:f>
        <x:v>NO</x:v>
      </x:c>
      <x:c r="P335" s="12" t="str">
        <x:f>IF(E335=$H335,"YES","NO")</x:f>
        <x:v>NO</x:v>
      </x:c>
      <x:c r="Q335" s="12" t="str">
        <x:f>IF(F335=$H335,"YES","NO")</x:f>
        <x:v>NO</x:v>
      </x:c>
      <x:c r="R335" s="12" t="str">
        <x:f>IF(G335=$H335,"YES","NO")</x:f>
        <x:v>YES</x:v>
      </x:c>
    </x:row>
    <x:row r="336">
      <x:c r="A336" s="44" t="str">
        <x:v>bpps_d1000n25m5w200_300s10_200f0_seed0</x:v>
      </x:c>
      <x:c r="B336" s="12" t="n">
        <x:v>25</x:v>
      </x:c>
      <x:c r="C336" s="12" t="n">
        <x:v>10</x:v>
      </x:c>
      <x:c r="D336" s="12" t="n">
        <x:v>10</x:v>
      </x:c>
      <x:c r="E336" s="12" t="n">
        <x:v>10</x:v>
      </x:c>
      <x:c r="F336" s="12" t="n">
        <x:v>9</x:v>
      </x:c>
      <x:c r="G336" s="12" t="n">
        <x:v>9</x:v>
      </x:c>
      <x:c r="H336" s="12" t="n">
        <x:f>MIN(C336:G336)</x:f>
        <x:v>9</x:v>
      </x:c>
      <x:c r="I336" s="14" t="n">
        <x:f>(C336-$H336)/$H336*100</x:f>
        <x:v>11.11111111111111</x:v>
      </x:c>
      <x:c r="J336" s="14" t="n">
        <x:f>(D336-$H336)/$H336*100</x:f>
        <x:v>11.11111111111111</x:v>
      </x:c>
      <x:c r="K336" s="14" t="n">
        <x:f>(E336-$H336)/$H336*100</x:f>
        <x:v>11.11111111111111</x:v>
      </x:c>
      <x:c r="L336" s="14" t="n">
        <x:f>(F336-$H336)/$H336*100</x:f>
        <x:v>0</x:v>
      </x:c>
      <x:c r="M336" s="14" t="n">
        <x:f>(G336-$H336)/$H336*100</x:f>
        <x:v>0</x:v>
      </x:c>
      <x:c r="N336" s="12" t="str">
        <x:f>IF(C336=$H336,"YES","NO")</x:f>
        <x:v>NO</x:v>
      </x:c>
      <x:c r="O336" s="12" t="str">
        <x:f>IF(D336=$H336,"YES","NO")</x:f>
        <x:v>NO</x:v>
      </x:c>
      <x:c r="P336" s="12" t="str">
        <x:f>IF(E336=$H336,"YES","NO")</x:f>
        <x:v>NO</x:v>
      </x:c>
      <x:c r="Q336" s="12" t="str">
        <x:f>IF(F336=$H336,"YES","NO")</x:f>
        <x:v>YES</x:v>
      </x:c>
      <x:c r="R336" s="12" t="str">
        <x:f>IF(G336=$H336,"YES","NO")</x:f>
        <x:v>YES</x:v>
      </x:c>
    </x:row>
    <x:row r="337">
      <x:c r="A337" s="44" t="str">
        <x:v>bpps_d1000n25m5w200_300s10_200f1_seed0</x:v>
      </x:c>
      <x:c r="B337" s="12" t="n">
        <x:v>25</x:v>
      </x:c>
      <x:c r="C337" s="12" t="n">
        <x:v>139</x:v>
      </x:c>
      <x:c r="D337" s="12" t="n">
        <x:v>139</x:v>
      </x:c>
      <x:c r="E337" s="12" t="n">
        <x:v>123</x:v>
      </x:c>
      <x:c r="F337" s="12" t="n">
        <x:v>120</x:v>
      </x:c>
      <x:c r="G337" s="12" t="n">
        <x:v>114</x:v>
      </x:c>
      <x:c r="H337" s="12" t="n">
        <x:f>MIN(C337:G337)</x:f>
        <x:v>114</x:v>
      </x:c>
      <x:c r="I337" s="14" t="n">
        <x:f>(C337-$H337)/$H337*100</x:f>
        <x:v>21.929824561403507</x:v>
      </x:c>
      <x:c r="J337" s="14" t="n">
        <x:f>(D337-$H337)/$H337*100</x:f>
        <x:v>21.929824561403507</x:v>
      </x:c>
      <x:c r="K337" s="14" t="n">
        <x:f>(E337-$H337)/$H337*100</x:f>
        <x:v>7.894736842105263</x:v>
      </x:c>
      <x:c r="L337" s="14" t="n">
        <x:f>(F337-$H337)/$H337*100</x:f>
        <x:v>5.263157894736842</x:v>
      </x:c>
      <x:c r="M337" s="14" t="n">
        <x:f>(G337-$H337)/$H337*100</x:f>
        <x:v>0</x:v>
      </x:c>
      <x:c r="N337" s="12" t="str">
        <x:f>IF(C337=$H337,"YES","NO")</x:f>
        <x:v>NO</x:v>
      </x:c>
      <x:c r="O337" s="12" t="str">
        <x:f>IF(D337=$H337,"YES","NO")</x:f>
        <x:v>NO</x:v>
      </x:c>
      <x:c r="P337" s="12" t="str">
        <x:f>IF(E337=$H337,"YES","NO")</x:f>
        <x:v>NO</x:v>
      </x:c>
      <x:c r="Q337" s="12" t="str">
        <x:f>IF(F337=$H337,"YES","NO")</x:f>
        <x:v>NO</x:v>
      </x:c>
      <x:c r="R337" s="12" t="str">
        <x:f>IF(G337=$H337,"YES","NO")</x:f>
        <x:v>YES</x:v>
      </x:c>
    </x:row>
    <x:row r="338">
      <x:c r="A338" s="44" t="str">
        <x:v>bpps_d1000n50m10w100_200s100_200f0_seed0</x:v>
      </x:c>
      <x:c r="B338" s="12" t="n">
        <x:v>50</x:v>
      </x:c>
      <x:c r="C338" s="12" t="n">
        <x:v>14</x:v>
      </x:c>
      <x:c r="D338" s="12" t="n">
        <x:v>14</x:v>
      </x:c>
      <x:c r="E338" s="12" t="n">
        <x:v>14</x:v>
      </x:c>
      <x:c r="F338" s="12" t="n">
        <x:v>12</x:v>
      </x:c>
      <x:c r="G338" s="12" t="n">
        <x:v>12</x:v>
      </x:c>
      <x:c r="H338" s="12" t="n">
        <x:f>MIN(C338:G338)</x:f>
        <x:v>12</x:v>
      </x:c>
      <x:c r="I338" s="14" t="n">
        <x:f>(C338-$H338)/$H338*100</x:f>
        <x:v>16.666666666666664</x:v>
      </x:c>
      <x:c r="J338" s="14" t="n">
        <x:f>(D338-$H338)/$H338*100</x:f>
        <x:v>16.666666666666664</x:v>
      </x:c>
      <x:c r="K338" s="14" t="n">
        <x:f>(E338-$H338)/$H338*100</x:f>
        <x:v>16.666666666666664</x:v>
      </x:c>
      <x:c r="L338" s="14" t="n">
        <x:f>(F338-$H338)/$H338*100</x:f>
        <x:v>0</x:v>
      </x:c>
      <x:c r="M338" s="14" t="n">
        <x:f>(G338-$H338)/$H338*100</x:f>
        <x:v>0</x:v>
      </x:c>
      <x:c r="N338" s="12" t="str">
        <x:f>IF(C338=$H338,"YES","NO")</x:f>
        <x:v>NO</x:v>
      </x:c>
      <x:c r="O338" s="12" t="str">
        <x:f>IF(D338=$H338,"YES","NO")</x:f>
        <x:v>NO</x:v>
      </x:c>
      <x:c r="P338" s="12" t="str">
        <x:f>IF(E338=$H338,"YES","NO")</x:f>
        <x:v>NO</x:v>
      </x:c>
      <x:c r="Q338" s="12" t="str">
        <x:f>IF(F338=$H338,"YES","NO")</x:f>
        <x:v>YES</x:v>
      </x:c>
      <x:c r="R338" s="12" t="str">
        <x:f>IF(G338=$H338,"YES","NO")</x:f>
        <x:v>YES</x:v>
      </x:c>
    </x:row>
    <x:row r="339">
      <x:c r="A339" s="44" t="str">
        <x:v>bpps_d1000n50m10w100_200s100_200f1_seed0</x:v>
      </x:c>
      <x:c r="B339" s="12" t="n">
        <x:v>50</x:v>
      </x:c>
      <x:c r="C339" s="12" t="n">
        <x:v>245</x:v>
      </x:c>
      <x:c r="D339" s="12" t="n">
        <x:v>245</x:v>
      </x:c>
      <x:c r="E339" s="12" t="n">
        <x:v>231</x:v>
      </x:c>
      <x:c r="F339" s="12" t="n">
        <x:v>174</x:v>
      </x:c>
      <x:c r="G339" s="12" t="n">
        <x:v>168</x:v>
      </x:c>
      <x:c r="H339" s="12" t="n">
        <x:f>MIN(C339:G339)</x:f>
        <x:v>168</x:v>
      </x:c>
      <x:c r="I339" s="14" t="n">
        <x:f>(C339-$H339)/$H339*100</x:f>
        <x:v>45.83333333333333</x:v>
      </x:c>
      <x:c r="J339" s="14" t="n">
        <x:f>(D339-$H339)/$H339*100</x:f>
        <x:v>45.83333333333333</x:v>
      </x:c>
      <x:c r="K339" s="14" t="n">
        <x:f>(E339-$H339)/$H339*100</x:f>
        <x:v>37.5</x:v>
      </x:c>
      <x:c r="L339" s="14" t="n">
        <x:f>(F339-$H339)/$H339*100</x:f>
        <x:v>3.571428571428571</x:v>
      </x:c>
      <x:c r="M339" s="14" t="n">
        <x:f>(G339-$H339)/$H339*100</x:f>
        <x:v>0</x:v>
      </x:c>
      <x:c r="N339" s="12" t="str">
        <x:f>IF(C339=$H339,"YES","NO")</x:f>
        <x:v>NO</x:v>
      </x:c>
      <x:c r="O339" s="12" t="str">
        <x:f>IF(D339=$H339,"YES","NO")</x:f>
        <x:v>NO</x:v>
      </x:c>
      <x:c r="P339" s="12" t="str">
        <x:f>IF(E339=$H339,"YES","NO")</x:f>
        <x:v>NO</x:v>
      </x:c>
      <x:c r="Q339" s="12" t="str">
        <x:f>IF(F339=$H339,"YES","NO")</x:f>
        <x:v>NO</x:v>
      </x:c>
      <x:c r="R339" s="12" t="str">
        <x:f>IF(G339=$H339,"YES","NO")</x:f>
        <x:v>YES</x:v>
      </x:c>
    </x:row>
    <x:row r="340">
      <x:c r="A340" s="44" t="str">
        <x:v>bpps_d1000n50m10w100_200s10_100f0_seed0</x:v>
      </x:c>
      <x:c r="B340" s="12" t="n">
        <x:v>50</x:v>
      </x:c>
      <x:c r="C340" s="12" t="n">
        <x:v>10</x:v>
      </x:c>
      <x:c r="D340" s="12" t="n">
        <x:v>10</x:v>
      </x:c>
      <x:c r="E340" s="12" t="n">
        <x:v>11</x:v>
      </x:c>
      <x:c r="F340" s="12" t="n">
        <x:v>10</x:v>
      </x:c>
      <x:c r="G340" s="12" t="n">
        <x:v>10</x:v>
      </x:c>
      <x:c r="H340" s="12" t="n">
        <x:f>MIN(C340:G340)</x:f>
        <x:v>10</x:v>
      </x:c>
      <x:c r="I340" s="14" t="n">
        <x:f>(C340-$H340)/$H340*100</x:f>
        <x:v>0</x:v>
      </x:c>
      <x:c r="J340" s="14" t="n">
        <x:f>(D340-$H340)/$H340*100</x:f>
        <x:v>0</x:v>
      </x:c>
      <x:c r="K340" s="14" t="n">
        <x:f>(E340-$H340)/$H340*100</x:f>
        <x:v>10</x:v>
      </x:c>
      <x:c r="L340" s="14" t="n">
        <x:f>(F340-$H340)/$H340*100</x:f>
        <x:v>0</x:v>
      </x:c>
      <x:c r="M340" s="14" t="n">
        <x:f>(G340-$H340)/$H340*100</x:f>
        <x:v>0</x:v>
      </x:c>
      <x:c r="N340" s="12" t="str">
        <x:f>IF(C340=$H340,"YES","NO")</x:f>
        <x:v>YES</x:v>
      </x:c>
      <x:c r="O340" s="12" t="str">
        <x:f>IF(D340=$H340,"YES","NO")</x:f>
        <x:v>YES</x:v>
      </x:c>
      <x:c r="P340" s="12" t="str">
        <x:f>IF(E340=$H340,"YES","NO")</x:f>
        <x:v>NO</x:v>
      </x:c>
      <x:c r="Q340" s="12" t="str">
        <x:f>IF(F340=$H340,"YES","NO")</x:f>
        <x:v>YES</x:v>
      </x:c>
      <x:c r="R340" s="12" t="str">
        <x:f>IF(G340=$H340,"YES","NO")</x:f>
        <x:v>YES</x:v>
      </x:c>
    </x:row>
    <x:row r="341">
      <x:c r="A341" s="44" t="str">
        <x:v>bpps_d1000n50m10w100_200s10_100f1_seed0</x:v>
      </x:c>
      <x:c r="B341" s="12" t="n">
        <x:v>50</x:v>
      </x:c>
      <x:c r="C341" s="12" t="n">
        <x:v>214</x:v>
      </x:c>
      <x:c r="D341" s="12" t="n">
        <x:v>214</x:v>
      </x:c>
      <x:c r="E341" s="12" t="n">
        <x:v>212</x:v>
      </x:c>
      <x:c r="F341" s="12" t="n">
        <x:v>160</x:v>
      </x:c>
      <x:c r="G341" s="12" t="n">
        <x:v>143</x:v>
      </x:c>
      <x:c r="H341" s="12" t="n">
        <x:f>MIN(C341:G341)</x:f>
        <x:v>143</x:v>
      </x:c>
      <x:c r="I341" s="14" t="n">
        <x:f>(C341-$H341)/$H341*100</x:f>
        <x:v>49.65034965034965</x:v>
      </x:c>
      <x:c r="J341" s="14" t="n">
        <x:f>(D341-$H341)/$H341*100</x:f>
        <x:v>49.65034965034965</x:v>
      </x:c>
      <x:c r="K341" s="14" t="n">
        <x:f>(E341-$H341)/$H341*100</x:f>
        <x:v>48.25174825174825</x:v>
      </x:c>
      <x:c r="L341" s="14" t="n">
        <x:f>(F341-$H341)/$H341*100</x:f>
        <x:v>11.888111888111888</x:v>
      </x:c>
      <x:c r="M341" s="14" t="n">
        <x:f>(G341-$H341)/$H341*100</x:f>
        <x:v>0</x:v>
      </x:c>
      <x:c r="N341" s="12" t="str">
        <x:f>IF(C341=$H341,"YES","NO")</x:f>
        <x:v>NO</x:v>
      </x:c>
      <x:c r="O341" s="12" t="str">
        <x:f>IF(D341=$H341,"YES","NO")</x:f>
        <x:v>NO</x:v>
      </x:c>
      <x:c r="P341" s="12" t="str">
        <x:f>IF(E341=$H341,"YES","NO")</x:f>
        <x:v>NO</x:v>
      </x:c>
      <x:c r="Q341" s="12" t="str">
        <x:f>IF(F341=$H341,"YES","NO")</x:f>
        <x:v>NO</x:v>
      </x:c>
      <x:c r="R341" s="12" t="str">
        <x:f>IF(G341=$H341,"YES","NO")</x:f>
        <x:v>YES</x:v>
      </x:c>
    </x:row>
    <x:row r="342">
      <x:c r="A342" s="44" t="str">
        <x:v>bpps_d1000n50m10w100_200s10_200f0_seed0</x:v>
      </x:c>
      <x:c r="B342" s="12" t="n">
        <x:v>50</x:v>
      </x:c>
      <x:c r="C342" s="12" t="n">
        <x:v>12</x:v>
      </x:c>
      <x:c r="D342" s="12" t="n">
        <x:v>12</x:v>
      </x:c>
      <x:c r="E342" s="12" t="n">
        <x:v>12</x:v>
      </x:c>
      <x:c r="F342" s="12" t="n">
        <x:v>12</x:v>
      </x:c>
      <x:c r="G342" s="12" t="n">
        <x:v>11</x:v>
      </x:c>
      <x:c r="H342" s="12" t="n">
        <x:f>MIN(C342:G342)</x:f>
        <x:v>11</x:v>
      </x:c>
      <x:c r="I342" s="14" t="n">
        <x:f>(C342-$H342)/$H342*100</x:f>
        <x:v>9.090909090909092</x:v>
      </x:c>
      <x:c r="J342" s="14" t="n">
        <x:f>(D342-$H342)/$H342*100</x:f>
        <x:v>9.090909090909092</x:v>
      </x:c>
      <x:c r="K342" s="14" t="n">
        <x:f>(E342-$H342)/$H342*100</x:f>
        <x:v>9.090909090909092</x:v>
      </x:c>
      <x:c r="L342" s="14" t="n">
        <x:f>(F342-$H342)/$H342*100</x:f>
        <x:v>9.090909090909092</x:v>
      </x:c>
      <x:c r="M342" s="14" t="n">
        <x:f>(G342-$H342)/$H342*100</x:f>
        <x:v>0</x:v>
      </x:c>
      <x:c r="N342" s="12" t="str">
        <x:f>IF(C342=$H342,"YES","NO")</x:f>
        <x:v>NO</x:v>
      </x:c>
      <x:c r="O342" s="12" t="str">
        <x:f>IF(D342=$H342,"YES","NO")</x:f>
        <x:v>NO</x:v>
      </x:c>
      <x:c r="P342" s="12" t="str">
        <x:f>IF(E342=$H342,"YES","NO")</x:f>
        <x:v>NO</x:v>
      </x:c>
      <x:c r="Q342" s="12" t="str">
        <x:f>IF(F342=$H342,"YES","NO")</x:f>
        <x:v>NO</x:v>
      </x:c>
      <x:c r="R342" s="12" t="str">
        <x:f>IF(G342=$H342,"YES","NO")</x:f>
        <x:v>YES</x:v>
      </x:c>
    </x:row>
    <x:row r="343">
      <x:c r="A343" s="44" t="str">
        <x:v>bpps_d1000n50m10w100_200s10_200f1_seed0</x:v>
      </x:c>
      <x:c r="B343" s="12" t="n">
        <x:v>50</x:v>
      </x:c>
      <x:c r="C343" s="12" t="n">
        <x:v>248</x:v>
      </x:c>
      <x:c r="D343" s="12" t="n">
        <x:v>251</x:v>
      </x:c>
      <x:c r="E343" s="12" t="n">
        <x:v>246</x:v>
      </x:c>
      <x:c r="F343" s="12" t="n">
        <x:v>161</x:v>
      </x:c>
      <x:c r="G343" s="12" t="n">
        <x:v>157</x:v>
      </x:c>
      <x:c r="H343" s="12" t="n">
        <x:f>MIN(C343:G343)</x:f>
        <x:v>157</x:v>
      </x:c>
      <x:c r="I343" s="14" t="n">
        <x:f>(C343-$H343)/$H343*100</x:f>
        <x:v>57.961783439490446</x:v>
      </x:c>
      <x:c r="J343" s="14" t="n">
        <x:f>(D343-$H343)/$H343*100</x:f>
        <x:v>59.87261146496815</x:v>
      </x:c>
      <x:c r="K343" s="14" t="n">
        <x:f>(E343-$H343)/$H343*100</x:f>
        <x:v>56.68789808917197</x:v>
      </x:c>
      <x:c r="L343" s="14" t="n">
        <x:f>(F343-$H343)/$H343*100</x:f>
        <x:v>2.547770700636943</x:v>
      </x:c>
      <x:c r="M343" s="14" t="n">
        <x:f>(G343-$H343)/$H343*100</x:f>
        <x:v>0</x:v>
      </x:c>
      <x:c r="N343" s="12" t="str">
        <x:f>IF(C343=$H343,"YES","NO")</x:f>
        <x:v>NO</x:v>
      </x:c>
      <x:c r="O343" s="12" t="str">
        <x:f>IF(D343=$H343,"YES","NO")</x:f>
        <x:v>NO</x:v>
      </x:c>
      <x:c r="P343" s="12" t="str">
        <x:f>IF(E343=$H343,"YES","NO")</x:f>
        <x:v>NO</x:v>
      </x:c>
      <x:c r="Q343" s="12" t="str">
        <x:f>IF(F343=$H343,"YES","NO")</x:f>
        <x:v>NO</x:v>
      </x:c>
      <x:c r="R343" s="12" t="str">
        <x:f>IF(G343=$H343,"YES","NO")</x:f>
        <x:v>YES</x:v>
      </x:c>
    </x:row>
    <x:row r="344">
      <x:c r="A344" s="44" t="str">
        <x:v>bpps_d1000n50m10w10_100s100_200f0_seed0</x:v>
      </x:c>
      <x:c r="B344" s="12" t="n">
        <x:v>50</x:v>
      </x:c>
      <x:c r="C344" s="12" t="n">
        <x:v>8</x:v>
      </x:c>
      <x:c r="D344" s="12" t="n">
        <x:v>8</x:v>
      </x:c>
      <x:c r="E344" s="12" t="n">
        <x:v>8</x:v>
      </x:c>
      <x:c r="F344" s="12" t="n">
        <x:v>7</x:v>
      </x:c>
      <x:c r="G344" s="12" t="n">
        <x:v>7</x:v>
      </x:c>
      <x:c r="H344" s="12" t="n">
        <x:f>MIN(C344:G344)</x:f>
        <x:v>7</x:v>
      </x:c>
      <x:c r="I344" s="14" t="n">
        <x:f>(C344-$H344)/$H344*100</x:f>
        <x:v>14.285714285714285</x:v>
      </x:c>
      <x:c r="J344" s="14" t="n">
        <x:f>(D344-$H344)/$H344*100</x:f>
        <x:v>14.285714285714285</x:v>
      </x:c>
      <x:c r="K344" s="14" t="n">
        <x:f>(E344-$H344)/$H344*100</x:f>
        <x:v>14.285714285714285</x:v>
      </x:c>
      <x:c r="L344" s="14" t="n">
        <x:f>(F344-$H344)/$H344*100</x:f>
        <x:v>0</x:v>
      </x:c>
      <x:c r="M344" s="14" t="n">
        <x:f>(G344-$H344)/$H344*100</x:f>
        <x:v>0</x:v>
      </x:c>
      <x:c r="N344" s="12" t="str">
        <x:f>IF(C344=$H344,"YES","NO")</x:f>
        <x:v>NO</x:v>
      </x:c>
      <x:c r="O344" s="12" t="str">
        <x:f>IF(D344=$H344,"YES","NO")</x:f>
        <x:v>NO</x:v>
      </x:c>
      <x:c r="P344" s="12" t="str">
        <x:f>IF(E344=$H344,"YES","NO")</x:f>
        <x:v>NO</x:v>
      </x:c>
      <x:c r="Q344" s="12" t="str">
        <x:f>IF(F344=$H344,"YES","NO")</x:f>
        <x:v>YES</x:v>
      </x:c>
      <x:c r="R344" s="12" t="str">
        <x:f>IF(G344=$H344,"YES","NO")</x:f>
        <x:v>YES</x:v>
      </x:c>
    </x:row>
    <x:row r="345">
      <x:c r="A345" s="44" t="str">
        <x:v>bpps_d1000n50m10w10_100s100_200f1_seed0</x:v>
      </x:c>
      <x:c r="B345" s="12" t="n">
        <x:v>50</x:v>
      </x:c>
      <x:c r="C345" s="12" t="n">
        <x:v>159</x:v>
      </x:c>
      <x:c r="D345" s="12" t="n">
        <x:v>159</x:v>
      </x:c>
      <x:c r="E345" s="12" t="n">
        <x:v>131</x:v>
      </x:c>
      <x:c r="F345" s="12" t="n">
        <x:v>112</x:v>
      </x:c>
      <x:c r="G345" s="12" t="n">
        <x:v>104</x:v>
      </x:c>
      <x:c r="H345" s="12" t="n">
        <x:f>MIN(C345:G345)</x:f>
        <x:v>104</x:v>
      </x:c>
      <x:c r="I345" s="14" t="n">
        <x:f>(C345-$H345)/$H345*100</x:f>
        <x:v>52.88461538461539</x:v>
      </x:c>
      <x:c r="J345" s="14" t="n">
        <x:f>(D345-$H345)/$H345*100</x:f>
        <x:v>52.88461538461539</x:v>
      </x:c>
      <x:c r="K345" s="14" t="n">
        <x:f>(E345-$H345)/$H345*100</x:f>
        <x:v>25.961538461538463</x:v>
      </x:c>
      <x:c r="L345" s="14" t="n">
        <x:f>(F345-$H345)/$H345*100</x:f>
        <x:v>7.6923076923076925</x:v>
      </x:c>
      <x:c r="M345" s="14" t="n">
        <x:f>(G345-$H345)/$H345*100</x:f>
        <x:v>0</x:v>
      </x:c>
      <x:c r="N345" s="12" t="str">
        <x:f>IF(C345=$H345,"YES","NO")</x:f>
        <x:v>NO</x:v>
      </x:c>
      <x:c r="O345" s="12" t="str">
        <x:f>IF(D345=$H345,"YES","NO")</x:f>
        <x:v>NO</x:v>
      </x:c>
      <x:c r="P345" s="12" t="str">
        <x:f>IF(E345=$H345,"YES","NO")</x:f>
        <x:v>NO</x:v>
      </x:c>
      <x:c r="Q345" s="12" t="str">
        <x:f>IF(F345=$H345,"YES","NO")</x:f>
        <x:v>NO</x:v>
      </x:c>
      <x:c r="R345" s="12" t="str">
        <x:f>IF(G345=$H345,"YES","NO")</x:f>
        <x:v>YES</x:v>
      </x:c>
    </x:row>
    <x:row r="346">
      <x:c r="A346" s="44" t="str">
        <x:v>bpps_d1000n50m10w10_100s10_100f0_seed0</x:v>
      </x:c>
      <x:c r="B346" s="12" t="n">
        <x:v>50</x:v>
      </x:c>
      <x:c r="C346" s="12" t="n">
        <x:v>6</x:v>
      </x:c>
      <x:c r="D346" s="12" t="n">
        <x:v>6</x:v>
      </x:c>
      <x:c r="E346" s="12" t="n">
        <x:v>5</x:v>
      </x:c>
      <x:c r="F346" s="12" t="n">
        <x:v>7</x:v>
      </x:c>
      <x:c r="G346" s="12" t="n">
        <x:v>5</x:v>
      </x:c>
      <x:c r="H346" s="12" t="n">
        <x:f>MIN(C346:G346)</x:f>
        <x:v>5</x:v>
      </x:c>
      <x:c r="I346" s="14" t="n">
        <x:f>(C346-$H346)/$H346*100</x:f>
        <x:v>20</x:v>
      </x:c>
      <x:c r="J346" s="14" t="n">
        <x:f>(D346-$H346)/$H346*100</x:f>
        <x:v>20</x:v>
      </x:c>
      <x:c r="K346" s="14" t="n">
        <x:f>(E346-$H346)/$H346*100</x:f>
        <x:v>0</x:v>
      </x:c>
      <x:c r="L346" s="14" t="n">
        <x:f>(F346-$H346)/$H346*100</x:f>
        <x:v>40</x:v>
      </x:c>
      <x:c r="M346" s="14" t="n">
        <x:f>(G346-$H346)/$H346*100</x:f>
        <x:v>0</x:v>
      </x:c>
      <x:c r="N346" s="12" t="str">
        <x:f>IF(C346=$H346,"YES","NO")</x:f>
        <x:v>NO</x:v>
      </x:c>
      <x:c r="O346" s="12" t="str">
        <x:f>IF(D346=$H346,"YES","NO")</x:f>
        <x:v>NO</x:v>
      </x:c>
      <x:c r="P346" s="12" t="str">
        <x:f>IF(E346=$H346,"YES","NO")</x:f>
        <x:v>YES</x:v>
      </x:c>
      <x:c r="Q346" s="12" t="str">
        <x:f>IF(F346=$H346,"YES","NO")</x:f>
        <x:v>NO</x:v>
      </x:c>
      <x:c r="R346" s="12" t="str">
        <x:f>IF(G346=$H346,"YES","NO")</x:f>
        <x:v>YES</x:v>
      </x:c>
    </x:row>
    <x:row r="347">
      <x:c r="A347" s="44" t="str">
        <x:v>bpps_d1000n50m10w10_100s10_100f1_seed0</x:v>
      </x:c>
      <x:c r="B347" s="12" t="n">
        <x:v>50</x:v>
      </x:c>
      <x:c r="C347" s="12" t="n">
        <x:v>139</x:v>
      </x:c>
      <x:c r="D347" s="12" t="n">
        <x:v>129</x:v>
      </x:c>
      <x:c r="E347" s="12" t="n">
        <x:v>121</x:v>
      </x:c>
      <x:c r="F347" s="12" t="n">
        <x:v>123</x:v>
      </x:c>
      <x:c r="G347" s="12" t="n">
        <x:v>109</x:v>
      </x:c>
      <x:c r="H347" s="12" t="n">
        <x:f>MIN(C347:G347)</x:f>
        <x:v>109</x:v>
      </x:c>
      <x:c r="I347" s="14" t="n">
        <x:f>(C347-$H347)/$H347*100</x:f>
        <x:v>27.522935779816514</x:v>
      </x:c>
      <x:c r="J347" s="14" t="n">
        <x:f>(D347-$H347)/$H347*100</x:f>
        <x:v>18.34862385321101</x:v>
      </x:c>
      <x:c r="K347" s="14" t="n">
        <x:f>(E347-$H347)/$H347*100</x:f>
        <x:v>11.009174311926607</x:v>
      </x:c>
      <x:c r="L347" s="14" t="n">
        <x:f>(F347-$H347)/$H347*100</x:f>
        <x:v>12.844036697247708</x:v>
      </x:c>
      <x:c r="M347" s="14" t="n">
        <x:f>(G347-$H347)/$H347*100</x:f>
        <x:v>0</x:v>
      </x:c>
      <x:c r="N347" s="12" t="str">
        <x:f>IF(C347=$H347,"YES","NO")</x:f>
        <x:v>NO</x:v>
      </x:c>
      <x:c r="O347" s="12" t="str">
        <x:f>IF(D347=$H347,"YES","NO")</x:f>
        <x:v>NO</x:v>
      </x:c>
      <x:c r="P347" s="12" t="str">
        <x:f>IF(E347=$H347,"YES","NO")</x:f>
        <x:v>NO</x:v>
      </x:c>
      <x:c r="Q347" s="12" t="str">
        <x:f>IF(F347=$H347,"YES","NO")</x:f>
        <x:v>NO</x:v>
      </x:c>
      <x:c r="R347" s="12" t="str">
        <x:f>IF(G347=$H347,"YES","NO")</x:f>
        <x:v>YES</x:v>
      </x:c>
    </x:row>
    <x:row r="348">
      <x:c r="A348" s="44" t="str">
        <x:v>bpps_d1000n50m10w10_100s10_200f0_seed0</x:v>
      </x:c>
      <x:c r="B348" s="12" t="n">
        <x:v>50</x:v>
      </x:c>
      <x:c r="C348" s="12" t="n">
        <x:v>6</x:v>
      </x:c>
      <x:c r="D348" s="12" t="n">
        <x:v>6</x:v>
      </x:c>
      <x:c r="E348" s="12" t="n">
        <x:v>6</x:v>
      </x:c>
      <x:c r="F348" s="12" t="n">
        <x:v>6</x:v>
      </x:c>
      <x:c r="G348" s="12" t="n">
        <x:v>6</x:v>
      </x:c>
      <x:c r="H348" s="12" t="n">
        <x:f>MIN(C348:G348)</x:f>
        <x:v>6</x:v>
      </x:c>
      <x:c r="I348" s="14" t="n">
        <x:f>(C348-$H348)/$H348*100</x:f>
        <x:v>0</x:v>
      </x:c>
      <x:c r="J348" s="14" t="n">
        <x:f>(D348-$H348)/$H348*100</x:f>
        <x:v>0</x:v>
      </x:c>
      <x:c r="K348" s="14" t="n">
        <x:f>(E348-$H348)/$H348*100</x:f>
        <x:v>0</x:v>
      </x:c>
      <x:c r="L348" s="14" t="n">
        <x:f>(F348-$H348)/$H348*100</x:f>
        <x:v>0</x:v>
      </x:c>
      <x:c r="M348" s="14" t="n">
        <x:f>(G348-$H348)/$H348*100</x:f>
        <x:v>0</x:v>
      </x:c>
      <x:c r="N348" s="12" t="str">
        <x:f>IF(C348=$H348,"YES","NO")</x:f>
        <x:v>YES</x:v>
      </x:c>
      <x:c r="O348" s="12" t="str">
        <x:f>IF(D348=$H348,"YES","NO")</x:f>
        <x:v>YES</x:v>
      </x:c>
      <x:c r="P348" s="12" t="str">
        <x:f>IF(E348=$H348,"YES","NO")</x:f>
        <x:v>YES</x:v>
      </x:c>
      <x:c r="Q348" s="12" t="str">
        <x:f>IF(F348=$H348,"YES","NO")</x:f>
        <x:v>YES</x:v>
      </x:c>
      <x:c r="R348" s="12" t="str">
        <x:f>IF(G348=$H348,"YES","NO")</x:f>
        <x:v>YES</x:v>
      </x:c>
    </x:row>
    <x:row r="349">
      <x:c r="A349" s="44" t="str">
        <x:v>bpps_d1000n50m10w10_100s10_200f1_seed0</x:v>
      </x:c>
      <x:c r="B349" s="12" t="n">
        <x:v>50</x:v>
      </x:c>
      <x:c r="C349" s="12" t="n">
        <x:v>164</x:v>
      </x:c>
      <x:c r="D349" s="12" t="n">
        <x:v>153</x:v>
      </x:c>
      <x:c r="E349" s="12" t="n">
        <x:v>138</x:v>
      </x:c>
      <x:c r="F349" s="12" t="n">
        <x:v>116</x:v>
      </x:c>
      <x:c r="G349" s="12" t="n">
        <x:v>106</x:v>
      </x:c>
      <x:c r="H349" s="12" t="n">
        <x:f>MIN(C349:G349)</x:f>
        <x:v>106</x:v>
      </x:c>
      <x:c r="I349" s="14" t="n">
        <x:f>(C349-$H349)/$H349*100</x:f>
        <x:v>54.71698113207547</x:v>
      </x:c>
      <x:c r="J349" s="14" t="n">
        <x:f>(D349-$H349)/$H349*100</x:f>
        <x:v>44.339622641509436</x:v>
      </x:c>
      <x:c r="K349" s="14" t="n">
        <x:f>(E349-$H349)/$H349*100</x:f>
        <x:v>30.18867924528302</x:v>
      </x:c>
      <x:c r="L349" s="14" t="n">
        <x:f>(F349-$H349)/$H349*100</x:f>
        <x:v>9.433962264150944</x:v>
      </x:c>
      <x:c r="M349" s="14" t="n">
        <x:f>(G349-$H349)/$H349*100</x:f>
        <x:v>0</x:v>
      </x:c>
      <x:c r="N349" s="12" t="str">
        <x:f>IF(C349=$H349,"YES","NO")</x:f>
        <x:v>NO</x:v>
      </x:c>
      <x:c r="O349" s="12" t="str">
        <x:f>IF(D349=$H349,"YES","NO")</x:f>
        <x:v>NO</x:v>
      </x:c>
      <x:c r="P349" s="12" t="str">
        <x:f>IF(E349=$H349,"YES","NO")</x:f>
        <x:v>NO</x:v>
      </x:c>
      <x:c r="Q349" s="12" t="str">
        <x:f>IF(F349=$H349,"YES","NO")</x:f>
        <x:v>NO</x:v>
      </x:c>
      <x:c r="R349" s="12" t="str">
        <x:f>IF(G349=$H349,"YES","NO")</x:f>
        <x:v>YES</x:v>
      </x:c>
    </x:row>
    <x:row r="350">
      <x:c r="A350" s="44" t="str">
        <x:v>bpps_d1000n50m10w10_300s100_200f0_seed0</x:v>
      </x:c>
      <x:c r="B350" s="12" t="n">
        <x:v>50</x:v>
      </x:c>
      <x:c r="C350" s="12" t="n">
        <x:v>14</x:v>
      </x:c>
      <x:c r="D350" s="12" t="n">
        <x:v>14</x:v>
      </x:c>
      <x:c r="E350" s="12" t="n">
        <x:v>14</x:v>
      </x:c>
      <x:c r="F350" s="12" t="n">
        <x:v>13</x:v>
      </x:c>
      <x:c r="G350" s="12" t="n">
        <x:v>12</x:v>
      </x:c>
      <x:c r="H350" s="12" t="n">
        <x:f>MIN(C350:G350)</x:f>
        <x:v>12</x:v>
      </x:c>
      <x:c r="I350" s="14" t="n">
        <x:f>(C350-$H350)/$H350*100</x:f>
        <x:v>16.666666666666664</x:v>
      </x:c>
      <x:c r="J350" s="14" t="n">
        <x:f>(D350-$H350)/$H350*100</x:f>
        <x:v>16.666666666666664</x:v>
      </x:c>
      <x:c r="K350" s="14" t="n">
        <x:f>(E350-$H350)/$H350*100</x:f>
        <x:v>16.666666666666664</x:v>
      </x:c>
      <x:c r="L350" s="14" t="n">
        <x:f>(F350-$H350)/$H350*100</x:f>
        <x:v>8.333333333333332</x:v>
      </x:c>
      <x:c r="M350" s="14" t="n">
        <x:f>(G350-$H350)/$H350*100</x:f>
        <x:v>0</x:v>
      </x:c>
      <x:c r="N350" s="12" t="str">
        <x:f>IF(C350=$H350,"YES","NO")</x:f>
        <x:v>NO</x:v>
      </x:c>
      <x:c r="O350" s="12" t="str">
        <x:f>IF(D350=$H350,"YES","NO")</x:f>
        <x:v>NO</x:v>
      </x:c>
      <x:c r="P350" s="12" t="str">
        <x:f>IF(E350=$H350,"YES","NO")</x:f>
        <x:v>NO</x:v>
      </x:c>
      <x:c r="Q350" s="12" t="str">
        <x:f>IF(F350=$H350,"YES","NO")</x:f>
        <x:v>NO</x:v>
      </x:c>
      <x:c r="R350" s="12" t="str">
        <x:f>IF(G350=$H350,"YES","NO")</x:f>
        <x:v>YES</x:v>
      </x:c>
    </x:row>
    <x:row r="351">
      <x:c r="A351" s="44" t="str">
        <x:v>bpps_d1000n50m10w10_300s100_200f1_seed0</x:v>
      </x:c>
      <x:c r="B351" s="12" t="n">
        <x:v>50</x:v>
      </x:c>
      <x:c r="C351" s="12" t="n">
        <x:v>243</x:v>
      </x:c>
      <x:c r="D351" s="12" t="n">
        <x:v>248</x:v>
      </x:c>
      <x:c r="E351" s="12" t="n">
        <x:v>239</x:v>
      </x:c>
      <x:c r="F351" s="12" t="n">
        <x:v>185</x:v>
      </x:c>
      <x:c r="G351" s="12" t="n">
        <x:v>174</x:v>
      </x:c>
      <x:c r="H351" s="12" t="n">
        <x:f>MIN(C351:G351)</x:f>
        <x:v>174</x:v>
      </x:c>
      <x:c r="I351" s="14" t="n">
        <x:f>(C351-$H351)/$H351*100</x:f>
        <x:v>39.6551724137931</x:v>
      </x:c>
      <x:c r="J351" s="14" t="n">
        <x:f>(D351-$H351)/$H351*100</x:f>
        <x:v>42.5287356321839</x:v>
      </x:c>
      <x:c r="K351" s="14" t="n">
        <x:f>(E351-$H351)/$H351*100</x:f>
        <x:v>37.35632183908046</x:v>
      </x:c>
      <x:c r="L351" s="14" t="n">
        <x:f>(F351-$H351)/$H351*100</x:f>
        <x:v>6.321839080459771</x:v>
      </x:c>
      <x:c r="M351" s="14" t="n">
        <x:f>(G351-$H351)/$H351*100</x:f>
        <x:v>0</x:v>
      </x:c>
      <x:c r="N351" s="12" t="str">
        <x:f>IF(C351=$H351,"YES","NO")</x:f>
        <x:v>NO</x:v>
      </x:c>
      <x:c r="O351" s="12" t="str">
        <x:f>IF(D351=$H351,"YES","NO")</x:f>
        <x:v>NO</x:v>
      </x:c>
      <x:c r="P351" s="12" t="str">
        <x:f>IF(E351=$H351,"YES","NO")</x:f>
        <x:v>NO</x:v>
      </x:c>
      <x:c r="Q351" s="12" t="str">
        <x:f>IF(F351=$H351,"YES","NO")</x:f>
        <x:v>NO</x:v>
      </x:c>
      <x:c r="R351" s="12" t="str">
        <x:f>IF(G351=$H351,"YES","NO")</x:f>
        <x:v>YES</x:v>
      </x:c>
    </x:row>
    <x:row r="352">
      <x:c r="A352" s="44" t="str">
        <x:v>bpps_d1000n50m10w10_300s10_100f0_seed0</x:v>
      </x:c>
      <x:c r="B352" s="12" t="n">
        <x:v>50</x:v>
      </x:c>
      <x:c r="C352" s="12" t="n">
        <x:v>11</x:v>
      </x:c>
      <x:c r="D352" s="12" t="n">
        <x:v>11</x:v>
      </x:c>
      <x:c r="E352" s="12" t="n">
        <x:v>11</x:v>
      </x:c>
      <x:c r="F352" s="12" t="n">
        <x:v>11</x:v>
      </x:c>
      <x:c r="G352" s="12" t="n">
        <x:v>10</x:v>
      </x:c>
      <x:c r="H352" s="12" t="n">
        <x:f>MIN(C352:G352)</x:f>
        <x:v>10</x:v>
      </x:c>
      <x:c r="I352" s="14" t="n">
        <x:f>(C352-$H352)/$H352*100</x:f>
        <x:v>10</x:v>
      </x:c>
      <x:c r="J352" s="14" t="n">
        <x:f>(D352-$H352)/$H352*100</x:f>
        <x:v>10</x:v>
      </x:c>
      <x:c r="K352" s="14" t="n">
        <x:f>(E352-$H352)/$H352*100</x:f>
        <x:v>10</x:v>
      </x:c>
      <x:c r="L352" s="14" t="n">
        <x:f>(F352-$H352)/$H352*100</x:f>
        <x:v>10</x:v>
      </x:c>
      <x:c r="M352" s="14" t="n">
        <x:f>(G352-$H352)/$H352*100</x:f>
        <x:v>0</x:v>
      </x:c>
      <x:c r="N352" s="12" t="str">
        <x:f>IF(C352=$H352,"YES","NO")</x:f>
        <x:v>NO</x:v>
      </x:c>
      <x:c r="O352" s="12" t="str">
        <x:f>IF(D352=$H352,"YES","NO")</x:f>
        <x:v>NO</x:v>
      </x:c>
      <x:c r="P352" s="12" t="str">
        <x:f>IF(E352=$H352,"YES","NO")</x:f>
        <x:v>NO</x:v>
      </x:c>
      <x:c r="Q352" s="12" t="str">
        <x:f>IF(F352=$H352,"YES","NO")</x:f>
        <x:v>NO</x:v>
      </x:c>
      <x:c r="R352" s="12" t="str">
        <x:f>IF(G352=$H352,"YES","NO")</x:f>
        <x:v>YES</x:v>
      </x:c>
    </x:row>
    <x:row r="353">
      <x:c r="A353" s="44" t="str">
        <x:v>bpps_d1000n50m10w10_300s10_100f1_seed0</x:v>
      </x:c>
      <x:c r="B353" s="12" t="n">
        <x:v>50</x:v>
      </x:c>
      <x:c r="C353" s="12" t="n">
        <x:v>233</x:v>
      </x:c>
      <x:c r="D353" s="12" t="n">
        <x:v>241</x:v>
      </x:c>
      <x:c r="E353" s="12" t="n">
        <x:v>222</x:v>
      </x:c>
      <x:c r="F353" s="12" t="n">
        <x:v>179</x:v>
      </x:c>
      <x:c r="G353" s="12" t="n">
        <x:v>165</x:v>
      </x:c>
      <x:c r="H353" s="12" t="n">
        <x:f>MIN(C353:G353)</x:f>
        <x:v>165</x:v>
      </x:c>
      <x:c r="I353" s="14" t="n">
        <x:f>(C353-$H353)/$H353*100</x:f>
        <x:v>41.21212121212121</x:v>
      </x:c>
      <x:c r="J353" s="14" t="n">
        <x:f>(D353-$H353)/$H353*100</x:f>
        <x:v>46.06060606060606</x:v>
      </x:c>
      <x:c r="K353" s="14" t="n">
        <x:f>(E353-$H353)/$H353*100</x:f>
        <x:v>34.54545454545455</x:v>
      </x:c>
      <x:c r="L353" s="14" t="n">
        <x:f>(F353-$H353)/$H353*100</x:f>
        <x:v>8.484848484848486</x:v>
      </x:c>
      <x:c r="M353" s="14" t="n">
        <x:f>(G353-$H353)/$H353*100</x:f>
        <x:v>0</x:v>
      </x:c>
      <x:c r="N353" s="12" t="str">
        <x:f>IF(C353=$H353,"YES","NO")</x:f>
        <x:v>NO</x:v>
      </x:c>
      <x:c r="O353" s="12" t="str">
        <x:f>IF(D353=$H353,"YES","NO")</x:f>
        <x:v>NO</x:v>
      </x:c>
      <x:c r="P353" s="12" t="str">
        <x:f>IF(E353=$H353,"YES","NO")</x:f>
        <x:v>NO</x:v>
      </x:c>
      <x:c r="Q353" s="12" t="str">
        <x:f>IF(F353=$H353,"YES","NO")</x:f>
        <x:v>NO</x:v>
      </x:c>
      <x:c r="R353" s="12" t="str">
        <x:f>IF(G353=$H353,"YES","NO")</x:f>
        <x:v>YES</x:v>
      </x:c>
    </x:row>
    <x:row r="354">
      <x:c r="A354" s="44" t="str">
        <x:v>bpps_d1000n50m10w10_300s10_200f0_seed0</x:v>
      </x:c>
      <x:c r="B354" s="12" t="n">
        <x:v>50</x:v>
      </x:c>
      <x:c r="C354" s="12" t="n">
        <x:v>13</x:v>
      </x:c>
      <x:c r="D354" s="12" t="n">
        <x:v>13</x:v>
      </x:c>
      <x:c r="E354" s="12" t="n">
        <x:v>13</x:v>
      </x:c>
      <x:c r="F354" s="12" t="n">
        <x:v>12</x:v>
      </x:c>
      <x:c r="G354" s="12" t="n">
        <x:v>12</x:v>
      </x:c>
      <x:c r="H354" s="12" t="n">
        <x:f>MIN(C354:G354)</x:f>
        <x:v>12</x:v>
      </x:c>
      <x:c r="I354" s="14" t="n">
        <x:f>(C354-$H354)/$H354*100</x:f>
        <x:v>8.333333333333332</x:v>
      </x:c>
      <x:c r="J354" s="14" t="n">
        <x:f>(D354-$H354)/$H354*100</x:f>
        <x:v>8.333333333333332</x:v>
      </x:c>
      <x:c r="K354" s="14" t="n">
        <x:f>(E354-$H354)/$H354*100</x:f>
        <x:v>8.333333333333332</x:v>
      </x:c>
      <x:c r="L354" s="14" t="n">
        <x:f>(F354-$H354)/$H354*100</x:f>
        <x:v>0</x:v>
      </x:c>
      <x:c r="M354" s="14" t="n">
        <x:f>(G354-$H354)/$H354*100</x:f>
        <x:v>0</x:v>
      </x:c>
      <x:c r="N354" s="12" t="str">
        <x:f>IF(C354=$H354,"YES","NO")</x:f>
        <x:v>NO</x:v>
      </x:c>
      <x:c r="O354" s="12" t="str">
        <x:f>IF(D354=$H354,"YES","NO")</x:f>
        <x:v>NO</x:v>
      </x:c>
      <x:c r="P354" s="12" t="str">
        <x:f>IF(E354=$H354,"YES","NO")</x:f>
        <x:v>NO</x:v>
      </x:c>
      <x:c r="Q354" s="12" t="str">
        <x:f>IF(F354=$H354,"YES","NO")</x:f>
        <x:v>YES</x:v>
      </x:c>
      <x:c r="R354" s="12" t="str">
        <x:f>IF(G354=$H354,"YES","NO")</x:f>
        <x:v>YES</x:v>
      </x:c>
    </x:row>
    <x:row r="355">
      <x:c r="A355" s="44" t="str">
        <x:v>bpps_d1000n50m10w10_300s10_200f1_seed0</x:v>
      </x:c>
      <x:c r="B355" s="12" t="n">
        <x:v>50</x:v>
      </x:c>
      <x:c r="C355" s="12" t="n">
        <x:v>237</x:v>
      </x:c>
      <x:c r="D355" s="12" t="n">
        <x:v>237</x:v>
      </x:c>
      <x:c r="E355" s="12" t="n">
        <x:v>227</x:v>
      </x:c>
      <x:c r="F355" s="12" t="n">
        <x:v>175</x:v>
      </x:c>
      <x:c r="G355" s="12" t="n">
        <x:v>165</x:v>
      </x:c>
      <x:c r="H355" s="12" t="n">
        <x:f>MIN(C355:G355)</x:f>
        <x:v>165</x:v>
      </x:c>
      <x:c r="I355" s="14" t="n">
        <x:f>(C355-$H355)/$H355*100</x:f>
        <x:v>43.63636363636363</x:v>
      </x:c>
      <x:c r="J355" s="14" t="n">
        <x:f>(D355-$H355)/$H355*100</x:f>
        <x:v>43.63636363636363</x:v>
      </x:c>
      <x:c r="K355" s="14" t="n">
        <x:f>(E355-$H355)/$H355*100</x:f>
        <x:v>37.57575757575757</x:v>
      </x:c>
      <x:c r="L355" s="14" t="n">
        <x:f>(F355-$H355)/$H355*100</x:f>
        <x:v>6.0606060606060606</x:v>
      </x:c>
      <x:c r="M355" s="14" t="n">
        <x:f>(G355-$H355)/$H355*100</x:f>
        <x:v>0</x:v>
      </x:c>
      <x:c r="N355" s="12" t="str">
        <x:f>IF(C355=$H355,"YES","NO")</x:f>
        <x:v>NO</x:v>
      </x:c>
      <x:c r="O355" s="12" t="str">
        <x:f>IF(D355=$H355,"YES","NO")</x:f>
        <x:v>NO</x:v>
      </x:c>
      <x:c r="P355" s="12" t="str">
        <x:f>IF(E355=$H355,"YES","NO")</x:f>
        <x:v>NO</x:v>
      </x:c>
      <x:c r="Q355" s="12" t="str">
        <x:f>IF(F355=$H355,"YES","NO")</x:f>
        <x:v>NO</x:v>
      </x:c>
      <x:c r="R355" s="12" t="str">
        <x:f>IF(G355=$H355,"YES","NO")</x:f>
        <x:v>YES</x:v>
      </x:c>
    </x:row>
    <x:row r="356">
      <x:c r="A356" s="44" t="str">
        <x:v>bpps_d1000n50m10w200_300s100_200f0_seed0</x:v>
      </x:c>
      <x:c r="B356" s="12" t="n">
        <x:v>50</x:v>
      </x:c>
      <x:c r="C356" s="12" t="n">
        <x:v>21</x:v>
      </x:c>
      <x:c r="D356" s="12" t="n">
        <x:v>21</x:v>
      </x:c>
      <x:c r="E356" s="12" t="n">
        <x:v>21</x:v>
      </x:c>
      <x:c r="F356" s="12" t="n">
        <x:v>18</x:v>
      </x:c>
      <x:c r="G356" s="12" t="n">
        <x:v>18</x:v>
      </x:c>
      <x:c r="H356" s="12" t="n">
        <x:f>MIN(C356:G356)</x:f>
        <x:v>18</x:v>
      </x:c>
      <x:c r="I356" s="14" t="n">
        <x:f>(C356-$H356)/$H356*100</x:f>
        <x:v>16.666666666666664</x:v>
      </x:c>
      <x:c r="J356" s="14" t="n">
        <x:f>(D356-$H356)/$H356*100</x:f>
        <x:v>16.666666666666664</x:v>
      </x:c>
      <x:c r="K356" s="14" t="n">
        <x:f>(E356-$H356)/$H356*100</x:f>
        <x:v>16.666666666666664</x:v>
      </x:c>
      <x:c r="L356" s="14" t="n">
        <x:f>(F356-$H356)/$H356*100</x:f>
        <x:v>0</x:v>
      </x:c>
      <x:c r="M356" s="14" t="n">
        <x:f>(G356-$H356)/$H356*100</x:f>
        <x:v>0</x:v>
      </x:c>
      <x:c r="N356" s="12" t="str">
        <x:f>IF(C356=$H356,"YES","NO")</x:f>
        <x:v>NO</x:v>
      </x:c>
      <x:c r="O356" s="12" t="str">
        <x:f>IF(D356=$H356,"YES","NO")</x:f>
        <x:v>NO</x:v>
      </x:c>
      <x:c r="P356" s="12" t="str">
        <x:f>IF(E356=$H356,"YES","NO")</x:f>
        <x:v>NO</x:v>
      </x:c>
      <x:c r="Q356" s="12" t="str">
        <x:f>IF(F356=$H356,"YES","NO")</x:f>
        <x:v>YES</x:v>
      </x:c>
      <x:c r="R356" s="12" t="str">
        <x:f>IF(G356=$H356,"YES","NO")</x:f>
        <x:v>YES</x:v>
      </x:c>
    </x:row>
    <x:row r="357">
      <x:c r="A357" s="44" t="str">
        <x:v>bpps_d1000n50m10w200_300s100_200f1_seed0</x:v>
      </x:c>
      <x:c r="B357" s="12" t="n">
        <x:v>50</x:v>
      </x:c>
      <x:c r="C357" s="12" t="n">
        <x:v>335</x:v>
      </x:c>
      <x:c r="D357" s="12" t="n">
        <x:v>335</x:v>
      </x:c>
      <x:c r="E357" s="12" t="n">
        <x:v>335</x:v>
      </x:c>
      <x:c r="F357" s="12" t="n">
        <x:v>257</x:v>
      </x:c>
      <x:c r="G357" s="12" t="n">
        <x:v>243</x:v>
      </x:c>
      <x:c r="H357" s="12" t="n">
        <x:f>MIN(C357:G357)</x:f>
        <x:v>243</x:v>
      </x:c>
      <x:c r="I357" s="14" t="n">
        <x:f>(C357-$H357)/$H357*100</x:f>
        <x:v>37.86008230452675</x:v>
      </x:c>
      <x:c r="J357" s="14" t="n">
        <x:f>(D357-$H357)/$H357*100</x:f>
        <x:v>37.86008230452675</x:v>
      </x:c>
      <x:c r="K357" s="14" t="n">
        <x:f>(E357-$H357)/$H357*100</x:f>
        <x:v>37.86008230452675</x:v>
      </x:c>
      <x:c r="L357" s="14" t="n">
        <x:f>(F357-$H357)/$H357*100</x:f>
        <x:v>5.761316872427984</x:v>
      </x:c>
      <x:c r="M357" s="14" t="n">
        <x:f>(G357-$H357)/$H357*100</x:f>
        <x:v>0</x:v>
      </x:c>
      <x:c r="N357" s="12" t="str">
        <x:f>IF(C357=$H357,"YES","NO")</x:f>
        <x:v>NO</x:v>
      </x:c>
      <x:c r="O357" s="12" t="str">
        <x:f>IF(D357=$H357,"YES","NO")</x:f>
        <x:v>NO</x:v>
      </x:c>
      <x:c r="P357" s="12" t="str">
        <x:f>IF(E357=$H357,"YES","NO")</x:f>
        <x:v>NO</x:v>
      </x:c>
      <x:c r="Q357" s="12" t="str">
        <x:f>IF(F357=$H357,"YES","NO")</x:f>
        <x:v>NO</x:v>
      </x:c>
      <x:c r="R357" s="12" t="str">
        <x:f>IF(G357=$H357,"YES","NO")</x:f>
        <x:v>YES</x:v>
      </x:c>
    </x:row>
    <x:row r="358">
      <x:c r="A358" s="44" t="str">
        <x:v>bpps_d1000n50m10w200_300s10_100f0_seed0</x:v>
      </x:c>
      <x:c r="B358" s="12" t="n">
        <x:v>50</x:v>
      </x:c>
      <x:c r="C358" s="12" t="n">
        <x:v>17</x:v>
      </x:c>
      <x:c r="D358" s="12" t="n">
        <x:v>17</x:v>
      </x:c>
      <x:c r="E358" s="12" t="n">
        <x:v>16</x:v>
      </x:c>
      <x:c r="F358" s="12" t="n">
        <x:v>17</x:v>
      </x:c>
      <x:c r="G358" s="12" t="n">
        <x:v>16</x:v>
      </x:c>
      <x:c r="H358" s="12" t="n">
        <x:f>MIN(C358:G358)</x:f>
        <x:v>16</x:v>
      </x:c>
      <x:c r="I358" s="14" t="n">
        <x:f>(C358-$H358)/$H358*100</x:f>
        <x:v>6.25</x:v>
      </x:c>
      <x:c r="J358" s="14" t="n">
        <x:f>(D358-$H358)/$H358*100</x:f>
        <x:v>6.25</x:v>
      </x:c>
      <x:c r="K358" s="14" t="n">
        <x:f>(E358-$H358)/$H358*100</x:f>
        <x:v>0</x:v>
      </x:c>
      <x:c r="L358" s="14" t="n">
        <x:f>(F358-$H358)/$H358*100</x:f>
        <x:v>6.25</x:v>
      </x:c>
      <x:c r="M358" s="14" t="n">
        <x:f>(G358-$H358)/$H358*100</x:f>
        <x:v>0</x:v>
      </x:c>
      <x:c r="N358" s="12" t="str">
        <x:f>IF(C358=$H358,"YES","NO")</x:f>
        <x:v>NO</x:v>
      </x:c>
      <x:c r="O358" s="12" t="str">
        <x:f>IF(D358=$H358,"YES","NO")</x:f>
        <x:v>NO</x:v>
      </x:c>
      <x:c r="P358" s="12" t="str">
        <x:f>IF(E358=$H358,"YES","NO")</x:f>
        <x:v>YES</x:v>
      </x:c>
      <x:c r="Q358" s="12" t="str">
        <x:f>IF(F358=$H358,"YES","NO")</x:f>
        <x:v>NO</x:v>
      </x:c>
      <x:c r="R358" s="12" t="str">
        <x:f>IF(G358=$H358,"YES","NO")</x:f>
        <x:v>YES</x:v>
      </x:c>
    </x:row>
    <x:row r="359">
      <x:c r="A359" s="44" t="str">
        <x:v>bpps_d1000n50m10w200_300s10_100f1_seed0</x:v>
      </x:c>
      <x:c r="B359" s="12" t="n">
        <x:v>50</x:v>
      </x:c>
      <x:c r="C359" s="12" t="n">
        <x:v>285</x:v>
      </x:c>
      <x:c r="D359" s="12" t="n">
        <x:v>285</x:v>
      </x:c>
      <x:c r="E359" s="12" t="n">
        <x:v>283</x:v>
      </x:c>
      <x:c r="F359" s="12" t="n">
        <x:v>232</x:v>
      </x:c>
      <x:c r="G359" s="12" t="n">
        <x:v>228</x:v>
      </x:c>
      <x:c r="H359" s="12" t="n">
        <x:f>MIN(C359:G359)</x:f>
        <x:v>228</x:v>
      </x:c>
      <x:c r="I359" s="14" t="n">
        <x:f>(C359-$H359)/$H359*100</x:f>
        <x:v>25</x:v>
      </x:c>
      <x:c r="J359" s="14" t="n">
        <x:f>(D359-$H359)/$H359*100</x:f>
        <x:v>25</x:v>
      </x:c>
      <x:c r="K359" s="14" t="n">
        <x:f>(E359-$H359)/$H359*100</x:f>
        <x:v>24.12280701754386</x:v>
      </x:c>
      <x:c r="L359" s="14" t="n">
        <x:f>(F359-$H359)/$H359*100</x:f>
        <x:v>1.7543859649122806</x:v>
      </x:c>
      <x:c r="M359" s="14" t="n">
        <x:f>(G359-$H359)/$H359*100</x:f>
        <x:v>0</x:v>
      </x:c>
      <x:c r="N359" s="12" t="str">
        <x:f>IF(C359=$H359,"YES","NO")</x:f>
        <x:v>NO</x:v>
      </x:c>
      <x:c r="O359" s="12" t="str">
        <x:f>IF(D359=$H359,"YES","NO")</x:f>
        <x:v>NO</x:v>
      </x:c>
      <x:c r="P359" s="12" t="str">
        <x:f>IF(E359=$H359,"YES","NO")</x:f>
        <x:v>NO</x:v>
      </x:c>
      <x:c r="Q359" s="12" t="str">
        <x:f>IF(F359=$H359,"YES","NO")</x:f>
        <x:v>NO</x:v>
      </x:c>
      <x:c r="R359" s="12" t="str">
        <x:f>IF(G359=$H359,"YES","NO")</x:f>
        <x:v>YES</x:v>
      </x:c>
    </x:row>
    <x:row r="360">
      <x:c r="A360" s="44" t="str">
        <x:v>bpps_d1000n50m10w200_300s10_200f0_seed0</x:v>
      </x:c>
      <x:c r="B360" s="12" t="n">
        <x:v>50</x:v>
      </x:c>
      <x:c r="C360" s="12" t="n">
        <x:v>19</x:v>
      </x:c>
      <x:c r="D360" s="12" t="n">
        <x:v>19</x:v>
      </x:c>
      <x:c r="E360" s="12" t="n">
        <x:v>19</x:v>
      </x:c>
      <x:c r="F360" s="12" t="n">
        <x:v>18</x:v>
      </x:c>
      <x:c r="G360" s="12" t="n">
        <x:v>17</x:v>
      </x:c>
      <x:c r="H360" s="12" t="n">
        <x:f>MIN(C360:G360)</x:f>
        <x:v>17</x:v>
      </x:c>
      <x:c r="I360" s="14" t="n">
        <x:f>(C360-$H360)/$H360*100</x:f>
        <x:v>11.76470588235294</x:v>
      </x:c>
      <x:c r="J360" s="14" t="n">
        <x:f>(D360-$H360)/$H360*100</x:f>
        <x:v>11.76470588235294</x:v>
      </x:c>
      <x:c r="K360" s="14" t="n">
        <x:f>(E360-$H360)/$H360*100</x:f>
        <x:v>11.76470588235294</x:v>
      </x:c>
      <x:c r="L360" s="14" t="n">
        <x:f>(F360-$H360)/$H360*100</x:f>
        <x:v>5.88235294117647</x:v>
      </x:c>
      <x:c r="M360" s="14" t="n">
        <x:f>(G360-$H360)/$H360*100</x:f>
        <x:v>0</x:v>
      </x:c>
      <x:c r="N360" s="12" t="str">
        <x:f>IF(C360=$H360,"YES","NO")</x:f>
        <x:v>NO</x:v>
      </x:c>
      <x:c r="O360" s="12" t="str">
        <x:f>IF(D360=$H360,"YES","NO")</x:f>
        <x:v>NO</x:v>
      </x:c>
      <x:c r="P360" s="12" t="str">
        <x:f>IF(E360=$H360,"YES","NO")</x:f>
        <x:v>NO</x:v>
      </x:c>
      <x:c r="Q360" s="12" t="str">
        <x:f>IF(F360=$H360,"YES","NO")</x:f>
        <x:v>NO</x:v>
      </x:c>
      <x:c r="R360" s="12" t="str">
        <x:f>IF(G360=$H360,"YES","NO")</x:f>
        <x:v>YES</x:v>
      </x:c>
    </x:row>
    <x:row r="361">
      <x:c r="A361" s="44" t="str">
        <x:v>bpps_d1000n50m10w200_300s10_200f1_seed0</x:v>
      </x:c>
      <x:c r="B361" s="12" t="n">
        <x:v>50</x:v>
      </x:c>
      <x:c r="C361" s="12" t="n">
        <x:v>315</x:v>
      </x:c>
      <x:c r="D361" s="12" t="n">
        <x:v>316</x:v>
      </x:c>
      <x:c r="E361" s="12" t="n">
        <x:v>310</x:v>
      </x:c>
      <x:c r="F361" s="12" t="n">
        <x:v>242</x:v>
      </x:c>
      <x:c r="G361" s="12" t="n">
        <x:v>233</x:v>
      </x:c>
      <x:c r="H361" s="12" t="n">
        <x:f>MIN(C361:G361)</x:f>
        <x:v>233</x:v>
      </x:c>
      <x:c r="I361" s="14" t="n">
        <x:f>(C361-$H361)/$H361*100</x:f>
        <x:v>35.1931330472103</x:v>
      </x:c>
      <x:c r="J361" s="14" t="n">
        <x:f>(D361-$H361)/$H361*100</x:f>
        <x:v>35.622317596566525</x:v>
      </x:c>
      <x:c r="K361" s="14" t="n">
        <x:f>(E361-$H361)/$H361*100</x:f>
        <x:v>33.047210300429185</x:v>
      </x:c>
      <x:c r="L361" s="14" t="n">
        <x:f>(F361-$H361)/$H361*100</x:f>
        <x:v>3.862660944206009</x:v>
      </x:c>
      <x:c r="M361" s="14" t="n">
        <x:f>(G361-$H361)/$H361*100</x:f>
        <x:v>0</x:v>
      </x:c>
      <x:c r="N361" s="12" t="str">
        <x:f>IF(C361=$H361,"YES","NO")</x:f>
        <x:v>NO</x:v>
      </x:c>
      <x:c r="O361" s="12" t="str">
        <x:f>IF(D361=$H361,"YES","NO")</x:f>
        <x:v>NO</x:v>
      </x:c>
      <x:c r="P361" s="12" t="str">
        <x:f>IF(E361=$H361,"YES","NO")</x:f>
        <x:v>NO</x:v>
      </x:c>
      <x:c r="Q361" s="12" t="str">
        <x:f>IF(F361=$H361,"YES","NO")</x:f>
        <x:v>NO</x:v>
      </x:c>
      <x:c r="R361" s="12" t="str">
        <x:f>IF(G361=$H361,"YES","NO")</x:f>
        <x:v>YES</x:v>
      </x:c>
    </x:row>
    <x:row r="362">
      <x:c r="A362" s="44" t="str">
        <x:v>bpps_d1000n50m5w100_200s100_200f0_seed0</x:v>
      </x:c>
      <x:c r="B362" s="12" t="n">
        <x:v>50</x:v>
      </x:c>
      <x:c r="C362" s="12" t="n">
        <x:v>13</x:v>
      </x:c>
      <x:c r="D362" s="12" t="n">
        <x:v>12</x:v>
      </x:c>
      <x:c r="E362" s="12" t="n">
        <x:v>12</x:v>
      </x:c>
      <x:c r="F362" s="12" t="n">
        <x:v>11</x:v>
      </x:c>
      <x:c r="G362" s="12" t="n">
        <x:v>11</x:v>
      </x:c>
      <x:c r="H362" s="12" t="n">
        <x:f>MIN(C362:G362)</x:f>
        <x:v>11</x:v>
      </x:c>
      <x:c r="I362" s="14" t="n">
        <x:f>(C362-$H362)/$H362*100</x:f>
        <x:v>18.181818181818183</x:v>
      </x:c>
      <x:c r="J362" s="14" t="n">
        <x:f>(D362-$H362)/$H362*100</x:f>
        <x:v>9.090909090909092</x:v>
      </x:c>
      <x:c r="K362" s="14" t="n">
        <x:f>(E362-$H362)/$H362*100</x:f>
        <x:v>9.090909090909092</x:v>
      </x:c>
      <x:c r="L362" s="14" t="n">
        <x:f>(F362-$H362)/$H362*100</x:f>
        <x:v>0</x:v>
      </x:c>
      <x:c r="M362" s="14" t="n">
        <x:f>(G362-$H362)/$H362*100</x:f>
        <x:v>0</x:v>
      </x:c>
      <x:c r="N362" s="12" t="str">
        <x:f>IF(C362=$H362,"YES","NO")</x:f>
        <x:v>NO</x:v>
      </x:c>
      <x:c r="O362" s="12" t="str">
        <x:f>IF(D362=$H362,"YES","NO")</x:f>
        <x:v>NO</x:v>
      </x:c>
      <x:c r="P362" s="12" t="str">
        <x:f>IF(E362=$H362,"YES","NO")</x:f>
        <x:v>NO</x:v>
      </x:c>
      <x:c r="Q362" s="12" t="str">
        <x:f>IF(F362=$H362,"YES","NO")</x:f>
        <x:v>YES</x:v>
      </x:c>
      <x:c r="R362" s="12" t="str">
        <x:f>IF(G362=$H362,"YES","NO")</x:f>
        <x:v>YES</x:v>
      </x:c>
    </x:row>
    <x:row r="363">
      <x:c r="A363" s="44" t="str">
        <x:v>bpps_d1000n50m5w100_200s100_200f1_seed0</x:v>
      </x:c>
      <x:c r="B363" s="12" t="n">
        <x:v>50</x:v>
      </x:c>
      <x:c r="C363" s="12" t="n">
        <x:v>213</x:v>
      </x:c>
      <x:c r="D363" s="12" t="n">
        <x:v>217</x:v>
      </x:c>
      <x:c r="E363" s="12" t="n">
        <x:v>211</x:v>
      </x:c>
      <x:c r="F363" s="12" t="n">
        <x:v>160</x:v>
      </x:c>
      <x:c r="G363" s="12" t="n">
        <x:v>139</x:v>
      </x:c>
      <x:c r="H363" s="12" t="n">
        <x:f>MIN(C363:G363)</x:f>
        <x:v>139</x:v>
      </x:c>
      <x:c r="I363" s="14" t="n">
        <x:f>(C363-$H363)/$H363*100</x:f>
        <x:v>53.23741007194245</x:v>
      </x:c>
      <x:c r="J363" s="14" t="n">
        <x:f>(D363-$H363)/$H363*100</x:f>
        <x:v>56.11510791366906</x:v>
      </x:c>
      <x:c r="K363" s="14" t="n">
        <x:f>(E363-$H363)/$H363*100</x:f>
        <x:v>51.798561151079134</x:v>
      </x:c>
      <x:c r="L363" s="14" t="n">
        <x:f>(F363-$H363)/$H363*100</x:f>
        <x:v>15.107913669064748</x:v>
      </x:c>
      <x:c r="M363" s="14" t="n">
        <x:f>(G363-$H363)/$H363*100</x:f>
        <x:v>0</x:v>
      </x:c>
      <x:c r="N363" s="12" t="str">
        <x:f>IF(C363=$H363,"YES","NO")</x:f>
        <x:v>NO</x:v>
      </x:c>
      <x:c r="O363" s="12" t="str">
        <x:f>IF(D363=$H363,"YES","NO")</x:f>
        <x:v>NO</x:v>
      </x:c>
      <x:c r="P363" s="12" t="str">
        <x:f>IF(E363=$H363,"YES","NO")</x:f>
        <x:v>NO</x:v>
      </x:c>
      <x:c r="Q363" s="12" t="str">
        <x:f>IF(F363=$H363,"YES","NO")</x:f>
        <x:v>NO</x:v>
      </x:c>
      <x:c r="R363" s="12" t="str">
        <x:f>IF(G363=$H363,"YES","NO")</x:f>
        <x:v>YES</x:v>
      </x:c>
    </x:row>
    <x:row r="364">
      <x:c r="A364" s="44" t="str">
        <x:v>bpps_d1000n50m5w100_200s10_100f0_seed0</x:v>
      </x:c>
      <x:c r="B364" s="12" t="n">
        <x:v>50</x:v>
      </x:c>
      <x:c r="C364" s="12" t="n">
        <x:v>9</x:v>
      </x:c>
      <x:c r="D364" s="12" t="n">
        <x:v>9</x:v>
      </x:c>
      <x:c r="E364" s="12" t="n">
        <x:v>10</x:v>
      </x:c>
      <x:c r="F364" s="12" t="n">
        <x:v>10</x:v>
      </x:c>
      <x:c r="G364" s="12" t="n">
        <x:v>9</x:v>
      </x:c>
      <x:c r="H364" s="12" t="n">
        <x:f>MIN(C364:G364)</x:f>
        <x:v>9</x:v>
      </x:c>
      <x:c r="I364" s="14" t="n">
        <x:f>(C364-$H364)/$H364*100</x:f>
        <x:v>0</x:v>
      </x:c>
      <x:c r="J364" s="14" t="n">
        <x:f>(D364-$H364)/$H364*100</x:f>
        <x:v>0</x:v>
      </x:c>
      <x:c r="K364" s="14" t="n">
        <x:f>(E364-$H364)/$H364*100</x:f>
        <x:v>11.11111111111111</x:v>
      </x:c>
      <x:c r="L364" s="14" t="n">
        <x:f>(F364-$H364)/$H364*100</x:f>
        <x:v>11.11111111111111</x:v>
      </x:c>
      <x:c r="M364" s="14" t="n">
        <x:f>(G364-$H364)/$H364*100</x:f>
        <x:v>0</x:v>
      </x:c>
      <x:c r="N364" s="12" t="str">
        <x:f>IF(C364=$H364,"YES","NO")</x:f>
        <x:v>YES</x:v>
      </x:c>
      <x:c r="O364" s="12" t="str">
        <x:f>IF(D364=$H364,"YES","NO")</x:f>
        <x:v>YES</x:v>
      </x:c>
      <x:c r="P364" s="12" t="str">
        <x:f>IF(E364=$H364,"YES","NO")</x:f>
        <x:v>NO</x:v>
      </x:c>
      <x:c r="Q364" s="12" t="str">
        <x:f>IF(F364=$H364,"YES","NO")</x:f>
        <x:v>NO</x:v>
      </x:c>
      <x:c r="R364" s="12" t="str">
        <x:f>IF(G364=$H364,"YES","NO")</x:f>
        <x:v>YES</x:v>
      </x:c>
    </x:row>
    <x:row r="365">
      <x:c r="A365" s="44" t="str">
        <x:v>bpps_d1000n50m5w100_200s10_100f1_seed0</x:v>
      </x:c>
      <x:c r="B365" s="12" t="n">
        <x:v>50</x:v>
      </x:c>
      <x:c r="C365" s="12" t="n">
        <x:v>176</x:v>
      </x:c>
      <x:c r="D365" s="12" t="n">
        <x:v>176</x:v>
      </x:c>
      <x:c r="E365" s="12" t="n">
        <x:v>180</x:v>
      </x:c>
      <x:c r="F365" s="12" t="n">
        <x:v>145</x:v>
      </x:c>
      <x:c r="G365" s="12" t="n">
        <x:v>126</x:v>
      </x:c>
      <x:c r="H365" s="12" t="n">
        <x:f>MIN(C365:G365)</x:f>
        <x:v>126</x:v>
      </x:c>
      <x:c r="I365" s="14" t="n">
        <x:f>(C365-$H365)/$H365*100</x:f>
        <x:v>39.682539682539684</x:v>
      </x:c>
      <x:c r="J365" s="14" t="n">
        <x:f>(D365-$H365)/$H365*100</x:f>
        <x:v>39.682539682539684</x:v>
      </x:c>
      <x:c r="K365" s="14" t="n">
        <x:f>(E365-$H365)/$H365*100</x:f>
        <x:v>42.857142857142854</x:v>
      </x:c>
      <x:c r="L365" s="14" t="n">
        <x:f>(F365-$H365)/$H365*100</x:f>
        <x:v>15.079365079365079</x:v>
      </x:c>
      <x:c r="M365" s="14" t="n">
        <x:f>(G365-$H365)/$H365*100</x:f>
        <x:v>0</x:v>
      </x:c>
      <x:c r="N365" s="12" t="str">
        <x:f>IF(C365=$H365,"YES","NO")</x:f>
        <x:v>NO</x:v>
      </x:c>
      <x:c r="O365" s="12" t="str">
        <x:f>IF(D365=$H365,"YES","NO")</x:f>
        <x:v>NO</x:v>
      </x:c>
      <x:c r="P365" s="12" t="str">
        <x:f>IF(E365=$H365,"YES","NO")</x:f>
        <x:v>NO</x:v>
      </x:c>
      <x:c r="Q365" s="12" t="str">
        <x:f>IF(F365=$H365,"YES","NO")</x:f>
        <x:v>NO</x:v>
      </x:c>
      <x:c r="R365" s="12" t="str">
        <x:f>IF(G365=$H365,"YES","NO")</x:f>
        <x:v>YES</x:v>
      </x:c>
    </x:row>
    <x:row r="366">
      <x:c r="A366" s="44" t="str">
        <x:v>bpps_d1000n50m5w100_200s10_200f0_seed0</x:v>
      </x:c>
      <x:c r="B366" s="12" t="n">
        <x:v>50</x:v>
      </x:c>
      <x:c r="C366" s="12" t="n">
        <x:v>10</x:v>
      </x:c>
      <x:c r="D366" s="12" t="n">
        <x:v>11</x:v>
      </x:c>
      <x:c r="E366" s="12" t="n">
        <x:v>10</x:v>
      </x:c>
      <x:c r="F366" s="12" t="n">
        <x:v>10</x:v>
      </x:c>
      <x:c r="G366" s="12" t="n">
        <x:v>10</x:v>
      </x:c>
      <x:c r="H366" s="12" t="n">
        <x:f>MIN(C366:G366)</x:f>
        <x:v>10</x:v>
      </x:c>
      <x:c r="I366" s="14" t="n">
        <x:f>(C366-$H366)/$H366*100</x:f>
        <x:v>0</x:v>
      </x:c>
      <x:c r="J366" s="14" t="n">
        <x:f>(D366-$H366)/$H366*100</x:f>
        <x:v>10</x:v>
      </x:c>
      <x:c r="K366" s="14" t="n">
        <x:f>(E366-$H366)/$H366*100</x:f>
        <x:v>0</x:v>
      </x:c>
      <x:c r="L366" s="14" t="n">
        <x:f>(F366-$H366)/$H366*100</x:f>
        <x:v>0</x:v>
      </x:c>
      <x:c r="M366" s="14" t="n">
        <x:f>(G366-$H366)/$H366*100</x:f>
        <x:v>0</x:v>
      </x:c>
      <x:c r="N366" s="12" t="str">
        <x:f>IF(C366=$H366,"YES","NO")</x:f>
        <x:v>YES</x:v>
      </x:c>
      <x:c r="O366" s="12" t="str">
        <x:f>IF(D366=$H366,"YES","NO")</x:f>
        <x:v>NO</x:v>
      </x:c>
      <x:c r="P366" s="12" t="str">
        <x:f>IF(E366=$H366,"YES","NO")</x:f>
        <x:v>YES</x:v>
      </x:c>
      <x:c r="Q366" s="12" t="str">
        <x:f>IF(F366=$H366,"YES","NO")</x:f>
        <x:v>YES</x:v>
      </x:c>
      <x:c r="R366" s="12" t="str">
        <x:f>IF(G366=$H366,"YES","NO")</x:f>
        <x:v>YES</x:v>
      </x:c>
    </x:row>
    <x:row r="367">
      <x:c r="A367" s="44" t="str">
        <x:v>bpps_d1000n50m5w100_200s10_200f1_seed0</x:v>
      </x:c>
      <x:c r="B367" s="12" t="n">
        <x:v>50</x:v>
      </x:c>
      <x:c r="C367" s="12" t="n">
        <x:v>207</x:v>
      </x:c>
      <x:c r="D367" s="12" t="n">
        <x:v>215</x:v>
      </x:c>
      <x:c r="E367" s="12" t="n">
        <x:v>196</x:v>
      </x:c>
      <x:c r="F367" s="12" t="n">
        <x:v>147</x:v>
      </x:c>
      <x:c r="G367" s="12" t="n">
        <x:v>136</x:v>
      </x:c>
      <x:c r="H367" s="12" t="n">
        <x:f>MIN(C367:G367)</x:f>
        <x:v>136</x:v>
      </x:c>
      <x:c r="I367" s="14" t="n">
        <x:f>(C367-$H367)/$H367*100</x:f>
        <x:v>52.20588235294118</x:v>
      </x:c>
      <x:c r="J367" s="14" t="n">
        <x:f>(D367-$H367)/$H367*100</x:f>
        <x:v>58.08823529411765</x:v>
      </x:c>
      <x:c r="K367" s="14" t="n">
        <x:f>(E367-$H367)/$H367*100</x:f>
        <x:v>44.11764705882353</x:v>
      </x:c>
      <x:c r="L367" s="14" t="n">
        <x:f>(F367-$H367)/$H367*100</x:f>
        <x:v>8.088235294117647</x:v>
      </x:c>
      <x:c r="M367" s="14" t="n">
        <x:f>(G367-$H367)/$H367*100</x:f>
        <x:v>0</x:v>
      </x:c>
      <x:c r="N367" s="12" t="str">
        <x:f>IF(C367=$H367,"YES","NO")</x:f>
        <x:v>NO</x:v>
      </x:c>
      <x:c r="O367" s="12" t="str">
        <x:f>IF(D367=$H367,"YES","NO")</x:f>
        <x:v>NO</x:v>
      </x:c>
      <x:c r="P367" s="12" t="str">
        <x:f>IF(E367=$H367,"YES","NO")</x:f>
        <x:v>NO</x:v>
      </x:c>
      <x:c r="Q367" s="12" t="str">
        <x:f>IF(F367=$H367,"YES","NO")</x:f>
        <x:v>NO</x:v>
      </x:c>
      <x:c r="R367" s="12" t="str">
        <x:f>IF(G367=$H367,"YES","NO")</x:f>
        <x:v>YES</x:v>
      </x:c>
    </x:row>
    <x:row r="368">
      <x:c r="A368" s="44" t="str">
        <x:v>bpps_d1000n50m5w10_100s100_200f0_seed0</x:v>
      </x:c>
      <x:c r="B368" s="12" t="n">
        <x:v>50</x:v>
      </x:c>
      <x:c r="C368" s="12" t="n">
        <x:v>7</x:v>
      </x:c>
      <x:c r="D368" s="12" t="n">
        <x:v>7</x:v>
      </x:c>
      <x:c r="E368" s="12" t="n">
        <x:v>6</x:v>
      </x:c>
      <x:c r="F368" s="12" t="n">
        <x:v>8</x:v>
      </x:c>
      <x:c r="G368" s="12" t="n">
        <x:v>6</x:v>
      </x:c>
      <x:c r="H368" s="12" t="n">
        <x:f>MIN(C368:G368)</x:f>
        <x:v>6</x:v>
      </x:c>
      <x:c r="I368" s="14" t="n">
        <x:f>(C368-$H368)/$H368*100</x:f>
        <x:v>16.666666666666664</x:v>
      </x:c>
      <x:c r="J368" s="14" t="n">
        <x:f>(D368-$H368)/$H368*100</x:f>
        <x:v>16.666666666666664</x:v>
      </x:c>
      <x:c r="K368" s="14" t="n">
        <x:f>(E368-$H368)/$H368*100</x:f>
        <x:v>0</x:v>
      </x:c>
      <x:c r="L368" s="14" t="n">
        <x:f>(F368-$H368)/$H368*100</x:f>
        <x:v>33.33333333333333</x:v>
      </x:c>
      <x:c r="M368" s="14" t="n">
        <x:f>(G368-$H368)/$H368*100</x:f>
        <x:v>0</x:v>
      </x:c>
      <x:c r="N368" s="12" t="str">
        <x:f>IF(C368=$H368,"YES","NO")</x:f>
        <x:v>NO</x:v>
      </x:c>
      <x:c r="O368" s="12" t="str">
        <x:f>IF(D368=$H368,"YES","NO")</x:f>
        <x:v>NO</x:v>
      </x:c>
      <x:c r="P368" s="12" t="str">
        <x:f>IF(E368=$H368,"YES","NO")</x:f>
        <x:v>YES</x:v>
      </x:c>
      <x:c r="Q368" s="12" t="str">
        <x:f>IF(F368=$H368,"YES","NO")</x:f>
        <x:v>NO</x:v>
      </x:c>
      <x:c r="R368" s="12" t="str">
        <x:f>IF(G368=$H368,"YES","NO")</x:f>
        <x:v>YES</x:v>
      </x:c>
    </x:row>
    <x:row r="369">
      <x:c r="A369" s="44" t="str">
        <x:v>bpps_d1000n50m5w10_100s100_200f1_seed0</x:v>
      </x:c>
      <x:c r="B369" s="12" t="n">
        <x:v>50</x:v>
      </x:c>
      <x:c r="C369" s="12" t="n">
        <x:v>138</x:v>
      </x:c>
      <x:c r="D369" s="12" t="n">
        <x:v>135</x:v>
      </x:c>
      <x:c r="E369" s="12" t="n">
        <x:v>109</x:v>
      </x:c>
      <x:c r="F369" s="12" t="n">
        <x:v>105</x:v>
      </x:c>
      <x:c r="G369" s="12" t="n">
        <x:v>85</x:v>
      </x:c>
      <x:c r="H369" s="12" t="n">
        <x:f>MIN(C369:G369)</x:f>
        <x:v>85</x:v>
      </x:c>
      <x:c r="I369" s="14" t="n">
        <x:f>(C369-$H369)/$H369*100</x:f>
        <x:v>62.35294117647059</x:v>
      </x:c>
      <x:c r="J369" s="14" t="n">
        <x:f>(D369-$H369)/$H369*100</x:f>
        <x:v>58.82352941176471</x:v>
      </x:c>
      <x:c r="K369" s="14" t="n">
        <x:f>(E369-$H369)/$H369*100</x:f>
        <x:v>28.235294117647058</x:v>
      </x:c>
      <x:c r="L369" s="14" t="n">
        <x:f>(F369-$H369)/$H369*100</x:f>
        <x:v>23.52941176470588</x:v>
      </x:c>
      <x:c r="M369" s="14" t="n">
        <x:f>(G369-$H369)/$H369*100</x:f>
        <x:v>0</x:v>
      </x:c>
      <x:c r="N369" s="12" t="str">
        <x:f>IF(C369=$H369,"YES","NO")</x:f>
        <x:v>NO</x:v>
      </x:c>
      <x:c r="O369" s="12" t="str">
        <x:f>IF(D369=$H369,"YES","NO")</x:f>
        <x:v>NO</x:v>
      </x:c>
      <x:c r="P369" s="12" t="str">
        <x:f>IF(E369=$H369,"YES","NO")</x:f>
        <x:v>NO</x:v>
      </x:c>
      <x:c r="Q369" s="12" t="str">
        <x:f>IF(F369=$H369,"YES","NO")</x:f>
        <x:v>NO</x:v>
      </x:c>
      <x:c r="R369" s="12" t="str">
        <x:f>IF(G369=$H369,"YES","NO")</x:f>
        <x:v>YES</x:v>
      </x:c>
    </x:row>
    <x:row r="370">
      <x:c r="A370" s="44" t="str">
        <x:v>bpps_d1000n50m5w10_100s10_100f0_seed0</x:v>
      </x:c>
      <x:c r="B370" s="12" t="n">
        <x:v>50</x:v>
      </x:c>
      <x:c r="C370" s="12" t="n">
        <x:v>5</x:v>
      </x:c>
      <x:c r="D370" s="12" t="n">
        <x:v>5</x:v>
      </x:c>
      <x:c r="E370" s="12" t="n">
        <x:v>5</x:v>
      </x:c>
      <x:c r="F370" s="12" t="n">
        <x:v>7</x:v>
      </x:c>
      <x:c r="G370" s="12" t="n">
        <x:v>5</x:v>
      </x:c>
      <x:c r="H370" s="12" t="n">
        <x:f>MIN(C370:G370)</x:f>
        <x:v>5</x:v>
      </x:c>
      <x:c r="I370" s="14" t="n">
        <x:f>(C370-$H370)/$H370*100</x:f>
        <x:v>0</x:v>
      </x:c>
      <x:c r="J370" s="14" t="n">
        <x:f>(D370-$H370)/$H370*100</x:f>
        <x:v>0</x:v>
      </x:c>
      <x:c r="K370" s="14" t="n">
        <x:f>(E370-$H370)/$H370*100</x:f>
        <x:v>0</x:v>
      </x:c>
      <x:c r="L370" s="14" t="n">
        <x:f>(F370-$H370)/$H370*100</x:f>
        <x:v>40</x:v>
      </x:c>
      <x:c r="M370" s="14" t="n">
        <x:f>(G370-$H370)/$H370*100</x:f>
        <x:v>0</x:v>
      </x:c>
      <x:c r="N370" s="12" t="str">
        <x:f>IF(C370=$H370,"YES","NO")</x:f>
        <x:v>YES</x:v>
      </x:c>
      <x:c r="O370" s="12" t="str">
        <x:f>IF(D370=$H370,"YES","NO")</x:f>
        <x:v>YES</x:v>
      </x:c>
      <x:c r="P370" s="12" t="str">
        <x:f>IF(E370=$H370,"YES","NO")</x:f>
        <x:v>YES</x:v>
      </x:c>
      <x:c r="Q370" s="12" t="str">
        <x:f>IF(F370=$H370,"YES","NO")</x:f>
        <x:v>NO</x:v>
      </x:c>
      <x:c r="R370" s="12" t="str">
        <x:f>IF(G370=$H370,"YES","NO")</x:f>
        <x:v>YES</x:v>
      </x:c>
    </x:row>
    <x:row r="371">
      <x:c r="A371" s="44" t="str">
        <x:v>bpps_d1000n50m5w10_100s10_100f1_seed0</x:v>
      </x:c>
      <x:c r="B371" s="12" t="n">
        <x:v>50</x:v>
      </x:c>
      <x:c r="C371" s="12" t="n">
        <x:v>109</x:v>
      </x:c>
      <x:c r="D371" s="12" t="n">
        <x:v>103</x:v>
      </x:c>
      <x:c r="E371" s="12" t="n">
        <x:v>103</x:v>
      </x:c>
      <x:c r="F371" s="12" t="n">
        <x:v>98</x:v>
      </x:c>
      <x:c r="G371" s="12" t="n">
        <x:v>74</x:v>
      </x:c>
      <x:c r="H371" s="12" t="n">
        <x:f>MIN(C371:G371)</x:f>
        <x:v>74</x:v>
      </x:c>
      <x:c r="I371" s="14" t="n">
        <x:f>(C371-$H371)/$H371*100</x:f>
        <x:v>47.2972972972973</x:v>
      </x:c>
      <x:c r="J371" s="14" t="n">
        <x:f>(D371-$H371)/$H371*100</x:f>
        <x:v>39.189189189189186</x:v>
      </x:c>
      <x:c r="K371" s="14" t="n">
        <x:f>(E371-$H371)/$H371*100</x:f>
        <x:v>39.189189189189186</x:v>
      </x:c>
      <x:c r="L371" s="14" t="n">
        <x:f>(F371-$H371)/$H371*100</x:f>
        <x:v>32.432432432432435</x:v>
      </x:c>
      <x:c r="M371" s="14" t="n">
        <x:f>(G371-$H371)/$H371*100</x:f>
        <x:v>0</x:v>
      </x:c>
      <x:c r="N371" s="12" t="str">
        <x:f>IF(C371=$H371,"YES","NO")</x:f>
        <x:v>NO</x:v>
      </x:c>
      <x:c r="O371" s="12" t="str">
        <x:f>IF(D371=$H371,"YES","NO")</x:f>
        <x:v>NO</x:v>
      </x:c>
      <x:c r="P371" s="12" t="str">
        <x:f>IF(E371=$H371,"YES","NO")</x:f>
        <x:v>NO</x:v>
      </x:c>
      <x:c r="Q371" s="12" t="str">
        <x:f>IF(F371=$H371,"YES","NO")</x:f>
        <x:v>NO</x:v>
      </x:c>
      <x:c r="R371" s="12" t="str">
        <x:f>IF(G371=$H371,"YES","NO")</x:f>
        <x:v>YES</x:v>
      </x:c>
    </x:row>
    <x:row r="372">
      <x:c r="A372" s="44" t="str">
        <x:v>bpps_d1000n50m5w10_100s10_200f0_seed0</x:v>
      </x:c>
      <x:c r="B372" s="12" t="n">
        <x:v>50</x:v>
      </x:c>
      <x:c r="C372" s="12" t="n">
        <x:v>6</x:v>
      </x:c>
      <x:c r="D372" s="12" t="n">
        <x:v>6</x:v>
      </x:c>
      <x:c r="E372" s="12" t="n">
        <x:v>6</x:v>
      </x:c>
      <x:c r="F372" s="12" t="n">
        <x:v>8</x:v>
      </x:c>
      <x:c r="G372" s="12" t="n">
        <x:v>6</x:v>
      </x:c>
      <x:c r="H372" s="12" t="n">
        <x:f>MIN(C372:G372)</x:f>
        <x:v>6</x:v>
      </x:c>
      <x:c r="I372" s="14" t="n">
        <x:f>(C372-$H372)/$H372*100</x:f>
        <x:v>0</x:v>
      </x:c>
      <x:c r="J372" s="14" t="n">
        <x:f>(D372-$H372)/$H372*100</x:f>
        <x:v>0</x:v>
      </x:c>
      <x:c r="K372" s="14" t="n">
        <x:f>(E372-$H372)/$H372*100</x:f>
        <x:v>0</x:v>
      </x:c>
      <x:c r="L372" s="14" t="n">
        <x:f>(F372-$H372)/$H372*100</x:f>
        <x:v>33.33333333333333</x:v>
      </x:c>
      <x:c r="M372" s="14" t="n">
        <x:f>(G372-$H372)/$H372*100</x:f>
        <x:v>0</x:v>
      </x:c>
      <x:c r="N372" s="12" t="str">
        <x:f>IF(C372=$H372,"YES","NO")</x:f>
        <x:v>YES</x:v>
      </x:c>
      <x:c r="O372" s="12" t="str">
        <x:f>IF(D372=$H372,"YES","NO")</x:f>
        <x:v>YES</x:v>
      </x:c>
      <x:c r="P372" s="12" t="str">
        <x:f>IF(E372=$H372,"YES","NO")</x:f>
        <x:v>YES</x:v>
      </x:c>
      <x:c r="Q372" s="12" t="str">
        <x:f>IF(F372=$H372,"YES","NO")</x:f>
        <x:v>NO</x:v>
      </x:c>
      <x:c r="R372" s="12" t="str">
        <x:f>IF(G372=$H372,"YES","NO")</x:f>
        <x:v>YES</x:v>
      </x:c>
    </x:row>
    <x:row r="373">
      <x:c r="A373" s="44" t="str">
        <x:v>bpps_d1000n50m5w10_100s10_200f1_seed0</x:v>
      </x:c>
      <x:c r="B373" s="12" t="n">
        <x:v>50</x:v>
      </x:c>
      <x:c r="C373" s="12" t="n">
        <x:v>124</x:v>
      </x:c>
      <x:c r="D373" s="12" t="n">
        <x:v>124</x:v>
      </x:c>
      <x:c r="E373" s="12" t="n">
        <x:v>102</x:v>
      </x:c>
      <x:c r="F373" s="12" t="n">
        <x:v>114</x:v>
      </x:c>
      <x:c r="G373" s="12" t="n">
        <x:v>93</x:v>
      </x:c>
      <x:c r="H373" s="12" t="n">
        <x:f>MIN(C373:G373)</x:f>
        <x:v>93</x:v>
      </x:c>
      <x:c r="I373" s="14" t="n">
        <x:f>(C373-$H373)/$H373*100</x:f>
        <x:v>33.33333333333333</x:v>
      </x:c>
      <x:c r="J373" s="14" t="n">
        <x:f>(D373-$H373)/$H373*100</x:f>
        <x:v>33.33333333333333</x:v>
      </x:c>
      <x:c r="K373" s="14" t="n">
        <x:f>(E373-$H373)/$H373*100</x:f>
        <x:v>9.67741935483871</x:v>
      </x:c>
      <x:c r="L373" s="14" t="n">
        <x:f>(F373-$H373)/$H373*100</x:f>
        <x:v>22.58064516129032</x:v>
      </x:c>
      <x:c r="M373" s="14" t="n">
        <x:f>(G373-$H373)/$H373*100</x:f>
        <x:v>0</x:v>
      </x:c>
      <x:c r="N373" s="12" t="str">
        <x:f>IF(C373=$H373,"YES","NO")</x:f>
        <x:v>NO</x:v>
      </x:c>
      <x:c r="O373" s="12" t="str">
        <x:f>IF(D373=$H373,"YES","NO")</x:f>
        <x:v>NO</x:v>
      </x:c>
      <x:c r="P373" s="12" t="str">
        <x:f>IF(E373=$H373,"YES","NO")</x:f>
        <x:v>NO</x:v>
      </x:c>
      <x:c r="Q373" s="12" t="str">
        <x:f>IF(F373=$H373,"YES","NO")</x:f>
        <x:v>NO</x:v>
      </x:c>
      <x:c r="R373" s="12" t="str">
        <x:f>IF(G373=$H373,"YES","NO")</x:f>
        <x:v>YES</x:v>
      </x:c>
    </x:row>
    <x:row r="374">
      <x:c r="A374" s="44" t="str">
        <x:v>bpps_d1000n50m5w10_300s100_200f0_seed0</x:v>
      </x:c>
      <x:c r="B374" s="12" t="n">
        <x:v>50</x:v>
      </x:c>
      <x:c r="C374" s="12" t="n">
        <x:v>13</x:v>
      </x:c>
      <x:c r="D374" s="12" t="n">
        <x:v>13</x:v>
      </x:c>
      <x:c r="E374" s="12" t="n">
        <x:v>14</x:v>
      </x:c>
      <x:c r="F374" s="12" t="n">
        <x:v>12</x:v>
      </x:c>
      <x:c r="G374" s="12" t="n">
        <x:v>12</x:v>
      </x:c>
      <x:c r="H374" s="12" t="n">
        <x:f>MIN(C374:G374)</x:f>
        <x:v>12</x:v>
      </x:c>
      <x:c r="I374" s="14" t="n">
        <x:f>(C374-$H374)/$H374*100</x:f>
        <x:v>8.333333333333332</x:v>
      </x:c>
      <x:c r="J374" s="14" t="n">
        <x:f>(D374-$H374)/$H374*100</x:f>
        <x:v>8.333333333333332</x:v>
      </x:c>
      <x:c r="K374" s="14" t="n">
        <x:f>(E374-$H374)/$H374*100</x:f>
        <x:v>16.666666666666664</x:v>
      </x:c>
      <x:c r="L374" s="14" t="n">
        <x:f>(F374-$H374)/$H374*100</x:f>
        <x:v>0</x:v>
      </x:c>
      <x:c r="M374" s="14" t="n">
        <x:f>(G374-$H374)/$H374*100</x:f>
        <x:v>0</x:v>
      </x:c>
      <x:c r="N374" s="12" t="str">
        <x:f>IF(C374=$H374,"YES","NO")</x:f>
        <x:v>NO</x:v>
      </x:c>
      <x:c r="O374" s="12" t="str">
        <x:f>IF(D374=$H374,"YES","NO")</x:f>
        <x:v>NO</x:v>
      </x:c>
      <x:c r="P374" s="12" t="str">
        <x:f>IF(E374=$H374,"YES","NO")</x:f>
        <x:v>NO</x:v>
      </x:c>
      <x:c r="Q374" s="12" t="str">
        <x:f>IF(F374=$H374,"YES","NO")</x:f>
        <x:v>YES</x:v>
      </x:c>
      <x:c r="R374" s="12" t="str">
        <x:f>IF(G374=$H374,"YES","NO")</x:f>
        <x:v>YES</x:v>
      </x:c>
    </x:row>
    <x:row r="375">
      <x:c r="A375" s="44" t="str">
        <x:v>bpps_d1000n50m5w10_300s100_200f1_seed0</x:v>
      </x:c>
      <x:c r="B375" s="12" t="n">
        <x:v>50</x:v>
      </x:c>
      <x:c r="C375" s="12" t="n">
        <x:v>212</x:v>
      </x:c>
      <x:c r="D375" s="12" t="n">
        <x:v>217</x:v>
      </x:c>
      <x:c r="E375" s="12" t="n">
        <x:v>205</x:v>
      </x:c>
      <x:c r="F375" s="12" t="n">
        <x:v>175</x:v>
      </x:c>
      <x:c r="G375" s="12" t="n">
        <x:v>156</x:v>
      </x:c>
      <x:c r="H375" s="12" t="n">
        <x:f>MIN(C375:G375)</x:f>
        <x:v>156</x:v>
      </x:c>
      <x:c r="I375" s="14" t="n">
        <x:f>(C375-$H375)/$H375*100</x:f>
        <x:v>35.8974358974359</x:v>
      </x:c>
      <x:c r="J375" s="14" t="n">
        <x:f>(D375-$H375)/$H375*100</x:f>
        <x:v>39.1025641025641</x:v>
      </x:c>
      <x:c r="K375" s="14" t="n">
        <x:f>(E375-$H375)/$H375*100</x:f>
        <x:v>31.41025641025641</x:v>
      </x:c>
      <x:c r="L375" s="14" t="n">
        <x:f>(F375-$H375)/$H375*100</x:f>
        <x:v>12.179487179487179</x:v>
      </x:c>
      <x:c r="M375" s="14" t="n">
        <x:f>(G375-$H375)/$H375*100</x:f>
        <x:v>0</x:v>
      </x:c>
      <x:c r="N375" s="12" t="str">
        <x:f>IF(C375=$H375,"YES","NO")</x:f>
        <x:v>NO</x:v>
      </x:c>
      <x:c r="O375" s="12" t="str">
        <x:f>IF(D375=$H375,"YES","NO")</x:f>
        <x:v>NO</x:v>
      </x:c>
      <x:c r="P375" s="12" t="str">
        <x:f>IF(E375=$H375,"YES","NO")</x:f>
        <x:v>NO</x:v>
      </x:c>
      <x:c r="Q375" s="12" t="str">
        <x:f>IF(F375=$H375,"YES","NO")</x:f>
        <x:v>NO</x:v>
      </x:c>
      <x:c r="R375" s="12" t="str">
        <x:f>IF(G375=$H375,"YES","NO")</x:f>
        <x:v>YES</x:v>
      </x:c>
    </x:row>
    <x:row r="376">
      <x:c r="A376" s="44" t="str">
        <x:v>bpps_d1000n50m5w10_300s10_100f0_seed0</x:v>
      </x:c>
      <x:c r="B376" s="12" t="n">
        <x:v>50</x:v>
      </x:c>
      <x:c r="C376" s="12" t="n">
        <x:v>11</x:v>
      </x:c>
      <x:c r="D376" s="12" t="n">
        <x:v>11</x:v>
      </x:c>
      <x:c r="E376" s="12" t="n">
        <x:v>11</x:v>
      </x:c>
      <x:c r="F376" s="12" t="n">
        <x:v>11</x:v>
      </x:c>
      <x:c r="G376" s="12" t="n">
        <x:v>10</x:v>
      </x:c>
      <x:c r="H376" s="12" t="n">
        <x:f>MIN(C376:G376)</x:f>
        <x:v>10</x:v>
      </x:c>
      <x:c r="I376" s="14" t="n">
        <x:f>(C376-$H376)/$H376*100</x:f>
        <x:v>10</x:v>
      </x:c>
      <x:c r="J376" s="14" t="n">
        <x:f>(D376-$H376)/$H376*100</x:f>
        <x:v>10</x:v>
      </x:c>
      <x:c r="K376" s="14" t="n">
        <x:f>(E376-$H376)/$H376*100</x:f>
        <x:v>10</x:v>
      </x:c>
      <x:c r="L376" s="14" t="n">
        <x:f>(F376-$H376)/$H376*100</x:f>
        <x:v>10</x:v>
      </x:c>
      <x:c r="M376" s="14" t="n">
        <x:f>(G376-$H376)/$H376*100</x:f>
        <x:v>0</x:v>
      </x:c>
      <x:c r="N376" s="12" t="str">
        <x:f>IF(C376=$H376,"YES","NO")</x:f>
        <x:v>NO</x:v>
      </x:c>
      <x:c r="O376" s="12" t="str">
        <x:f>IF(D376=$H376,"YES","NO")</x:f>
        <x:v>NO</x:v>
      </x:c>
      <x:c r="P376" s="12" t="str">
        <x:f>IF(E376=$H376,"YES","NO")</x:f>
        <x:v>NO</x:v>
      </x:c>
      <x:c r="Q376" s="12" t="str">
        <x:f>IF(F376=$H376,"YES","NO")</x:f>
        <x:v>NO</x:v>
      </x:c>
      <x:c r="R376" s="12" t="str">
        <x:f>IF(G376=$H376,"YES","NO")</x:f>
        <x:v>YES</x:v>
      </x:c>
    </x:row>
    <x:row r="377">
      <x:c r="A377" s="44" t="str">
        <x:v>bpps_d1000n50m5w10_300s10_100f1_seed0</x:v>
      </x:c>
      <x:c r="B377" s="12" t="n">
        <x:v>50</x:v>
      </x:c>
      <x:c r="C377" s="12" t="n">
        <x:v>188</x:v>
      </x:c>
      <x:c r="D377" s="12" t="n">
        <x:v>184</x:v>
      </x:c>
      <x:c r="E377" s="12" t="n">
        <x:v>188</x:v>
      </x:c>
      <x:c r="F377" s="12" t="n">
        <x:v>171</x:v>
      </x:c>
      <x:c r="G377" s="12" t="n">
        <x:v>143</x:v>
      </x:c>
      <x:c r="H377" s="12" t="n">
        <x:f>MIN(C377:G377)</x:f>
        <x:v>143</x:v>
      </x:c>
      <x:c r="I377" s="14" t="n">
        <x:f>(C377-$H377)/$H377*100</x:f>
        <x:v>31.46853146853147</x:v>
      </x:c>
      <x:c r="J377" s="14" t="n">
        <x:f>(D377-$H377)/$H377*100</x:f>
        <x:v>28.671328671328673</x:v>
      </x:c>
      <x:c r="K377" s="14" t="n">
        <x:f>(E377-$H377)/$H377*100</x:f>
        <x:v>31.46853146853147</x:v>
      </x:c>
      <x:c r="L377" s="14" t="n">
        <x:f>(F377-$H377)/$H377*100</x:f>
        <x:v>19.58041958041958</x:v>
      </x:c>
      <x:c r="M377" s="14" t="n">
        <x:f>(G377-$H377)/$H377*100</x:f>
        <x:v>0</x:v>
      </x:c>
      <x:c r="N377" s="12" t="str">
        <x:f>IF(C377=$H377,"YES","NO")</x:f>
        <x:v>NO</x:v>
      </x:c>
      <x:c r="O377" s="12" t="str">
        <x:f>IF(D377=$H377,"YES","NO")</x:f>
        <x:v>NO</x:v>
      </x:c>
      <x:c r="P377" s="12" t="str">
        <x:f>IF(E377=$H377,"YES","NO")</x:f>
        <x:v>NO</x:v>
      </x:c>
      <x:c r="Q377" s="12" t="str">
        <x:f>IF(F377=$H377,"YES","NO")</x:f>
        <x:v>NO</x:v>
      </x:c>
      <x:c r="R377" s="12" t="str">
        <x:f>IF(G377=$H377,"YES","NO")</x:f>
        <x:v>YES</x:v>
      </x:c>
    </x:row>
    <x:row r="378">
      <x:c r="A378" s="44" t="str">
        <x:v>bpps_d1000n50m5w10_300s10_200f0_seed0</x:v>
      </x:c>
      <x:c r="B378" s="12" t="n">
        <x:v>50</x:v>
      </x:c>
      <x:c r="C378" s="12" t="n">
        <x:v>13</x:v>
      </x:c>
      <x:c r="D378" s="12" t="n">
        <x:v>13</x:v>
      </x:c>
      <x:c r="E378" s="12" t="n">
        <x:v>13</x:v>
      </x:c>
      <x:c r="F378" s="12" t="n">
        <x:v>12</x:v>
      </x:c>
      <x:c r="G378" s="12" t="n">
        <x:v>11</x:v>
      </x:c>
      <x:c r="H378" s="12" t="n">
        <x:f>MIN(C378:G378)</x:f>
        <x:v>11</x:v>
      </x:c>
      <x:c r="I378" s="14" t="n">
        <x:f>(C378-$H378)/$H378*100</x:f>
        <x:v>18.181818181818183</x:v>
      </x:c>
      <x:c r="J378" s="14" t="n">
        <x:f>(D378-$H378)/$H378*100</x:f>
        <x:v>18.181818181818183</x:v>
      </x:c>
      <x:c r="K378" s="14" t="n">
        <x:f>(E378-$H378)/$H378*100</x:f>
        <x:v>18.181818181818183</x:v>
      </x:c>
      <x:c r="L378" s="14" t="n">
        <x:f>(F378-$H378)/$H378*100</x:f>
        <x:v>9.090909090909092</x:v>
      </x:c>
      <x:c r="M378" s="14" t="n">
        <x:f>(G378-$H378)/$H378*100</x:f>
        <x:v>0</x:v>
      </x:c>
      <x:c r="N378" s="12" t="str">
        <x:f>IF(C378=$H378,"YES","NO")</x:f>
        <x:v>NO</x:v>
      </x:c>
      <x:c r="O378" s="12" t="str">
        <x:f>IF(D378=$H378,"YES","NO")</x:f>
        <x:v>NO</x:v>
      </x:c>
      <x:c r="P378" s="12" t="str">
        <x:f>IF(E378=$H378,"YES","NO")</x:f>
        <x:v>NO</x:v>
      </x:c>
      <x:c r="Q378" s="12" t="str">
        <x:f>IF(F378=$H378,"YES","NO")</x:f>
        <x:v>NO</x:v>
      </x:c>
      <x:c r="R378" s="12" t="str">
        <x:f>IF(G378=$H378,"YES","NO")</x:f>
        <x:v>YES</x:v>
      </x:c>
    </x:row>
    <x:row r="379">
      <x:c r="A379" s="44" t="str">
        <x:v>bpps_d1000n50m5w10_300s10_200f1_seed0</x:v>
      </x:c>
      <x:c r="B379" s="12" t="n">
        <x:v>50</x:v>
      </x:c>
      <x:c r="C379" s="12" t="n">
        <x:v>200</x:v>
      </x:c>
      <x:c r="D379" s="12" t="n">
        <x:v>213</x:v>
      </x:c>
      <x:c r="E379" s="12" t="n">
        <x:v>190</x:v>
      </x:c>
      <x:c r="F379" s="12" t="n">
        <x:v>159</x:v>
      </x:c>
      <x:c r="G379" s="12" t="n">
        <x:v>145</x:v>
      </x:c>
      <x:c r="H379" s="12" t="n">
        <x:f>MIN(C379:G379)</x:f>
        <x:v>145</x:v>
      </x:c>
      <x:c r="I379" s="14" t="n">
        <x:f>(C379-$H379)/$H379*100</x:f>
        <x:v>37.93103448275862</x:v>
      </x:c>
      <x:c r="J379" s="14" t="n">
        <x:f>(D379-$H379)/$H379*100</x:f>
        <x:v>46.89655172413793</x:v>
      </x:c>
      <x:c r="K379" s="14" t="n">
        <x:f>(E379-$H379)/$H379*100</x:f>
        <x:v>31.03448275862069</x:v>
      </x:c>
      <x:c r="L379" s="14" t="n">
        <x:f>(F379-$H379)/$H379*100</x:f>
        <x:v>9.655172413793103</x:v>
      </x:c>
      <x:c r="M379" s="14" t="n">
        <x:f>(G379-$H379)/$H379*100</x:f>
        <x:v>0</x:v>
      </x:c>
      <x:c r="N379" s="12" t="str">
        <x:f>IF(C379=$H379,"YES","NO")</x:f>
        <x:v>NO</x:v>
      </x:c>
      <x:c r="O379" s="12" t="str">
        <x:f>IF(D379=$H379,"YES","NO")</x:f>
        <x:v>NO</x:v>
      </x:c>
      <x:c r="P379" s="12" t="str">
        <x:f>IF(E379=$H379,"YES","NO")</x:f>
        <x:v>NO</x:v>
      </x:c>
      <x:c r="Q379" s="12" t="str">
        <x:f>IF(F379=$H379,"YES","NO")</x:f>
        <x:v>NO</x:v>
      </x:c>
      <x:c r="R379" s="12" t="str">
        <x:f>IF(G379=$H379,"YES","NO")</x:f>
        <x:v>YES</x:v>
      </x:c>
    </x:row>
    <x:row r="380">
      <x:c r="A380" s="44" t="str">
        <x:v>bpps_d1000n50m5w200_300s100_200f0_seed0</x:v>
      </x:c>
      <x:c r="B380" s="12" t="n">
        <x:v>50</x:v>
      </x:c>
      <x:c r="C380" s="12" t="n">
        <x:v>20</x:v>
      </x:c>
      <x:c r="D380" s="12" t="n">
        <x:v>20</x:v>
      </x:c>
      <x:c r="E380" s="12" t="n">
        <x:v>19</x:v>
      </x:c>
      <x:c r="F380" s="12" t="n">
        <x:v>17</x:v>
      </x:c>
      <x:c r="G380" s="12" t="n">
        <x:v>17</x:v>
      </x:c>
      <x:c r="H380" s="12" t="n">
        <x:f>MIN(C380:G380)</x:f>
        <x:v>17</x:v>
      </x:c>
      <x:c r="I380" s="14" t="n">
        <x:f>(C380-$H380)/$H380*100</x:f>
        <x:v>17.647058823529413</x:v>
      </x:c>
      <x:c r="J380" s="14" t="n">
        <x:f>(D380-$H380)/$H380*100</x:f>
        <x:v>17.647058823529413</x:v>
      </x:c>
      <x:c r="K380" s="14" t="n">
        <x:f>(E380-$H380)/$H380*100</x:f>
        <x:v>11.76470588235294</x:v>
      </x:c>
      <x:c r="L380" s="14" t="n">
        <x:f>(F380-$H380)/$H380*100</x:f>
        <x:v>0</x:v>
      </x:c>
      <x:c r="M380" s="14" t="n">
        <x:f>(G380-$H380)/$H380*100</x:f>
        <x:v>0</x:v>
      </x:c>
      <x:c r="N380" s="12" t="str">
        <x:f>IF(C380=$H380,"YES","NO")</x:f>
        <x:v>NO</x:v>
      </x:c>
      <x:c r="O380" s="12" t="str">
        <x:f>IF(D380=$H380,"YES","NO")</x:f>
        <x:v>NO</x:v>
      </x:c>
      <x:c r="P380" s="12" t="str">
        <x:f>IF(E380=$H380,"YES","NO")</x:f>
        <x:v>NO</x:v>
      </x:c>
      <x:c r="Q380" s="12" t="str">
        <x:f>IF(F380=$H380,"YES","NO")</x:f>
        <x:v>YES</x:v>
      </x:c>
      <x:c r="R380" s="12" t="str">
        <x:f>IF(G380=$H380,"YES","NO")</x:f>
        <x:v>YES</x:v>
      </x:c>
    </x:row>
    <x:row r="381">
      <x:c r="A381" s="44" t="str">
        <x:v>bpps_d1000n50m5w200_300s100_200f1_seed0</x:v>
      </x:c>
      <x:c r="B381" s="12" t="n">
        <x:v>50</x:v>
      </x:c>
      <x:c r="C381" s="12" t="n">
        <x:v>290</x:v>
      </x:c>
      <x:c r="D381" s="12" t="n">
        <x:v>290</x:v>
      </x:c>
      <x:c r="E381" s="12" t="n">
        <x:v>290</x:v>
      </x:c>
      <x:c r="F381" s="12" t="n">
        <x:v>232</x:v>
      </x:c>
      <x:c r="G381" s="12" t="n">
        <x:v>224</x:v>
      </x:c>
      <x:c r="H381" s="12" t="n">
        <x:f>MIN(C381:G381)</x:f>
        <x:v>224</x:v>
      </x:c>
      <x:c r="I381" s="14" t="n">
        <x:f>(C381-$H381)/$H381*100</x:f>
        <x:v>29.464285714285715</x:v>
      </x:c>
      <x:c r="J381" s="14" t="n">
        <x:f>(D381-$H381)/$H381*100</x:f>
        <x:v>29.464285714285715</x:v>
      </x:c>
      <x:c r="K381" s="14" t="n">
        <x:f>(E381-$H381)/$H381*100</x:f>
        <x:v>29.464285714285715</x:v>
      </x:c>
      <x:c r="L381" s="14" t="n">
        <x:f>(F381-$H381)/$H381*100</x:f>
        <x:v>3.571428571428571</x:v>
      </x:c>
      <x:c r="M381" s="14" t="n">
        <x:f>(G381-$H381)/$H381*100</x:f>
        <x:v>0</x:v>
      </x:c>
      <x:c r="N381" s="12" t="str">
        <x:f>IF(C381=$H381,"YES","NO")</x:f>
        <x:v>NO</x:v>
      </x:c>
      <x:c r="O381" s="12" t="str">
        <x:f>IF(D381=$H381,"YES","NO")</x:f>
        <x:v>NO</x:v>
      </x:c>
      <x:c r="P381" s="12" t="str">
        <x:f>IF(E381=$H381,"YES","NO")</x:f>
        <x:v>NO</x:v>
      </x:c>
      <x:c r="Q381" s="12" t="str">
        <x:f>IF(F381=$H381,"YES","NO")</x:f>
        <x:v>NO</x:v>
      </x:c>
      <x:c r="R381" s="12" t="str">
        <x:f>IF(G381=$H381,"YES","NO")</x:f>
        <x:v>YES</x:v>
      </x:c>
    </x:row>
    <x:row r="382">
      <x:c r="A382" s="44" t="str">
        <x:v>bpps_d1000n50m5w200_300s10_100f0_seed0</x:v>
      </x:c>
      <x:c r="B382" s="12" t="n">
        <x:v>50</x:v>
      </x:c>
      <x:c r="C382" s="12" t="n">
        <x:v>16</x:v>
      </x:c>
      <x:c r="D382" s="12" t="n">
        <x:v>16</x:v>
      </x:c>
      <x:c r="E382" s="12" t="n">
        <x:v>16</x:v>
      </x:c>
      <x:c r="F382" s="12" t="n">
        <x:v>16</x:v>
      </x:c>
      <x:c r="G382" s="12" t="n">
        <x:v>15</x:v>
      </x:c>
      <x:c r="H382" s="12" t="n">
        <x:f>MIN(C382:G382)</x:f>
        <x:v>15</x:v>
      </x:c>
      <x:c r="I382" s="14" t="n">
        <x:f>(C382-$H382)/$H382*100</x:f>
        <x:v>6.666666666666667</x:v>
      </x:c>
      <x:c r="J382" s="14" t="n">
        <x:f>(D382-$H382)/$H382*100</x:f>
        <x:v>6.666666666666667</x:v>
      </x:c>
      <x:c r="K382" s="14" t="n">
        <x:f>(E382-$H382)/$H382*100</x:f>
        <x:v>6.666666666666667</x:v>
      </x:c>
      <x:c r="L382" s="14" t="n">
        <x:f>(F382-$H382)/$H382*100</x:f>
        <x:v>6.666666666666667</x:v>
      </x:c>
      <x:c r="M382" s="14" t="n">
        <x:f>(G382-$H382)/$H382*100</x:f>
        <x:v>0</x:v>
      </x:c>
      <x:c r="N382" s="12" t="str">
        <x:f>IF(C382=$H382,"YES","NO")</x:f>
        <x:v>NO</x:v>
      </x:c>
      <x:c r="O382" s="12" t="str">
        <x:f>IF(D382=$H382,"YES","NO")</x:f>
        <x:v>NO</x:v>
      </x:c>
      <x:c r="P382" s="12" t="str">
        <x:f>IF(E382=$H382,"YES","NO")</x:f>
        <x:v>NO</x:v>
      </x:c>
      <x:c r="Q382" s="12" t="str">
        <x:f>IF(F382=$H382,"YES","NO")</x:f>
        <x:v>NO</x:v>
      </x:c>
      <x:c r="R382" s="12" t="str">
        <x:f>IF(G382=$H382,"YES","NO")</x:f>
        <x:v>YES</x:v>
      </x:c>
    </x:row>
    <x:row r="383">
      <x:c r="A383" s="44" t="str">
        <x:v>bpps_d1000n50m5w200_300s10_100f1_seed0</x:v>
      </x:c>
      <x:c r="B383" s="12" t="n">
        <x:v>50</x:v>
      </x:c>
      <x:c r="C383" s="12" t="n">
        <x:v>282</x:v>
      </x:c>
      <x:c r="D383" s="12" t="n">
        <x:v>282</x:v>
      </x:c>
      <x:c r="E383" s="12" t="n">
        <x:v>271</x:v>
      </x:c>
      <x:c r="F383" s="12" t="n">
        <x:v>215</x:v>
      </x:c>
      <x:c r="G383" s="12" t="n">
        <x:v>214</x:v>
      </x:c>
      <x:c r="H383" s="12" t="n">
        <x:f>MIN(C383:G383)</x:f>
        <x:v>214</x:v>
      </x:c>
      <x:c r="I383" s="14" t="n">
        <x:f>(C383-$H383)/$H383*100</x:f>
        <x:v>31.775700934579437</x:v>
      </x:c>
      <x:c r="J383" s="14" t="n">
        <x:f>(D383-$H383)/$H383*100</x:f>
        <x:v>31.775700934579437</x:v>
      </x:c>
      <x:c r="K383" s="14" t="n">
        <x:f>(E383-$H383)/$H383*100</x:f>
        <x:v>26.635514018691588</x:v>
      </x:c>
      <x:c r="L383" s="14" t="n">
        <x:f>(F383-$H383)/$H383*100</x:f>
        <x:v>0.46728971962616817</x:v>
      </x:c>
      <x:c r="M383" s="14" t="n">
        <x:f>(G383-$H383)/$H383*100</x:f>
        <x:v>0</x:v>
      </x:c>
      <x:c r="N383" s="12" t="str">
        <x:f>IF(C383=$H383,"YES","NO")</x:f>
        <x:v>NO</x:v>
      </x:c>
      <x:c r="O383" s="12" t="str">
        <x:f>IF(D383=$H383,"YES","NO")</x:f>
        <x:v>NO</x:v>
      </x:c>
      <x:c r="P383" s="12" t="str">
        <x:f>IF(E383=$H383,"YES","NO")</x:f>
        <x:v>NO</x:v>
      </x:c>
      <x:c r="Q383" s="12" t="str">
        <x:f>IF(F383=$H383,"YES","NO")</x:f>
        <x:v>NO</x:v>
      </x:c>
      <x:c r="R383" s="12" t="str">
        <x:f>IF(G383=$H383,"YES","NO")</x:f>
        <x:v>YES</x:v>
      </x:c>
    </x:row>
    <x:row r="384">
      <x:c r="A384" s="44" t="str">
        <x:v>bpps_d1000n50m5w200_300s10_200f0_seed0</x:v>
      </x:c>
      <x:c r="B384" s="12" t="n">
        <x:v>50</x:v>
      </x:c>
      <x:c r="C384" s="12" t="n">
        <x:v>16</x:v>
      </x:c>
      <x:c r="D384" s="12" t="n">
        <x:v>16</x:v>
      </x:c>
      <x:c r="E384" s="12" t="n">
        <x:v>16</x:v>
      </x:c>
      <x:c r="F384" s="12" t="n">
        <x:v>16</x:v>
      </x:c>
      <x:c r="G384" s="12" t="n">
        <x:v>16</x:v>
      </x:c>
      <x:c r="H384" s="12" t="n">
        <x:f>MIN(C384:G384)</x:f>
        <x:v>16</x:v>
      </x:c>
      <x:c r="I384" s="14" t="n">
        <x:f>(C384-$H384)/$H384*100</x:f>
        <x:v>0</x:v>
      </x:c>
      <x:c r="J384" s="14" t="n">
        <x:f>(D384-$H384)/$H384*100</x:f>
        <x:v>0</x:v>
      </x:c>
      <x:c r="K384" s="14" t="n">
        <x:f>(E384-$H384)/$H384*100</x:f>
        <x:v>0</x:v>
      </x:c>
      <x:c r="L384" s="14" t="n">
        <x:f>(F384-$H384)/$H384*100</x:f>
        <x:v>0</x:v>
      </x:c>
      <x:c r="M384" s="14" t="n">
        <x:f>(G384-$H384)/$H384*100</x:f>
        <x:v>0</x:v>
      </x:c>
      <x:c r="N384" s="12" t="str">
        <x:f>IF(C384=$H384,"YES","NO")</x:f>
        <x:v>YES</x:v>
      </x:c>
      <x:c r="O384" s="12" t="str">
        <x:f>IF(D384=$H384,"YES","NO")</x:f>
        <x:v>YES</x:v>
      </x:c>
      <x:c r="P384" s="12" t="str">
        <x:f>IF(E384=$H384,"YES","NO")</x:f>
        <x:v>YES</x:v>
      </x:c>
      <x:c r="Q384" s="12" t="str">
        <x:f>IF(F384=$H384,"YES","NO")</x:f>
        <x:v>YES</x:v>
      </x:c>
      <x:c r="R384" s="12" t="str">
        <x:f>IF(G384=$H384,"YES","NO")</x:f>
        <x:v>YES</x:v>
      </x:c>
    </x:row>
    <x:row r="385">
      <x:c r="A385" s="44" t="str">
        <x:v>bpps_d1000n50m5w200_300s10_200f1_seed0</x:v>
      </x:c>
      <x:c r="B385" s="12" t="n">
        <x:v>50</x:v>
      </x:c>
      <x:c r="C385" s="12" t="n">
        <x:v>290</x:v>
      </x:c>
      <x:c r="D385" s="12" t="n">
        <x:v>272</x:v>
      </x:c>
      <x:c r="E385" s="12" t="n">
        <x:v>292</x:v>
      </x:c>
      <x:c r="F385" s="12" t="n">
        <x:v>225</x:v>
      </x:c>
      <x:c r="G385" s="12" t="n">
        <x:v>224</x:v>
      </x:c>
      <x:c r="H385" s="12" t="n">
        <x:f>MIN(C385:G385)</x:f>
        <x:v>224</x:v>
      </x:c>
      <x:c r="I385" s="14" t="n">
        <x:f>(C385-$H385)/$H385*100</x:f>
        <x:v>29.464285714285715</x:v>
      </x:c>
      <x:c r="J385" s="14" t="n">
        <x:f>(D385-$H385)/$H385*100</x:f>
        <x:v>21.428571428571427</x:v>
      </x:c>
      <x:c r="K385" s="14" t="n">
        <x:f>(E385-$H385)/$H385*100</x:f>
        <x:v>30.357142857142854</x:v>
      </x:c>
      <x:c r="L385" s="14" t="n">
        <x:f>(F385-$H385)/$H385*100</x:f>
        <x:v>0.4464285714285714</x:v>
      </x:c>
      <x:c r="M385" s="14" t="n">
        <x:f>(G385-$H385)/$H385*100</x:f>
        <x:v>0</x:v>
      </x:c>
      <x:c r="N385" s="12" t="str">
        <x:f>IF(C385=$H385,"YES","NO")</x:f>
        <x:v>NO</x:v>
      </x:c>
      <x:c r="O385" s="12" t="str">
        <x:f>IF(D385=$H385,"YES","NO")</x:f>
        <x:v>NO</x:v>
      </x:c>
      <x:c r="P385" s="12" t="str">
        <x:f>IF(E385=$H385,"YES","NO")</x:f>
        <x:v>NO</x:v>
      </x:c>
      <x:c r="Q385" s="12" t="str">
        <x:f>IF(F385=$H385,"YES","NO")</x:f>
        <x:v>NO</x:v>
      </x:c>
      <x:c r="R385" s="12" t="str">
        <x:f>IF(G385=$H385,"YES","NO")</x:f>
        <x:v>YES</x:v>
      </x:c>
    </x:row>
    <x:row r="386">
      <x:c r="A386" s="44" t="str">
        <x:v>bpps_d200n100m10w20_40s20_40f0_seed0</x:v>
      </x:c>
      <x:c r="B386" s="12" t="n">
        <x:v>100</x:v>
      </x:c>
      <x:c r="C386" s="12" t="n">
        <x:v>27</x:v>
      </x:c>
      <x:c r="D386" s="12" t="n">
        <x:v>28</x:v>
      </x:c>
      <x:c r="E386" s="12" t="n">
        <x:v>27</x:v>
      </x:c>
      <x:c r="F386" s="12" t="n">
        <x:v>21</x:v>
      </x:c>
      <x:c r="G386" s="12" t="n">
        <x:v>21</x:v>
      </x:c>
      <x:c r="H386" s="12" t="n">
        <x:f>MIN(C386:G386)</x:f>
        <x:v>21</x:v>
      </x:c>
      <x:c r="I386" s="14" t="n">
        <x:f>(C386-$H386)/$H386*100</x:f>
        <x:v>28.57142857142857</x:v>
      </x:c>
      <x:c r="J386" s="14" t="n">
        <x:f>(D386-$H386)/$H386*100</x:f>
        <x:v>33.33333333333333</x:v>
      </x:c>
      <x:c r="K386" s="14" t="n">
        <x:f>(E386-$H386)/$H386*100</x:f>
        <x:v>28.57142857142857</x:v>
      </x:c>
      <x:c r="L386" s="14" t="n">
        <x:f>(F386-$H386)/$H386*100</x:f>
        <x:v>0</x:v>
      </x:c>
      <x:c r="M386" s="14" t="n">
        <x:f>(G386-$H386)/$H386*100</x:f>
        <x:v>0</x:v>
      </x:c>
      <x:c r="N386" s="12" t="str">
        <x:f>IF(C386=$H386,"YES","NO")</x:f>
        <x:v>NO</x:v>
      </x:c>
      <x:c r="O386" s="12" t="str">
        <x:f>IF(D386=$H386,"YES","NO")</x:f>
        <x:v>NO</x:v>
      </x:c>
      <x:c r="P386" s="12" t="str">
        <x:f>IF(E386=$H386,"YES","NO")</x:f>
        <x:v>NO</x:v>
      </x:c>
      <x:c r="Q386" s="12" t="str">
        <x:f>IF(F386=$H386,"YES","NO")</x:f>
        <x:v>YES</x:v>
      </x:c>
      <x:c r="R386" s="12" t="str">
        <x:f>IF(G386=$H386,"YES","NO")</x:f>
        <x:v>YES</x:v>
      </x:c>
    </x:row>
    <x:row r="387">
      <x:c r="A387" s="44" t="str">
        <x:v>bpps_d200n100m10w20_40s20_40f1_seed0</x:v>
      </x:c>
      <x:c r="B387" s="12" t="n">
        <x:v>100</x:v>
      </x:c>
      <x:c r="C387" s="12" t="n">
        <x:v>473</x:v>
      </x:c>
      <x:c r="D387" s="12" t="n">
        <x:v>467</x:v>
      </x:c>
      <x:c r="E387" s="12" t="n">
        <x:v>482</x:v>
      </x:c>
      <x:c r="F387" s="12" t="n">
        <x:v>301</x:v>
      </x:c>
      <x:c r="G387" s="12" t="n">
        <x:v>270</x:v>
      </x:c>
      <x:c r="H387" s="12" t="n">
        <x:f>MIN(C387:G387)</x:f>
        <x:v>270</x:v>
      </x:c>
      <x:c r="I387" s="14" t="n">
        <x:f>(C387-$H387)/$H387*100</x:f>
        <x:v>75.18518518518519</x:v>
      </x:c>
      <x:c r="J387" s="14" t="n">
        <x:f>(D387-$H387)/$H387*100</x:f>
        <x:v>72.96296296296296</x:v>
      </x:c>
      <x:c r="K387" s="14" t="n">
        <x:f>(E387-$H387)/$H387*100</x:f>
        <x:v>78.51851851851852</x:v>
      </x:c>
      <x:c r="L387" s="14" t="n">
        <x:f>(F387-$H387)/$H387*100</x:f>
        <x:v>11.481481481481481</x:v>
      </x:c>
      <x:c r="M387" s="14" t="n">
        <x:f>(G387-$H387)/$H387*100</x:f>
        <x:v>0</x:v>
      </x:c>
      <x:c r="N387" s="12" t="str">
        <x:f>IF(C387=$H387,"YES","NO")</x:f>
        <x:v>NO</x:v>
      </x:c>
      <x:c r="O387" s="12" t="str">
        <x:f>IF(D387=$H387,"YES","NO")</x:f>
        <x:v>NO</x:v>
      </x:c>
      <x:c r="P387" s="12" t="str">
        <x:f>IF(E387=$H387,"YES","NO")</x:f>
        <x:v>NO</x:v>
      </x:c>
      <x:c r="Q387" s="12" t="str">
        <x:f>IF(F387=$H387,"YES","NO")</x:f>
        <x:v>NO</x:v>
      </x:c>
      <x:c r="R387" s="12" t="str">
        <x:f>IF(G387=$H387,"YES","NO")</x:f>
        <x:v>YES</x:v>
      </x:c>
    </x:row>
    <x:row r="388">
      <x:c r="A388" s="44" t="str">
        <x:v>bpps_d200n100m10w20_40s2_20f0_seed0</x:v>
      </x:c>
      <x:c r="B388" s="12" t="n">
        <x:v>100</x:v>
      </x:c>
      <x:c r="C388" s="12" t="n">
        <x:v>20</x:v>
      </x:c>
      <x:c r="D388" s="12" t="n">
        <x:v>20</x:v>
      </x:c>
      <x:c r="E388" s="12" t="n">
        <x:v>19</x:v>
      </x:c>
      <x:c r="F388" s="12" t="n">
        <x:v>18</x:v>
      </x:c>
      <x:c r="G388" s="12" t="n">
        <x:v>17</x:v>
      </x:c>
      <x:c r="H388" s="12" t="n">
        <x:f>MIN(C388:G388)</x:f>
        <x:v>17</x:v>
      </x:c>
      <x:c r="I388" s="14" t="n">
        <x:f>(C388-$H388)/$H388*100</x:f>
        <x:v>17.647058823529413</x:v>
      </x:c>
      <x:c r="J388" s="14" t="n">
        <x:f>(D388-$H388)/$H388*100</x:f>
        <x:v>17.647058823529413</x:v>
      </x:c>
      <x:c r="K388" s="14" t="n">
        <x:f>(E388-$H388)/$H388*100</x:f>
        <x:v>11.76470588235294</x:v>
      </x:c>
      <x:c r="L388" s="14" t="n">
        <x:f>(F388-$H388)/$H388*100</x:f>
        <x:v>5.88235294117647</x:v>
      </x:c>
      <x:c r="M388" s="14" t="n">
        <x:f>(G388-$H388)/$H388*100</x:f>
        <x:v>0</x:v>
      </x:c>
      <x:c r="N388" s="12" t="str">
        <x:f>IF(C388=$H388,"YES","NO")</x:f>
        <x:v>NO</x:v>
      </x:c>
      <x:c r="O388" s="12" t="str">
        <x:f>IF(D388=$H388,"YES","NO")</x:f>
        <x:v>NO</x:v>
      </x:c>
      <x:c r="P388" s="12" t="str">
        <x:f>IF(E388=$H388,"YES","NO")</x:f>
        <x:v>NO</x:v>
      </x:c>
      <x:c r="Q388" s="12" t="str">
        <x:f>IF(F388=$H388,"YES","NO")</x:f>
        <x:v>NO</x:v>
      </x:c>
      <x:c r="R388" s="12" t="str">
        <x:f>IF(G388=$H388,"YES","NO")</x:f>
        <x:v>YES</x:v>
      </x:c>
    </x:row>
    <x:row r="389">
      <x:c r="A389" s="44" t="str">
        <x:v>bpps_d200n100m10w20_40s2_20f1_seed0</x:v>
      </x:c>
      <x:c r="B389" s="12" t="n">
        <x:v>100</x:v>
      </x:c>
      <x:c r="C389" s="12" t="n">
        <x:v>423</x:v>
      </x:c>
      <x:c r="D389" s="12" t="n">
        <x:v>428</x:v>
      </x:c>
      <x:c r="E389" s="12" t="n">
        <x:v>419</x:v>
      </x:c>
      <x:c r="F389" s="12" t="n">
        <x:v>262</x:v>
      </x:c>
      <x:c r="G389" s="12" t="n">
        <x:v>247</x:v>
      </x:c>
      <x:c r="H389" s="12" t="n">
        <x:f>MIN(C389:G389)</x:f>
        <x:v>247</x:v>
      </x:c>
      <x:c r="I389" s="14" t="n">
        <x:f>(C389-$H389)/$H389*100</x:f>
        <x:v>71.25506072874494</x:v>
      </x:c>
      <x:c r="J389" s="14" t="n">
        <x:f>(D389-$H389)/$H389*100</x:f>
        <x:v>73.27935222672065</x:v>
      </x:c>
      <x:c r="K389" s="14" t="n">
        <x:f>(E389-$H389)/$H389*100</x:f>
        <x:v>69.63562753036437</x:v>
      </x:c>
      <x:c r="L389" s="14" t="n">
        <x:f>(F389-$H389)/$H389*100</x:f>
        <x:v>6.0728744939271255</x:v>
      </x:c>
      <x:c r="M389" s="14" t="n">
        <x:f>(G389-$H389)/$H389*100</x:f>
        <x:v>0</x:v>
      </x:c>
      <x:c r="N389" s="12" t="str">
        <x:f>IF(C389=$H389,"YES","NO")</x:f>
        <x:v>NO</x:v>
      </x:c>
      <x:c r="O389" s="12" t="str">
        <x:f>IF(D389=$H389,"YES","NO")</x:f>
        <x:v>NO</x:v>
      </x:c>
      <x:c r="P389" s="12" t="str">
        <x:f>IF(E389=$H389,"YES","NO")</x:f>
        <x:v>NO</x:v>
      </x:c>
      <x:c r="Q389" s="12" t="str">
        <x:f>IF(F389=$H389,"YES","NO")</x:f>
        <x:v>NO</x:v>
      </x:c>
      <x:c r="R389" s="12" t="str">
        <x:f>IF(G389=$H389,"YES","NO")</x:f>
        <x:v>YES</x:v>
      </x:c>
    </x:row>
    <x:row r="390">
      <x:c r="A390" s="44" t="str">
        <x:v>bpps_d200n100m10w20_40s2_40f0_seed0</x:v>
      </x:c>
      <x:c r="B390" s="12" t="n">
        <x:v>100</x:v>
      </x:c>
      <x:c r="C390" s="12" t="n">
        <x:v>24</x:v>
      </x:c>
      <x:c r="D390" s="12" t="n">
        <x:v>24</x:v>
      </x:c>
      <x:c r="E390" s="12" t="n">
        <x:v>24</x:v>
      </x:c>
      <x:c r="F390" s="12" t="n">
        <x:v>20</x:v>
      </x:c>
      <x:c r="G390" s="12" t="n">
        <x:v>19</x:v>
      </x:c>
      <x:c r="H390" s="12" t="n">
        <x:f>MIN(C390:G390)</x:f>
        <x:v>19</x:v>
      </x:c>
      <x:c r="I390" s="14" t="n">
        <x:f>(C390-$H390)/$H390*100</x:f>
        <x:v>26.31578947368421</x:v>
      </x:c>
      <x:c r="J390" s="14" t="n">
        <x:f>(D390-$H390)/$H390*100</x:f>
        <x:v>26.31578947368421</x:v>
      </x:c>
      <x:c r="K390" s="14" t="n">
        <x:f>(E390-$H390)/$H390*100</x:f>
        <x:v>26.31578947368421</x:v>
      </x:c>
      <x:c r="L390" s="14" t="n">
        <x:f>(F390-$H390)/$H390*100</x:f>
        <x:v>5.263157894736842</x:v>
      </x:c>
      <x:c r="M390" s="14" t="n">
        <x:f>(G390-$H390)/$H390*100</x:f>
        <x:v>0</x:v>
      </x:c>
      <x:c r="N390" s="12" t="str">
        <x:f>IF(C390=$H390,"YES","NO")</x:f>
        <x:v>NO</x:v>
      </x:c>
      <x:c r="O390" s="12" t="str">
        <x:f>IF(D390=$H390,"YES","NO")</x:f>
        <x:v>NO</x:v>
      </x:c>
      <x:c r="P390" s="12" t="str">
        <x:f>IF(E390=$H390,"YES","NO")</x:f>
        <x:v>NO</x:v>
      </x:c>
      <x:c r="Q390" s="12" t="str">
        <x:f>IF(F390=$H390,"YES","NO")</x:f>
        <x:v>NO</x:v>
      </x:c>
      <x:c r="R390" s="12" t="str">
        <x:f>IF(G390=$H390,"YES","NO")</x:f>
        <x:v>YES</x:v>
      </x:c>
    </x:row>
    <x:row r="391">
      <x:c r="A391" s="44" t="str">
        <x:v>bpps_d200n100m10w20_40s2_40f1_seed0</x:v>
      </x:c>
      <x:c r="B391" s="12" t="n">
        <x:v>100</x:v>
      </x:c>
      <x:c r="C391" s="12" t="n">
        <x:v>489</x:v>
      </x:c>
      <x:c r="D391" s="12" t="n">
        <x:v>471</x:v>
      </x:c>
      <x:c r="E391" s="12" t="n">
        <x:v>461</x:v>
      </x:c>
      <x:c r="F391" s="12" t="n">
        <x:v>295</x:v>
      </x:c>
      <x:c r="G391" s="12" t="n">
        <x:v>265</x:v>
      </x:c>
      <x:c r="H391" s="12" t="n">
        <x:f>MIN(C391:G391)</x:f>
        <x:v>265</x:v>
      </x:c>
      <x:c r="I391" s="14" t="n">
        <x:f>(C391-$H391)/$H391*100</x:f>
        <x:v>84.52830188679246</x:v>
      </x:c>
      <x:c r="J391" s="14" t="n">
        <x:f>(D391-$H391)/$H391*100</x:f>
        <x:v>77.73584905660378</x:v>
      </x:c>
      <x:c r="K391" s="14" t="n">
        <x:f>(E391-$H391)/$H391*100</x:f>
        <x:v>73.9622641509434</x:v>
      </x:c>
      <x:c r="L391" s="14" t="n">
        <x:f>(F391-$H391)/$H391*100</x:f>
        <x:v>11.320754716981133</x:v>
      </x:c>
      <x:c r="M391" s="14" t="n">
        <x:f>(G391-$H391)/$H391*100</x:f>
        <x:v>0</x:v>
      </x:c>
      <x:c r="N391" s="12" t="str">
        <x:f>IF(C391=$H391,"YES","NO")</x:f>
        <x:v>NO</x:v>
      </x:c>
      <x:c r="O391" s="12" t="str">
        <x:f>IF(D391=$H391,"YES","NO")</x:f>
        <x:v>NO</x:v>
      </x:c>
      <x:c r="P391" s="12" t="str">
        <x:f>IF(E391=$H391,"YES","NO")</x:f>
        <x:v>NO</x:v>
      </x:c>
      <x:c r="Q391" s="12" t="str">
        <x:f>IF(F391=$H391,"YES","NO")</x:f>
        <x:v>NO</x:v>
      </x:c>
      <x:c r="R391" s="12" t="str">
        <x:f>IF(G391=$H391,"YES","NO")</x:f>
        <x:v>YES</x:v>
      </x:c>
    </x:row>
    <x:row r="392">
      <x:c r="A392" s="44" t="str">
        <x:v>bpps_d200n100m10w2_20s20_40f0_seed0</x:v>
      </x:c>
      <x:c r="B392" s="12" t="n">
        <x:v>100</x:v>
      </x:c>
      <x:c r="C392" s="12" t="n">
        <x:v>13</x:v>
      </x:c>
      <x:c r="D392" s="12" t="n">
        <x:v>14</x:v>
      </x:c>
      <x:c r="E392" s="12" t="n">
        <x:v>12</x:v>
      </x:c>
      <x:c r="F392" s="12" t="n">
        <x:v>14</x:v>
      </x:c>
      <x:c r="G392" s="12" t="n">
        <x:v>10</x:v>
      </x:c>
      <x:c r="H392" s="12" t="n">
        <x:f>MIN(C392:G392)</x:f>
        <x:v>10</x:v>
      </x:c>
      <x:c r="I392" s="14" t="n">
        <x:f>(C392-$H392)/$H392*100</x:f>
        <x:v>30</x:v>
      </x:c>
      <x:c r="J392" s="14" t="n">
        <x:f>(D392-$H392)/$H392*100</x:f>
        <x:v>40</x:v>
      </x:c>
      <x:c r="K392" s="14" t="n">
        <x:f>(E392-$H392)/$H392*100</x:f>
        <x:v>20</x:v>
      </x:c>
      <x:c r="L392" s="14" t="n">
        <x:f>(F392-$H392)/$H392*100</x:f>
        <x:v>40</x:v>
      </x:c>
      <x:c r="M392" s="14" t="n">
        <x:f>(G392-$H392)/$H392*100</x:f>
        <x:v>0</x:v>
      </x:c>
      <x:c r="N392" s="12" t="str">
        <x:f>IF(C392=$H392,"YES","NO")</x:f>
        <x:v>NO</x:v>
      </x:c>
      <x:c r="O392" s="12" t="str">
        <x:f>IF(D392=$H392,"YES","NO")</x:f>
        <x:v>NO</x:v>
      </x:c>
      <x:c r="P392" s="12" t="str">
        <x:f>IF(E392=$H392,"YES","NO")</x:f>
        <x:v>NO</x:v>
      </x:c>
      <x:c r="Q392" s="12" t="str">
        <x:f>IF(F392=$H392,"YES","NO")</x:f>
        <x:v>NO</x:v>
      </x:c>
      <x:c r="R392" s="12" t="str">
        <x:f>IF(G392=$H392,"YES","NO")</x:f>
        <x:v>YES</x:v>
      </x:c>
    </x:row>
    <x:row r="393">
      <x:c r="A393" s="44" t="str">
        <x:v>bpps_d200n100m10w2_20s20_40f1_seed0</x:v>
      </x:c>
      <x:c r="B393" s="12" t="n">
        <x:v>100</x:v>
      </x:c>
      <x:c r="C393" s="12" t="n">
        <x:v>311</x:v>
      </x:c>
      <x:c r="D393" s="12" t="n">
        <x:v>323</x:v>
      </x:c>
      <x:c r="E393" s="12" t="n">
        <x:v>277</x:v>
      </x:c>
      <x:c r="F393" s="12" t="n">
        <x:v>222</x:v>
      </x:c>
      <x:c r="G393" s="12" t="n">
        <x:v>173</x:v>
      </x:c>
      <x:c r="H393" s="12" t="n">
        <x:f>MIN(C393:G393)</x:f>
        <x:v>173</x:v>
      </x:c>
      <x:c r="I393" s="14" t="n">
        <x:f>(C393-$H393)/$H393*100</x:f>
        <x:v>79.76878612716763</x:v>
      </x:c>
      <x:c r="J393" s="14" t="n">
        <x:f>(D393-$H393)/$H393*100</x:f>
        <x:v>86.70520231213872</x:v>
      </x:c>
      <x:c r="K393" s="14" t="n">
        <x:f>(E393-$H393)/$H393*100</x:f>
        <x:v>60.115606936416185</x:v>
      </x:c>
      <x:c r="L393" s="14" t="n">
        <x:f>(F393-$H393)/$H393*100</x:f>
        <x:v>28.32369942196532</x:v>
      </x:c>
      <x:c r="M393" s="14" t="n">
        <x:f>(G393-$H393)/$H393*100</x:f>
        <x:v>0</x:v>
      </x:c>
      <x:c r="N393" s="12" t="str">
        <x:f>IF(C393=$H393,"YES","NO")</x:f>
        <x:v>NO</x:v>
      </x:c>
      <x:c r="O393" s="12" t="str">
        <x:f>IF(D393=$H393,"YES","NO")</x:f>
        <x:v>NO</x:v>
      </x:c>
      <x:c r="P393" s="12" t="str">
        <x:f>IF(E393=$H393,"YES","NO")</x:f>
        <x:v>NO</x:v>
      </x:c>
      <x:c r="Q393" s="12" t="str">
        <x:f>IF(F393=$H393,"YES","NO")</x:f>
        <x:v>NO</x:v>
      </x:c>
      <x:c r="R393" s="12" t="str">
        <x:f>IF(G393=$H393,"YES","NO")</x:f>
        <x:v>YES</x:v>
      </x:c>
    </x:row>
    <x:row r="394">
      <x:c r="A394" s="44" t="str">
        <x:v>bpps_d200n100m10w2_20s2_20f0_seed0</x:v>
      </x:c>
      <x:c r="B394" s="12" t="n">
        <x:v>100</x:v>
      </x:c>
      <x:c r="C394" s="12" t="n">
        <x:v>9</x:v>
      </x:c>
      <x:c r="D394" s="12" t="n">
        <x:v>9</x:v>
      </x:c>
      <x:c r="E394" s="12" t="n">
        <x:v>9</x:v>
      </x:c>
      <x:c r="F394" s="12" t="n">
        <x:v>13</x:v>
      </x:c>
      <x:c r="G394" s="12" t="n">
        <x:v>8</x:v>
      </x:c>
      <x:c r="H394" s="12" t="n">
        <x:f>MIN(C394:G394)</x:f>
        <x:v>8</x:v>
      </x:c>
      <x:c r="I394" s="14" t="n">
        <x:f>(C394-$H394)/$H394*100</x:f>
        <x:v>12.5</x:v>
      </x:c>
      <x:c r="J394" s="14" t="n">
        <x:f>(D394-$H394)/$H394*100</x:f>
        <x:v>12.5</x:v>
      </x:c>
      <x:c r="K394" s="14" t="n">
        <x:f>(E394-$H394)/$H394*100</x:f>
        <x:v>12.5</x:v>
      </x:c>
      <x:c r="L394" s="14" t="n">
        <x:f>(F394-$H394)/$H394*100</x:f>
        <x:v>62.5</x:v>
      </x:c>
      <x:c r="M394" s="14" t="n">
        <x:f>(G394-$H394)/$H394*100</x:f>
        <x:v>0</x:v>
      </x:c>
      <x:c r="N394" s="12" t="str">
        <x:f>IF(C394=$H394,"YES","NO")</x:f>
        <x:v>NO</x:v>
      </x:c>
      <x:c r="O394" s="12" t="str">
        <x:f>IF(D394=$H394,"YES","NO")</x:f>
        <x:v>NO</x:v>
      </x:c>
      <x:c r="P394" s="12" t="str">
        <x:f>IF(E394=$H394,"YES","NO")</x:f>
        <x:v>NO</x:v>
      </x:c>
      <x:c r="Q394" s="12" t="str">
        <x:f>IF(F394=$H394,"YES","NO")</x:f>
        <x:v>NO</x:v>
      </x:c>
      <x:c r="R394" s="12" t="str">
        <x:f>IF(G394=$H394,"YES","NO")</x:f>
        <x:v>YES</x:v>
      </x:c>
    </x:row>
    <x:row r="395">
      <x:c r="A395" s="44" t="str">
        <x:v>bpps_d200n100m10w2_20s2_20f1_seed0</x:v>
      </x:c>
      <x:c r="B395" s="12" t="n">
        <x:v>100</x:v>
      </x:c>
      <x:c r="C395" s="12" t="n">
        <x:v>246</x:v>
      </x:c>
      <x:c r="D395" s="12" t="n">
        <x:v>260</x:v>
      </x:c>
      <x:c r="E395" s="12" t="n">
        <x:v>225</x:v>
      </x:c>
      <x:c r="F395" s="12" t="n">
        <x:v>217</x:v>
      </x:c>
      <x:c r="G395" s="12" t="n">
        <x:v>157</x:v>
      </x:c>
      <x:c r="H395" s="12" t="n">
        <x:f>MIN(C395:G395)</x:f>
        <x:v>157</x:v>
      </x:c>
      <x:c r="I395" s="14" t="n">
        <x:f>(C395-$H395)/$H395*100</x:f>
        <x:v>56.68789808917197</x:v>
      </x:c>
      <x:c r="J395" s="14" t="n">
        <x:f>(D395-$H395)/$H395*100</x:f>
        <x:v>65.60509554140127</x:v>
      </x:c>
      <x:c r="K395" s="14" t="n">
        <x:f>(E395-$H395)/$H395*100</x:f>
        <x:v>43.31210191082803</x:v>
      </x:c>
      <x:c r="L395" s="14" t="n">
        <x:f>(F395-$H395)/$H395*100</x:f>
        <x:v>38.21656050955414</x:v>
      </x:c>
      <x:c r="M395" s="14" t="n">
        <x:f>(G395-$H395)/$H395*100</x:f>
        <x:v>0</x:v>
      </x:c>
      <x:c r="N395" s="12" t="str">
        <x:f>IF(C395=$H395,"YES","NO")</x:f>
        <x:v>NO</x:v>
      </x:c>
      <x:c r="O395" s="12" t="str">
        <x:f>IF(D395=$H395,"YES","NO")</x:f>
        <x:v>NO</x:v>
      </x:c>
      <x:c r="P395" s="12" t="str">
        <x:f>IF(E395=$H395,"YES","NO")</x:f>
        <x:v>NO</x:v>
      </x:c>
      <x:c r="Q395" s="12" t="str">
        <x:f>IF(F395=$H395,"YES","NO")</x:f>
        <x:v>NO</x:v>
      </x:c>
      <x:c r="R395" s="12" t="str">
        <x:f>IF(G395=$H395,"YES","NO")</x:f>
        <x:v>YES</x:v>
      </x:c>
    </x:row>
    <x:row r="396">
      <x:c r="A396" s="44" t="str">
        <x:v>bpps_d200n100m10w2_20s2_40f0_seed0</x:v>
      </x:c>
      <x:c r="B396" s="12" t="n">
        <x:v>100</x:v>
      </x:c>
      <x:c r="C396" s="12" t="n">
        <x:v>12</x:v>
      </x:c>
      <x:c r="D396" s="12" t="n">
        <x:v>12</x:v>
      </x:c>
      <x:c r="E396" s="12" t="n">
        <x:v>11</x:v>
      </x:c>
      <x:c r="F396" s="12" t="n">
        <x:v>12</x:v>
      </x:c>
      <x:c r="G396" s="12" t="n">
        <x:v>9</x:v>
      </x:c>
      <x:c r="H396" s="12" t="n">
        <x:f>MIN(C396:G396)</x:f>
        <x:v>9</x:v>
      </x:c>
      <x:c r="I396" s="14" t="n">
        <x:f>(C396-$H396)/$H396*100</x:f>
        <x:v>33.33333333333333</x:v>
      </x:c>
      <x:c r="J396" s="14" t="n">
        <x:f>(D396-$H396)/$H396*100</x:f>
        <x:v>33.33333333333333</x:v>
      </x:c>
      <x:c r="K396" s="14" t="n">
        <x:f>(E396-$H396)/$H396*100</x:f>
        <x:v>22.22222222222222</x:v>
      </x:c>
      <x:c r="L396" s="14" t="n">
        <x:f>(F396-$H396)/$H396*100</x:f>
        <x:v>33.33333333333333</x:v>
      </x:c>
      <x:c r="M396" s="14" t="n">
        <x:f>(G396-$H396)/$H396*100</x:f>
        <x:v>0</x:v>
      </x:c>
      <x:c r="N396" s="12" t="str">
        <x:f>IF(C396=$H396,"YES","NO")</x:f>
        <x:v>NO</x:v>
      </x:c>
      <x:c r="O396" s="12" t="str">
        <x:f>IF(D396=$H396,"YES","NO")</x:f>
        <x:v>NO</x:v>
      </x:c>
      <x:c r="P396" s="12" t="str">
        <x:f>IF(E396=$H396,"YES","NO")</x:f>
        <x:v>NO</x:v>
      </x:c>
      <x:c r="Q396" s="12" t="str">
        <x:f>IF(F396=$H396,"YES","NO")</x:f>
        <x:v>NO</x:v>
      </x:c>
      <x:c r="R396" s="12" t="str">
        <x:f>IF(G396=$H396,"YES","NO")</x:f>
        <x:v>YES</x:v>
      </x:c>
    </x:row>
    <x:row r="397">
      <x:c r="A397" s="44" t="str">
        <x:v>bpps_d200n100m10w2_20s2_40f1_seed0</x:v>
      </x:c>
      <x:c r="B397" s="12" t="n">
        <x:v>100</x:v>
      </x:c>
      <x:c r="C397" s="12" t="n">
        <x:v>283</x:v>
      </x:c>
      <x:c r="D397" s="12" t="n">
        <x:v>283</x:v>
      </x:c>
      <x:c r="E397" s="12" t="n">
        <x:v>248</x:v>
      </x:c>
      <x:c r="F397" s="12" t="n">
        <x:v>191</x:v>
      </x:c>
      <x:c r="G397" s="12" t="n">
        <x:v>165</x:v>
      </x:c>
      <x:c r="H397" s="12" t="n">
        <x:f>MIN(C397:G397)</x:f>
        <x:v>165</x:v>
      </x:c>
      <x:c r="I397" s="14" t="n">
        <x:f>(C397-$H397)/$H397*100</x:f>
        <x:v>71.51515151515152</x:v>
      </x:c>
      <x:c r="J397" s="14" t="n">
        <x:f>(D397-$H397)/$H397*100</x:f>
        <x:v>71.51515151515152</x:v>
      </x:c>
      <x:c r="K397" s="14" t="n">
        <x:f>(E397-$H397)/$H397*100</x:f>
        <x:v>50.303030303030305</x:v>
      </x:c>
      <x:c r="L397" s="14" t="n">
        <x:f>(F397-$H397)/$H397*100</x:f>
        <x:v>15.757575757575756</x:v>
      </x:c>
      <x:c r="M397" s="14" t="n">
        <x:f>(G397-$H397)/$H397*100</x:f>
        <x:v>0</x:v>
      </x:c>
      <x:c r="N397" s="12" t="str">
        <x:f>IF(C397=$H397,"YES","NO")</x:f>
        <x:v>NO</x:v>
      </x:c>
      <x:c r="O397" s="12" t="str">
        <x:f>IF(D397=$H397,"YES","NO")</x:f>
        <x:v>NO</x:v>
      </x:c>
      <x:c r="P397" s="12" t="str">
        <x:f>IF(E397=$H397,"YES","NO")</x:f>
        <x:v>NO</x:v>
      </x:c>
      <x:c r="Q397" s="12" t="str">
        <x:f>IF(F397=$H397,"YES","NO")</x:f>
        <x:v>NO</x:v>
      </x:c>
      <x:c r="R397" s="12" t="str">
        <x:f>IF(G397=$H397,"YES","NO")</x:f>
        <x:v>YES</x:v>
      </x:c>
    </x:row>
    <x:row r="398">
      <x:c r="A398" s="44" t="str">
        <x:v>bpps_d200n100m10w2_60s20_40f0_seed0</x:v>
      </x:c>
      <x:c r="B398" s="12" t="n">
        <x:v>100</x:v>
      </x:c>
      <x:c r="C398" s="12" t="n">
        <x:v>25</x:v>
      </x:c>
      <x:c r="D398" s="12" t="n">
        <x:v>25</x:v>
      </x:c>
      <x:c r="E398" s="12" t="n">
        <x:v>25</x:v>
      </x:c>
      <x:c r="F398" s="12" t="n">
        <x:v>23</x:v>
      </x:c>
      <x:c r="G398" s="12" t="n">
        <x:v>23</x:v>
      </x:c>
      <x:c r="H398" s="12" t="n">
        <x:f>MIN(C398:G398)</x:f>
        <x:v>23</x:v>
      </x:c>
      <x:c r="I398" s="14" t="n">
        <x:f>(C398-$H398)/$H398*100</x:f>
        <x:v>8.695652173913043</x:v>
      </x:c>
      <x:c r="J398" s="14" t="n">
        <x:f>(D398-$H398)/$H398*100</x:f>
        <x:v>8.695652173913043</x:v>
      </x:c>
      <x:c r="K398" s="14" t="n">
        <x:f>(E398-$H398)/$H398*100</x:f>
        <x:v>8.695652173913043</x:v>
      </x:c>
      <x:c r="L398" s="14" t="n">
        <x:f>(F398-$H398)/$H398*100</x:f>
        <x:v>0</x:v>
      </x:c>
      <x:c r="M398" s="14" t="n">
        <x:f>(G398-$H398)/$H398*100</x:f>
        <x:v>0</x:v>
      </x:c>
      <x:c r="N398" s="12" t="str">
        <x:f>IF(C398=$H398,"YES","NO")</x:f>
        <x:v>NO</x:v>
      </x:c>
      <x:c r="O398" s="12" t="str">
        <x:f>IF(D398=$H398,"YES","NO")</x:f>
        <x:v>NO</x:v>
      </x:c>
      <x:c r="P398" s="12" t="str">
        <x:f>IF(E398=$H398,"YES","NO")</x:f>
        <x:v>NO</x:v>
      </x:c>
      <x:c r="Q398" s="12" t="str">
        <x:f>IF(F398=$H398,"YES","NO")</x:f>
        <x:v>YES</x:v>
      </x:c>
      <x:c r="R398" s="12" t="str">
        <x:f>IF(G398=$H398,"YES","NO")</x:f>
        <x:v>YES</x:v>
      </x:c>
    </x:row>
    <x:row r="399">
      <x:c r="A399" s="44" t="str">
        <x:v>bpps_d200n100m10w2_60s20_40f1_seed0</x:v>
      </x:c>
      <x:c r="B399" s="12" t="n">
        <x:v>100</x:v>
      </x:c>
      <x:c r="C399" s="12" t="n">
        <x:v>452</x:v>
      </x:c>
      <x:c r="D399" s="12" t="n">
        <x:v>467</x:v>
      </x:c>
      <x:c r="E399" s="12" t="n">
        <x:v>429</x:v>
      </x:c>
      <x:c r="F399" s="12" t="n">
        <x:v>331</x:v>
      </x:c>
      <x:c r="G399" s="12" t="n">
        <x:v>308</x:v>
      </x:c>
      <x:c r="H399" s="12" t="n">
        <x:f>MIN(C399:G399)</x:f>
        <x:v>308</x:v>
      </x:c>
      <x:c r="I399" s="14" t="n">
        <x:f>(C399-$H399)/$H399*100</x:f>
        <x:v>46.75324675324675</x:v>
      </x:c>
      <x:c r="J399" s="14" t="n">
        <x:f>(D399-$H399)/$H399*100</x:f>
        <x:v>51.62337662337663</x:v>
      </x:c>
      <x:c r="K399" s="14" t="n">
        <x:f>(E399-$H399)/$H399*100</x:f>
        <x:v>39.285714285714285</x:v>
      </x:c>
      <x:c r="L399" s="14" t="n">
        <x:f>(F399-$H399)/$H399*100</x:f>
        <x:v>7.467532467532467</x:v>
      </x:c>
      <x:c r="M399" s="14" t="n">
        <x:f>(G399-$H399)/$H399*100</x:f>
        <x:v>0</x:v>
      </x:c>
      <x:c r="N399" s="12" t="str">
        <x:f>IF(C399=$H399,"YES","NO")</x:f>
        <x:v>NO</x:v>
      </x:c>
      <x:c r="O399" s="12" t="str">
        <x:f>IF(D399=$H399,"YES","NO")</x:f>
        <x:v>NO</x:v>
      </x:c>
      <x:c r="P399" s="12" t="str">
        <x:f>IF(E399=$H399,"YES","NO")</x:f>
        <x:v>NO</x:v>
      </x:c>
      <x:c r="Q399" s="12" t="str">
        <x:f>IF(F399=$H399,"YES","NO")</x:f>
        <x:v>NO</x:v>
      </x:c>
      <x:c r="R399" s="12" t="str">
        <x:f>IF(G399=$H399,"YES","NO")</x:f>
        <x:v>YES</x:v>
      </x:c>
    </x:row>
    <x:row r="400">
      <x:c r="A400" s="44" t="str">
        <x:v>bpps_d200n100m10w2_60s2_20f0_seed0</x:v>
      </x:c>
      <x:c r="B400" s="12" t="n">
        <x:v>100</x:v>
      </x:c>
      <x:c r="C400" s="12" t="n">
        <x:v>21</x:v>
      </x:c>
      <x:c r="D400" s="12" t="n">
        <x:v>21</x:v>
      </x:c>
      <x:c r="E400" s="12" t="n">
        <x:v>20</x:v>
      </x:c>
      <x:c r="F400" s="12" t="n">
        <x:v>20</x:v>
      </x:c>
      <x:c r="G400" s="12" t="n">
        <x:v>19</x:v>
      </x:c>
      <x:c r="H400" s="12" t="n">
        <x:f>MIN(C400:G400)</x:f>
        <x:v>19</x:v>
      </x:c>
      <x:c r="I400" s="14" t="n">
        <x:f>(C400-$H400)/$H400*100</x:f>
        <x:v>10.526315789473683</x:v>
      </x:c>
      <x:c r="J400" s="14" t="n">
        <x:f>(D400-$H400)/$H400*100</x:f>
        <x:v>10.526315789473683</x:v>
      </x:c>
      <x:c r="K400" s="14" t="n">
        <x:f>(E400-$H400)/$H400*100</x:f>
        <x:v>5.263157894736842</x:v>
      </x:c>
      <x:c r="L400" s="14" t="n">
        <x:f>(F400-$H400)/$H400*100</x:f>
        <x:v>5.263157894736842</x:v>
      </x:c>
      <x:c r="M400" s="14" t="n">
        <x:f>(G400-$H400)/$H400*100</x:f>
        <x:v>0</x:v>
      </x:c>
      <x:c r="N400" s="12" t="str">
        <x:f>IF(C400=$H400,"YES","NO")</x:f>
        <x:v>NO</x:v>
      </x:c>
      <x:c r="O400" s="12" t="str">
        <x:f>IF(D400=$H400,"YES","NO")</x:f>
        <x:v>NO</x:v>
      </x:c>
      <x:c r="P400" s="12" t="str">
        <x:f>IF(E400=$H400,"YES","NO")</x:f>
        <x:v>NO</x:v>
      </x:c>
      <x:c r="Q400" s="12" t="str">
        <x:f>IF(F400=$H400,"YES","NO")</x:f>
        <x:v>NO</x:v>
      </x:c>
      <x:c r="R400" s="12" t="str">
        <x:f>IF(G400=$H400,"YES","NO")</x:f>
        <x:v>YES</x:v>
      </x:c>
    </x:row>
    <x:row r="401">
      <x:c r="A401" s="44" t="str">
        <x:v>bpps_d200n100m10w2_60s2_20f1_seed0</x:v>
      </x:c>
      <x:c r="B401" s="12" t="n">
        <x:v>100</x:v>
      </x:c>
      <x:c r="C401" s="12" t="n">
        <x:v>428</x:v>
      </x:c>
      <x:c r="D401" s="12" t="n">
        <x:v>434</x:v>
      </x:c>
      <x:c r="E401" s="12" t="n">
        <x:v>419</x:v>
      </x:c>
      <x:c r="F401" s="12" t="n">
        <x:v>287</x:v>
      </x:c>
      <x:c r="G401" s="12" t="n">
        <x:v>275</x:v>
      </x:c>
      <x:c r="H401" s="12" t="n">
        <x:f>MIN(C401:G401)</x:f>
        <x:v>275</x:v>
      </x:c>
      <x:c r="I401" s="14" t="n">
        <x:f>(C401-$H401)/$H401*100</x:f>
        <x:v>55.63636363636364</x:v>
      </x:c>
      <x:c r="J401" s="14" t="n">
        <x:f>(D401-$H401)/$H401*100</x:f>
        <x:v>57.81818181818181</x:v>
      </x:c>
      <x:c r="K401" s="14" t="n">
        <x:f>(E401-$H401)/$H401*100</x:f>
        <x:v>52.36363636363637</x:v>
      </x:c>
      <x:c r="L401" s="14" t="n">
        <x:f>(F401-$H401)/$H401*100</x:f>
        <x:v>4.363636363636364</x:v>
      </x:c>
      <x:c r="M401" s="14" t="n">
        <x:f>(G401-$H401)/$H401*100</x:f>
        <x:v>0</x:v>
      </x:c>
      <x:c r="N401" s="12" t="str">
        <x:f>IF(C401=$H401,"YES","NO")</x:f>
        <x:v>NO</x:v>
      </x:c>
      <x:c r="O401" s="12" t="str">
        <x:f>IF(D401=$H401,"YES","NO")</x:f>
        <x:v>NO</x:v>
      </x:c>
      <x:c r="P401" s="12" t="str">
        <x:f>IF(E401=$H401,"YES","NO")</x:f>
        <x:v>NO</x:v>
      </x:c>
      <x:c r="Q401" s="12" t="str">
        <x:f>IF(F401=$H401,"YES","NO")</x:f>
        <x:v>NO</x:v>
      </x:c>
      <x:c r="R401" s="12" t="str">
        <x:f>IF(G401=$H401,"YES","NO")</x:f>
        <x:v>YES</x:v>
      </x:c>
    </x:row>
    <x:row r="402">
      <x:c r="A402" s="44" t="str">
        <x:v>bpps_d200n100m10w2_60s2_40f0_seed0</x:v>
      </x:c>
      <x:c r="B402" s="12" t="n">
        <x:v>100</x:v>
      </x:c>
      <x:c r="C402" s="12" t="n">
        <x:v>23</x:v>
      </x:c>
      <x:c r="D402" s="12" t="n">
        <x:v>23</x:v>
      </x:c>
      <x:c r="E402" s="12" t="n">
        <x:v>23</x:v>
      </x:c>
      <x:c r="F402" s="12" t="n">
        <x:v>21</x:v>
      </x:c>
      <x:c r="G402" s="12" t="n">
        <x:v>20</x:v>
      </x:c>
      <x:c r="H402" s="12" t="n">
        <x:f>MIN(C402:G402)</x:f>
        <x:v>20</x:v>
      </x:c>
      <x:c r="I402" s="14" t="n">
        <x:f>(C402-$H402)/$H402*100</x:f>
        <x:v>15</x:v>
      </x:c>
      <x:c r="J402" s="14" t="n">
        <x:f>(D402-$H402)/$H402*100</x:f>
        <x:v>15</x:v>
      </x:c>
      <x:c r="K402" s="14" t="n">
        <x:f>(E402-$H402)/$H402*100</x:f>
        <x:v>15</x:v>
      </x:c>
      <x:c r="L402" s="14" t="n">
        <x:f>(F402-$H402)/$H402*100</x:f>
        <x:v>5</x:v>
      </x:c>
      <x:c r="M402" s="14" t="n">
        <x:f>(G402-$H402)/$H402*100</x:f>
        <x:v>0</x:v>
      </x:c>
      <x:c r="N402" s="12" t="str">
        <x:f>IF(C402=$H402,"YES","NO")</x:f>
        <x:v>NO</x:v>
      </x:c>
      <x:c r="O402" s="12" t="str">
        <x:f>IF(D402=$H402,"YES","NO")</x:f>
        <x:v>NO</x:v>
      </x:c>
      <x:c r="P402" s="12" t="str">
        <x:f>IF(E402=$H402,"YES","NO")</x:f>
        <x:v>NO</x:v>
      </x:c>
      <x:c r="Q402" s="12" t="str">
        <x:f>IF(F402=$H402,"YES","NO")</x:f>
        <x:v>NO</x:v>
      </x:c>
      <x:c r="R402" s="12" t="str">
        <x:f>IF(G402=$H402,"YES","NO")</x:f>
        <x:v>YES</x:v>
      </x:c>
    </x:row>
    <x:row r="403">
      <x:c r="A403" s="44" t="str">
        <x:v>bpps_d200n100m10w2_60s2_40f1_seed0</x:v>
      </x:c>
      <x:c r="B403" s="12" t="n">
        <x:v>100</x:v>
      </x:c>
      <x:c r="C403" s="12" t="n">
        <x:v>459</x:v>
      </x:c>
      <x:c r="D403" s="12" t="n">
        <x:v>451</x:v>
      </x:c>
      <x:c r="E403" s="12" t="n">
        <x:v>426</x:v>
      </x:c>
      <x:c r="F403" s="12" t="n">
        <x:v>322</x:v>
      </x:c>
      <x:c r="G403" s="12" t="n">
        <x:v>302</x:v>
      </x:c>
      <x:c r="H403" s="12" t="n">
        <x:f>MIN(C403:G403)</x:f>
        <x:v>302</x:v>
      </x:c>
      <x:c r="I403" s="14" t="n">
        <x:f>(C403-$H403)/$H403*100</x:f>
        <x:v>51.98675496688742</x:v>
      </x:c>
      <x:c r="J403" s="14" t="n">
        <x:f>(D403-$H403)/$H403*100</x:f>
        <x:v>49.337748344370866</x:v>
      </x:c>
      <x:c r="K403" s="14" t="n">
        <x:f>(E403-$H403)/$H403*100</x:f>
        <x:v>41.05960264900662</x:v>
      </x:c>
      <x:c r="L403" s="14" t="n">
        <x:f>(F403-$H403)/$H403*100</x:f>
        <x:v>6.622516556291391</x:v>
      </x:c>
      <x:c r="M403" s="14" t="n">
        <x:f>(G403-$H403)/$H403*100</x:f>
        <x:v>0</x:v>
      </x:c>
      <x:c r="N403" s="12" t="str">
        <x:f>IF(C403=$H403,"YES","NO")</x:f>
        <x:v>NO</x:v>
      </x:c>
      <x:c r="O403" s="12" t="str">
        <x:f>IF(D403=$H403,"YES","NO")</x:f>
        <x:v>NO</x:v>
      </x:c>
      <x:c r="P403" s="12" t="str">
        <x:f>IF(E403=$H403,"YES","NO")</x:f>
        <x:v>NO</x:v>
      </x:c>
      <x:c r="Q403" s="12" t="str">
        <x:f>IF(F403=$H403,"YES","NO")</x:f>
        <x:v>NO</x:v>
      </x:c>
      <x:c r="R403" s="12" t="str">
        <x:f>IF(G403=$H403,"YES","NO")</x:f>
        <x:v>YES</x:v>
      </x:c>
    </x:row>
    <x:row r="404">
      <x:c r="A404" s="44" t="str">
        <x:v>bpps_d200n100m10w40_60s20_40f0_seed0</x:v>
      </x:c>
      <x:c r="B404" s="12" t="n">
        <x:v>100</x:v>
      </x:c>
      <x:c r="C404" s="12" t="n">
        <x:v>42</x:v>
      </x:c>
      <x:c r="D404" s="12" t="n">
        <x:v>42</x:v>
      </x:c>
      <x:c r="E404" s="12" t="n">
        <x:v>42</x:v>
      </x:c>
      <x:c r="F404" s="12" t="n">
        <x:v>35</x:v>
      </x:c>
      <x:c r="G404" s="12" t="n">
        <x:v>34</x:v>
      </x:c>
      <x:c r="H404" s="12" t="n">
        <x:f>MIN(C404:G404)</x:f>
        <x:v>34</x:v>
      </x:c>
      <x:c r="I404" s="14" t="n">
        <x:f>(C404-$H404)/$H404*100</x:f>
        <x:v>23.52941176470588</x:v>
      </x:c>
      <x:c r="J404" s="14" t="n">
        <x:f>(D404-$H404)/$H404*100</x:f>
        <x:v>23.52941176470588</x:v>
      </x:c>
      <x:c r="K404" s="14" t="n">
        <x:f>(E404-$H404)/$H404*100</x:f>
        <x:v>23.52941176470588</x:v>
      </x:c>
      <x:c r="L404" s="14" t="n">
        <x:f>(F404-$H404)/$H404*100</x:f>
        <x:v>2.941176470588235</x:v>
      </x:c>
      <x:c r="M404" s="14" t="n">
        <x:f>(G404-$H404)/$H404*100</x:f>
        <x:v>0</x:v>
      </x:c>
      <x:c r="N404" s="12" t="str">
        <x:f>IF(C404=$H404,"YES","NO")</x:f>
        <x:v>NO</x:v>
      </x:c>
      <x:c r="O404" s="12" t="str">
        <x:f>IF(D404=$H404,"YES","NO")</x:f>
        <x:v>NO</x:v>
      </x:c>
      <x:c r="P404" s="12" t="str">
        <x:f>IF(E404=$H404,"YES","NO")</x:f>
        <x:v>NO</x:v>
      </x:c>
      <x:c r="Q404" s="12" t="str">
        <x:f>IF(F404=$H404,"YES","NO")</x:f>
        <x:v>NO</x:v>
      </x:c>
      <x:c r="R404" s="12" t="str">
        <x:f>IF(G404=$H404,"YES","NO")</x:f>
        <x:v>YES</x:v>
      </x:c>
    </x:row>
    <x:row r="405">
      <x:c r="A405" s="44" t="str">
        <x:v>bpps_d200n100m10w40_60s20_40f1_seed0</x:v>
      </x:c>
      <x:c r="B405" s="12" t="n">
        <x:v>100</x:v>
      </x:c>
      <x:c r="C405" s="12" t="n">
        <x:v>655</x:v>
      </x:c>
      <x:c r="D405" s="12" t="n">
        <x:v>652</x:v>
      </x:c>
      <x:c r="E405" s="12" t="n">
        <x:v>642</x:v>
      </x:c>
      <x:c r="F405" s="12" t="n">
        <x:v>474</x:v>
      </x:c>
      <x:c r="G405" s="12" t="n">
        <x:v>457</x:v>
      </x:c>
      <x:c r="H405" s="12" t="n">
        <x:f>MIN(C405:G405)</x:f>
        <x:v>457</x:v>
      </x:c>
      <x:c r="I405" s="14" t="n">
        <x:f>(C405-$H405)/$H405*100</x:f>
        <x:v>43.32603938730853</x:v>
      </x:c>
      <x:c r="J405" s="14" t="n">
        <x:f>(D405-$H405)/$H405*100</x:f>
        <x:v>42.669584245076585</x:v>
      </x:c>
      <x:c r="K405" s="14" t="n">
        <x:f>(E405-$H405)/$H405*100</x:f>
        <x:v>40.48140043763676</x:v>
      </x:c>
      <x:c r="L405" s="14" t="n">
        <x:f>(F405-$H405)/$H405*100</x:f>
        <x:v>3.7199124726477026</x:v>
      </x:c>
      <x:c r="M405" s="14" t="n">
        <x:f>(G405-$H405)/$H405*100</x:f>
        <x:v>0</x:v>
      </x:c>
      <x:c r="N405" s="12" t="str">
        <x:f>IF(C405=$H405,"YES","NO")</x:f>
        <x:v>NO</x:v>
      </x:c>
      <x:c r="O405" s="12" t="str">
        <x:f>IF(D405=$H405,"YES","NO")</x:f>
        <x:v>NO</x:v>
      </x:c>
      <x:c r="P405" s="12" t="str">
        <x:f>IF(E405=$H405,"YES","NO")</x:f>
        <x:v>NO</x:v>
      </x:c>
      <x:c r="Q405" s="12" t="str">
        <x:f>IF(F405=$H405,"YES","NO")</x:f>
        <x:v>NO</x:v>
      </x:c>
      <x:c r="R405" s="12" t="str">
        <x:f>IF(G405=$H405,"YES","NO")</x:f>
        <x:v>YES</x:v>
      </x:c>
    </x:row>
    <x:row r="406">
      <x:c r="A406" s="44" t="str">
        <x:v>bpps_d200n100m10w40_60s2_20f0_seed0</x:v>
      </x:c>
      <x:c r="B406" s="12" t="n">
        <x:v>100</x:v>
      </x:c>
      <x:c r="C406" s="12" t="n">
        <x:v>32</x:v>
      </x:c>
      <x:c r="D406" s="12" t="n">
        <x:v>32</x:v>
      </x:c>
      <x:c r="E406" s="12" t="n">
        <x:v>32</x:v>
      </x:c>
      <x:c r="F406" s="12" t="n">
        <x:v>30</x:v>
      </x:c>
      <x:c r="G406" s="12" t="n">
        <x:v>29</x:v>
      </x:c>
      <x:c r="H406" s="12" t="n">
        <x:f>MIN(C406:G406)</x:f>
        <x:v>29</x:v>
      </x:c>
      <x:c r="I406" s="14" t="n">
        <x:f>(C406-$H406)/$H406*100</x:f>
        <x:v>10.344827586206897</x:v>
      </x:c>
      <x:c r="J406" s="14" t="n">
        <x:f>(D406-$H406)/$H406*100</x:f>
        <x:v>10.344827586206897</x:v>
      </x:c>
      <x:c r="K406" s="14" t="n">
        <x:f>(E406-$H406)/$H406*100</x:f>
        <x:v>10.344827586206897</x:v>
      </x:c>
      <x:c r="L406" s="14" t="n">
        <x:f>(F406-$H406)/$H406*100</x:f>
        <x:v>3.4482758620689653</x:v>
      </x:c>
      <x:c r="M406" s="14" t="n">
        <x:f>(G406-$H406)/$H406*100</x:f>
        <x:v>0</x:v>
      </x:c>
      <x:c r="N406" s="12" t="str">
        <x:f>IF(C406=$H406,"YES","NO")</x:f>
        <x:v>NO</x:v>
      </x:c>
      <x:c r="O406" s="12" t="str">
        <x:f>IF(D406=$H406,"YES","NO")</x:f>
        <x:v>NO</x:v>
      </x:c>
      <x:c r="P406" s="12" t="str">
        <x:f>IF(E406=$H406,"YES","NO")</x:f>
        <x:v>NO</x:v>
      </x:c>
      <x:c r="Q406" s="12" t="str">
        <x:f>IF(F406=$H406,"YES","NO")</x:f>
        <x:v>NO</x:v>
      </x:c>
      <x:c r="R406" s="12" t="str">
        <x:f>IF(G406=$H406,"YES","NO")</x:f>
        <x:v>YES</x:v>
      </x:c>
    </x:row>
    <x:row r="407">
      <x:c r="A407" s="44" t="str">
        <x:v>bpps_d200n100m10w40_60s2_20f1_seed0</x:v>
      </x:c>
      <x:c r="B407" s="12" t="n">
        <x:v>100</x:v>
      </x:c>
      <x:c r="C407" s="12" t="n">
        <x:v>603</x:v>
      </x:c>
      <x:c r="D407" s="12" t="n">
        <x:v>600</x:v>
      </x:c>
      <x:c r="E407" s="12" t="n">
        <x:v>577</x:v>
      </x:c>
      <x:c r="F407" s="12" t="n">
        <x:v>426</x:v>
      </x:c>
      <x:c r="G407" s="12" t="n">
        <x:v>395</x:v>
      </x:c>
      <x:c r="H407" s="12" t="n">
        <x:f>MIN(C407:G407)</x:f>
        <x:v>395</x:v>
      </x:c>
      <x:c r="I407" s="14" t="n">
        <x:f>(C407-$H407)/$H407*100</x:f>
        <x:v>52.65822784810127</x:v>
      </x:c>
      <x:c r="J407" s="14" t="n">
        <x:f>(D407-$H407)/$H407*100</x:f>
        <x:v>51.89873417721519</x:v>
      </x:c>
      <x:c r="K407" s="14" t="n">
        <x:f>(E407-$H407)/$H407*100</x:f>
        <x:v>46.07594936708861</x:v>
      </x:c>
      <x:c r="L407" s="14" t="n">
        <x:f>(F407-$H407)/$H407*100</x:f>
        <x:v>7.848101265822785</x:v>
      </x:c>
      <x:c r="M407" s="14" t="n">
        <x:f>(G407-$H407)/$H407*100</x:f>
        <x:v>0</x:v>
      </x:c>
      <x:c r="N407" s="12" t="str">
        <x:f>IF(C407=$H407,"YES","NO")</x:f>
        <x:v>NO</x:v>
      </x:c>
      <x:c r="O407" s="12" t="str">
        <x:f>IF(D407=$H407,"YES","NO")</x:f>
        <x:v>NO</x:v>
      </x:c>
      <x:c r="P407" s="12" t="str">
        <x:f>IF(E407=$H407,"YES","NO")</x:f>
        <x:v>NO</x:v>
      </x:c>
      <x:c r="Q407" s="12" t="str">
        <x:f>IF(F407=$H407,"YES","NO")</x:f>
        <x:v>NO</x:v>
      </x:c>
      <x:c r="R407" s="12" t="str">
        <x:f>IF(G407=$H407,"YES","NO")</x:f>
        <x:v>YES</x:v>
      </x:c>
    </x:row>
    <x:row r="408">
      <x:c r="A408" s="44" t="str">
        <x:v>bpps_d200n100m10w40_60s2_40f0_seed0</x:v>
      </x:c>
      <x:c r="B408" s="12" t="n">
        <x:v>100</x:v>
      </x:c>
      <x:c r="C408" s="12" t="n">
        <x:v>35</x:v>
      </x:c>
      <x:c r="D408" s="12" t="n">
        <x:v>36</x:v>
      </x:c>
      <x:c r="E408" s="12" t="n">
        <x:v>36</x:v>
      </x:c>
      <x:c r="F408" s="12" t="n">
        <x:v>33</x:v>
      </x:c>
      <x:c r="G408" s="12" t="n">
        <x:v>31</x:v>
      </x:c>
      <x:c r="H408" s="12" t="n">
        <x:f>MIN(C408:G408)</x:f>
        <x:v>31</x:v>
      </x:c>
      <x:c r="I408" s="14" t="n">
        <x:f>(C408-$H408)/$H408*100</x:f>
        <x:v>12.903225806451612</x:v>
      </x:c>
      <x:c r="J408" s="14" t="n">
        <x:f>(D408-$H408)/$H408*100</x:f>
        <x:v>16.129032258064516</x:v>
      </x:c>
      <x:c r="K408" s="14" t="n">
        <x:f>(E408-$H408)/$H408*100</x:f>
        <x:v>16.129032258064516</x:v>
      </x:c>
      <x:c r="L408" s="14" t="n">
        <x:f>(F408-$H408)/$H408*100</x:f>
        <x:v>6.451612903225806</x:v>
      </x:c>
      <x:c r="M408" s="14" t="n">
        <x:f>(G408-$H408)/$H408*100</x:f>
        <x:v>0</x:v>
      </x:c>
      <x:c r="N408" s="12" t="str">
        <x:f>IF(C408=$H408,"YES","NO")</x:f>
        <x:v>NO</x:v>
      </x:c>
      <x:c r="O408" s="12" t="str">
        <x:f>IF(D408=$H408,"YES","NO")</x:f>
        <x:v>NO</x:v>
      </x:c>
      <x:c r="P408" s="12" t="str">
        <x:f>IF(E408=$H408,"YES","NO")</x:f>
        <x:v>NO</x:v>
      </x:c>
      <x:c r="Q408" s="12" t="str">
        <x:f>IF(F408=$H408,"YES","NO")</x:f>
        <x:v>NO</x:v>
      </x:c>
      <x:c r="R408" s="12" t="str">
        <x:f>IF(G408=$H408,"YES","NO")</x:f>
        <x:v>YES</x:v>
      </x:c>
    </x:row>
    <x:row r="409">
      <x:c r="A409" s="44" t="str">
        <x:v>bpps_d200n100m10w40_60s2_40f1_seed0</x:v>
      </x:c>
      <x:c r="B409" s="12" t="n">
        <x:v>100</x:v>
      </x:c>
      <x:c r="C409" s="12" t="n">
        <x:v>607</x:v>
      </x:c>
      <x:c r="D409" s="12" t="n">
        <x:v>607</x:v>
      </x:c>
      <x:c r="E409" s="12" t="n">
        <x:v>597</x:v>
      </x:c>
      <x:c r="F409" s="12" t="n">
        <x:v>455</x:v>
      </x:c>
      <x:c r="G409" s="12" t="n">
        <x:v>432</x:v>
      </x:c>
      <x:c r="H409" s="12" t="n">
        <x:f>MIN(C409:G409)</x:f>
        <x:v>432</x:v>
      </x:c>
      <x:c r="I409" s="14" t="n">
        <x:f>(C409-$H409)/$H409*100</x:f>
        <x:v>40.50925925925926</x:v>
      </x:c>
      <x:c r="J409" s="14" t="n">
        <x:f>(D409-$H409)/$H409*100</x:f>
        <x:v>40.50925925925926</x:v>
      </x:c>
      <x:c r="K409" s="14" t="n">
        <x:f>(E409-$H409)/$H409*100</x:f>
        <x:v>38.19444444444444</x:v>
      </x:c>
      <x:c r="L409" s="14" t="n">
        <x:f>(F409-$H409)/$H409*100</x:f>
        <x:v>5.324074074074074</x:v>
      </x:c>
      <x:c r="M409" s="14" t="n">
        <x:f>(G409-$H409)/$H409*100</x:f>
        <x:v>0</x:v>
      </x:c>
      <x:c r="N409" s="12" t="str">
        <x:f>IF(C409=$H409,"YES","NO")</x:f>
        <x:v>NO</x:v>
      </x:c>
      <x:c r="O409" s="12" t="str">
        <x:f>IF(D409=$H409,"YES","NO")</x:f>
        <x:v>NO</x:v>
      </x:c>
      <x:c r="P409" s="12" t="str">
        <x:f>IF(E409=$H409,"YES","NO")</x:f>
        <x:v>NO</x:v>
      </x:c>
      <x:c r="Q409" s="12" t="str">
        <x:f>IF(F409=$H409,"YES","NO")</x:f>
        <x:v>NO</x:v>
      </x:c>
      <x:c r="R409" s="12" t="str">
        <x:f>IF(G409=$H409,"YES","NO")</x:f>
        <x:v>YES</x:v>
      </x:c>
    </x:row>
    <x:row r="410">
      <x:c r="A410" s="44" t="str">
        <x:v>bpps_d200n100m5w20_40s20_40f0_seed0</x:v>
      </x:c>
      <x:c r="B410" s="12" t="n">
        <x:v>100</x:v>
      </x:c>
      <x:c r="C410" s="12" t="n">
        <x:v>25</x:v>
      </x:c>
      <x:c r="D410" s="12" t="n">
        <x:v>26</x:v>
      </x:c>
      <x:c r="E410" s="12" t="n">
        <x:v>25</x:v>
      </x:c>
      <x:c r="F410" s="12" t="n">
        <x:v>21</x:v>
      </x:c>
      <x:c r="G410" s="12" t="n">
        <x:v>20</x:v>
      </x:c>
      <x:c r="H410" s="12" t="n">
        <x:f>MIN(C410:G410)</x:f>
        <x:v>20</x:v>
      </x:c>
      <x:c r="I410" s="14" t="n">
        <x:f>(C410-$H410)/$H410*100</x:f>
        <x:v>25</x:v>
      </x:c>
      <x:c r="J410" s="14" t="n">
        <x:f>(D410-$H410)/$H410*100</x:f>
        <x:v>30</x:v>
      </x:c>
      <x:c r="K410" s="14" t="n">
        <x:f>(E410-$H410)/$H410*100</x:f>
        <x:v>25</x:v>
      </x:c>
      <x:c r="L410" s="14" t="n">
        <x:f>(F410-$H410)/$H410*100</x:f>
        <x:v>5</x:v>
      </x:c>
      <x:c r="M410" s="14" t="n">
        <x:f>(G410-$H410)/$H410*100</x:f>
        <x:v>0</x:v>
      </x:c>
      <x:c r="N410" s="12" t="str">
        <x:f>IF(C410=$H410,"YES","NO")</x:f>
        <x:v>NO</x:v>
      </x:c>
      <x:c r="O410" s="12" t="str">
        <x:f>IF(D410=$H410,"YES","NO")</x:f>
        <x:v>NO</x:v>
      </x:c>
      <x:c r="P410" s="12" t="str">
        <x:f>IF(E410=$H410,"YES","NO")</x:f>
        <x:v>NO</x:v>
      </x:c>
      <x:c r="Q410" s="12" t="str">
        <x:f>IF(F410=$H410,"YES","NO")</x:f>
        <x:v>NO</x:v>
      </x:c>
      <x:c r="R410" s="12" t="str">
        <x:f>IF(G410=$H410,"YES","NO")</x:f>
        <x:v>YES</x:v>
      </x:c>
    </x:row>
    <x:row r="411">
      <x:c r="A411" s="44" t="str">
        <x:v>bpps_d200n100m5w20_40s20_40f1_seed0</x:v>
      </x:c>
      <x:c r="B411" s="12" t="n">
        <x:v>100</x:v>
      </x:c>
      <x:c r="C411" s="12" t="n">
        <x:v>409</x:v>
      </x:c>
      <x:c r="D411" s="12" t="n">
        <x:v>452</x:v>
      </x:c>
      <x:c r="E411" s="12" t="n">
        <x:v>426</x:v>
      </x:c>
      <x:c r="F411" s="12" t="n">
        <x:v>288</x:v>
      </x:c>
      <x:c r="G411" s="12" t="n">
        <x:v>260</x:v>
      </x:c>
      <x:c r="H411" s="12" t="n">
        <x:f>MIN(C411:G411)</x:f>
        <x:v>260</x:v>
      </x:c>
      <x:c r="I411" s="14" t="n">
        <x:f>(C411-$H411)/$H411*100</x:f>
        <x:v>57.30769230769231</x:v>
      </x:c>
      <x:c r="J411" s="14" t="n">
        <x:f>(D411-$H411)/$H411*100</x:f>
        <x:v>73.84615384615385</x:v>
      </x:c>
      <x:c r="K411" s="14" t="n">
        <x:f>(E411-$H411)/$H411*100</x:f>
        <x:v>63.84615384615384</x:v>
      </x:c>
      <x:c r="L411" s="14" t="n">
        <x:f>(F411-$H411)/$H411*100</x:f>
        <x:v>10.76923076923077</x:v>
      </x:c>
      <x:c r="M411" s="14" t="n">
        <x:f>(G411-$H411)/$H411*100</x:f>
        <x:v>0</x:v>
      </x:c>
      <x:c r="N411" s="12" t="str">
        <x:f>IF(C411=$H411,"YES","NO")</x:f>
        <x:v>NO</x:v>
      </x:c>
      <x:c r="O411" s="12" t="str">
        <x:f>IF(D411=$H411,"YES","NO")</x:f>
        <x:v>NO</x:v>
      </x:c>
      <x:c r="P411" s="12" t="str">
        <x:f>IF(E411=$H411,"YES","NO")</x:f>
        <x:v>NO</x:v>
      </x:c>
      <x:c r="Q411" s="12" t="str">
        <x:f>IF(F411=$H411,"YES","NO")</x:f>
        <x:v>NO</x:v>
      </x:c>
      <x:c r="R411" s="12" t="str">
        <x:f>IF(G411=$H411,"YES","NO")</x:f>
        <x:v>YES</x:v>
      </x:c>
    </x:row>
    <x:row r="412">
      <x:c r="A412" s="44" t="str">
        <x:v>bpps_d200n100m5w20_40s2_20f0_seed0</x:v>
      </x:c>
      <x:c r="B412" s="12" t="n">
        <x:v>100</x:v>
      </x:c>
      <x:c r="C412" s="12" t="n">
        <x:v>20</x:v>
      </x:c>
      <x:c r="D412" s="12" t="n">
        <x:v>20</x:v>
      </x:c>
      <x:c r="E412" s="12" t="n">
        <x:v>20</x:v>
      </x:c>
      <x:c r="F412" s="12" t="n">
        <x:v>17</x:v>
      </x:c>
      <x:c r="G412" s="12" t="n">
        <x:v>17</x:v>
      </x:c>
      <x:c r="H412" s="12" t="n">
        <x:f>MIN(C412:G412)</x:f>
        <x:v>17</x:v>
      </x:c>
      <x:c r="I412" s="14" t="n">
        <x:f>(C412-$H412)/$H412*100</x:f>
        <x:v>17.647058823529413</x:v>
      </x:c>
      <x:c r="J412" s="14" t="n">
        <x:f>(D412-$H412)/$H412*100</x:f>
        <x:v>17.647058823529413</x:v>
      </x:c>
      <x:c r="K412" s="14" t="n">
        <x:f>(E412-$H412)/$H412*100</x:f>
        <x:v>17.647058823529413</x:v>
      </x:c>
      <x:c r="L412" s="14" t="n">
        <x:f>(F412-$H412)/$H412*100</x:f>
        <x:v>0</x:v>
      </x:c>
      <x:c r="M412" s="14" t="n">
        <x:f>(G412-$H412)/$H412*100</x:f>
        <x:v>0</x:v>
      </x:c>
      <x:c r="N412" s="12" t="str">
        <x:f>IF(C412=$H412,"YES","NO")</x:f>
        <x:v>NO</x:v>
      </x:c>
      <x:c r="O412" s="12" t="str">
        <x:f>IF(D412=$H412,"YES","NO")</x:f>
        <x:v>NO</x:v>
      </x:c>
      <x:c r="P412" s="12" t="str">
        <x:f>IF(E412=$H412,"YES","NO")</x:f>
        <x:v>NO</x:v>
      </x:c>
      <x:c r="Q412" s="12" t="str">
        <x:f>IF(F412=$H412,"YES","NO")</x:f>
        <x:v>YES</x:v>
      </x:c>
      <x:c r="R412" s="12" t="str">
        <x:f>IF(G412=$H412,"YES","NO")</x:f>
        <x:v>YES</x:v>
      </x:c>
    </x:row>
    <x:row r="413">
      <x:c r="A413" s="44" t="str">
        <x:v>bpps_d200n100m5w20_40s2_20f1_seed0</x:v>
      </x:c>
      <x:c r="B413" s="12" t="n">
        <x:v>100</x:v>
      </x:c>
      <x:c r="C413" s="12" t="n">
        <x:v>380</x:v>
      </x:c>
      <x:c r="D413" s="12" t="n">
        <x:v>375</x:v>
      </x:c>
      <x:c r="E413" s="12" t="n">
        <x:v>351</x:v>
      </x:c>
      <x:c r="F413" s="12" t="n">
        <x:v>263</x:v>
      </x:c>
      <x:c r="G413" s="12" t="n">
        <x:v>220</x:v>
      </x:c>
      <x:c r="H413" s="12" t="n">
        <x:f>MIN(C413:G413)</x:f>
        <x:v>220</x:v>
      </x:c>
      <x:c r="I413" s="14" t="n">
        <x:f>(C413-$H413)/$H413*100</x:f>
        <x:v>72.72727272727273</x:v>
      </x:c>
      <x:c r="J413" s="14" t="n">
        <x:f>(D413-$H413)/$H413*100</x:f>
        <x:v>70.45454545454545</x:v>
      </x:c>
      <x:c r="K413" s="14" t="n">
        <x:f>(E413-$H413)/$H413*100</x:f>
        <x:v>59.54545454545455</x:v>
      </x:c>
      <x:c r="L413" s="14" t="n">
        <x:f>(F413-$H413)/$H413*100</x:f>
        <x:v>19.545454545454547</x:v>
      </x:c>
      <x:c r="M413" s="14" t="n">
        <x:f>(G413-$H413)/$H413*100</x:f>
        <x:v>0</x:v>
      </x:c>
      <x:c r="N413" s="12" t="str">
        <x:f>IF(C413=$H413,"YES","NO")</x:f>
        <x:v>NO</x:v>
      </x:c>
      <x:c r="O413" s="12" t="str">
        <x:f>IF(D413=$H413,"YES","NO")</x:f>
        <x:v>NO</x:v>
      </x:c>
      <x:c r="P413" s="12" t="str">
        <x:f>IF(E413=$H413,"YES","NO")</x:f>
        <x:v>NO</x:v>
      </x:c>
      <x:c r="Q413" s="12" t="str">
        <x:f>IF(F413=$H413,"YES","NO")</x:f>
        <x:v>NO</x:v>
      </x:c>
      <x:c r="R413" s="12" t="str">
        <x:f>IF(G413=$H413,"YES","NO")</x:f>
        <x:v>YES</x:v>
      </x:c>
    </x:row>
    <x:row r="414">
      <x:c r="A414" s="44" t="str">
        <x:v>bpps_d200n100m5w20_40s2_40f0_seed0</x:v>
      </x:c>
      <x:c r="B414" s="12" t="n">
        <x:v>100</x:v>
      </x:c>
      <x:c r="C414" s="12" t="n">
        <x:v>24</x:v>
      </x:c>
      <x:c r="D414" s="12" t="n">
        <x:v>24</x:v>
      </x:c>
      <x:c r="E414" s="12" t="n">
        <x:v>23</x:v>
      </x:c>
      <x:c r="F414" s="12" t="n">
        <x:v>20</x:v>
      </x:c>
      <x:c r="G414" s="12" t="n">
        <x:v>19</x:v>
      </x:c>
      <x:c r="H414" s="12" t="n">
        <x:f>MIN(C414:G414)</x:f>
        <x:v>19</x:v>
      </x:c>
      <x:c r="I414" s="14" t="n">
        <x:f>(C414-$H414)/$H414*100</x:f>
        <x:v>26.31578947368421</x:v>
      </x:c>
      <x:c r="J414" s="14" t="n">
        <x:f>(D414-$H414)/$H414*100</x:f>
        <x:v>26.31578947368421</x:v>
      </x:c>
      <x:c r="K414" s="14" t="n">
        <x:f>(E414-$H414)/$H414*100</x:f>
        <x:v>21.052631578947366</x:v>
      </x:c>
      <x:c r="L414" s="14" t="n">
        <x:f>(F414-$H414)/$H414*100</x:f>
        <x:v>5.263157894736842</x:v>
      </x:c>
      <x:c r="M414" s="14" t="n">
        <x:f>(G414-$H414)/$H414*100</x:f>
        <x:v>0</x:v>
      </x:c>
      <x:c r="N414" s="12" t="str">
        <x:f>IF(C414=$H414,"YES","NO")</x:f>
        <x:v>NO</x:v>
      </x:c>
      <x:c r="O414" s="12" t="str">
        <x:f>IF(D414=$H414,"YES","NO")</x:f>
        <x:v>NO</x:v>
      </x:c>
      <x:c r="P414" s="12" t="str">
        <x:f>IF(E414=$H414,"YES","NO")</x:f>
        <x:v>NO</x:v>
      </x:c>
      <x:c r="Q414" s="12" t="str">
        <x:f>IF(F414=$H414,"YES","NO")</x:f>
        <x:v>NO</x:v>
      </x:c>
      <x:c r="R414" s="12" t="str">
        <x:f>IF(G414=$H414,"YES","NO")</x:f>
        <x:v>YES</x:v>
      </x:c>
    </x:row>
    <x:row r="415">
      <x:c r="A415" s="44" t="str">
        <x:v>bpps_d200n100m5w20_40s2_40f1_seed0</x:v>
      </x:c>
      <x:c r="B415" s="12" t="n">
        <x:v>100</x:v>
      </x:c>
      <x:c r="C415" s="12" t="n">
        <x:v>402</x:v>
      </x:c>
      <x:c r="D415" s="12" t="n">
        <x:v>402</x:v>
      </x:c>
      <x:c r="E415" s="12" t="n">
        <x:v>378</x:v>
      </x:c>
      <x:c r="F415" s="12" t="n">
        <x:v>275</x:v>
      </x:c>
      <x:c r="G415" s="12" t="n">
        <x:v>250</x:v>
      </x:c>
      <x:c r="H415" s="12" t="n">
        <x:f>MIN(C415:G415)</x:f>
        <x:v>250</x:v>
      </x:c>
      <x:c r="I415" s="14" t="n">
        <x:f>(C415-$H415)/$H415*100</x:f>
        <x:v>60.8</x:v>
      </x:c>
      <x:c r="J415" s="14" t="n">
        <x:f>(D415-$H415)/$H415*100</x:f>
        <x:v>60.8</x:v>
      </x:c>
      <x:c r="K415" s="14" t="n">
        <x:f>(E415-$H415)/$H415*100</x:f>
        <x:v>51.2</x:v>
      </x:c>
      <x:c r="L415" s="14" t="n">
        <x:f>(F415-$H415)/$H415*100</x:f>
        <x:v>10</x:v>
      </x:c>
      <x:c r="M415" s="14" t="n">
        <x:f>(G415-$H415)/$H415*100</x:f>
        <x:v>0</x:v>
      </x:c>
      <x:c r="N415" s="12" t="str">
        <x:f>IF(C415=$H415,"YES","NO")</x:f>
        <x:v>NO</x:v>
      </x:c>
      <x:c r="O415" s="12" t="str">
        <x:f>IF(D415=$H415,"YES","NO")</x:f>
        <x:v>NO</x:v>
      </x:c>
      <x:c r="P415" s="12" t="str">
        <x:f>IF(E415=$H415,"YES","NO")</x:f>
        <x:v>NO</x:v>
      </x:c>
      <x:c r="Q415" s="12" t="str">
        <x:f>IF(F415=$H415,"YES","NO")</x:f>
        <x:v>NO</x:v>
      </x:c>
      <x:c r="R415" s="12" t="str">
        <x:f>IF(G415=$H415,"YES","NO")</x:f>
        <x:v>YES</x:v>
      </x:c>
    </x:row>
    <x:row r="416">
      <x:c r="A416" s="44" t="str">
        <x:v>bpps_d200n100m5w2_20s20_40f0_seed0</x:v>
      </x:c>
      <x:c r="B416" s="12" t="n">
        <x:v>100</x:v>
      </x:c>
      <x:c r="C416" s="12" t="n">
        <x:v>11</x:v>
      </x:c>
      <x:c r="D416" s="12" t="n">
        <x:v>11</x:v>
      </x:c>
      <x:c r="E416" s="12" t="n">
        <x:v>10</x:v>
      </x:c>
      <x:c r="F416" s="12" t="n">
        <x:v>12</x:v>
      </x:c>
      <x:c r="G416" s="12" t="n">
        <x:v>9</x:v>
      </x:c>
      <x:c r="H416" s="12" t="n">
        <x:f>MIN(C416:G416)</x:f>
        <x:v>9</x:v>
      </x:c>
      <x:c r="I416" s="14" t="n">
        <x:f>(C416-$H416)/$H416*100</x:f>
        <x:v>22.22222222222222</x:v>
      </x:c>
      <x:c r="J416" s="14" t="n">
        <x:f>(D416-$H416)/$H416*100</x:f>
        <x:v>22.22222222222222</x:v>
      </x:c>
      <x:c r="K416" s="14" t="n">
        <x:f>(E416-$H416)/$H416*100</x:f>
        <x:v>11.11111111111111</x:v>
      </x:c>
      <x:c r="L416" s="14" t="n">
        <x:f>(F416-$H416)/$H416*100</x:f>
        <x:v>33.33333333333333</x:v>
      </x:c>
      <x:c r="M416" s="14" t="n">
        <x:f>(G416-$H416)/$H416*100</x:f>
        <x:v>0</x:v>
      </x:c>
      <x:c r="N416" s="12" t="str">
        <x:f>IF(C416=$H416,"YES","NO")</x:f>
        <x:v>NO</x:v>
      </x:c>
      <x:c r="O416" s="12" t="str">
        <x:f>IF(D416=$H416,"YES","NO")</x:f>
        <x:v>NO</x:v>
      </x:c>
      <x:c r="P416" s="12" t="str">
        <x:f>IF(E416=$H416,"YES","NO")</x:f>
        <x:v>NO</x:v>
      </x:c>
      <x:c r="Q416" s="12" t="str">
        <x:f>IF(F416=$H416,"YES","NO")</x:f>
        <x:v>NO</x:v>
      </x:c>
      <x:c r="R416" s="12" t="str">
        <x:f>IF(G416=$H416,"YES","NO")</x:f>
        <x:v>YES</x:v>
      </x:c>
    </x:row>
    <x:row r="417">
      <x:c r="A417" s="44" t="str">
        <x:v>bpps_d200n100m5w2_20s20_40f1_seed0</x:v>
      </x:c>
      <x:c r="B417" s="12" t="n">
        <x:v>100</x:v>
      </x:c>
      <x:c r="C417" s="12" t="n">
        <x:v>243</x:v>
      </x:c>
      <x:c r="D417" s="12" t="n">
        <x:v>251</x:v>
      </x:c>
      <x:c r="E417" s="12" t="n">
        <x:v>233</x:v>
      </x:c>
      <x:c r="F417" s="12" t="n">
        <x:v>178</x:v>
      </x:c>
      <x:c r="G417" s="12" t="n">
        <x:v>145</x:v>
      </x:c>
      <x:c r="H417" s="12" t="n">
        <x:f>MIN(C417:G417)</x:f>
        <x:v>145</x:v>
      </x:c>
      <x:c r="I417" s="14" t="n">
        <x:f>(C417-$H417)/$H417*100</x:f>
        <x:v>67.58620689655173</x:v>
      </x:c>
      <x:c r="J417" s="14" t="n">
        <x:f>(D417-$H417)/$H417*100</x:f>
        <x:v>73.10344827586206</x:v>
      </x:c>
      <x:c r="K417" s="14" t="n">
        <x:f>(E417-$H417)/$H417*100</x:f>
        <x:v>60.689655172413794</x:v>
      </x:c>
      <x:c r="L417" s="14" t="n">
        <x:f>(F417-$H417)/$H417*100</x:f>
        <x:v>22.758620689655174</x:v>
      </x:c>
      <x:c r="M417" s="14" t="n">
        <x:f>(G417-$H417)/$H417*100</x:f>
        <x:v>0</x:v>
      </x:c>
      <x:c r="N417" s="12" t="str">
        <x:f>IF(C417=$H417,"YES","NO")</x:f>
        <x:v>NO</x:v>
      </x:c>
      <x:c r="O417" s="12" t="str">
        <x:f>IF(D417=$H417,"YES","NO")</x:f>
        <x:v>NO</x:v>
      </x:c>
      <x:c r="P417" s="12" t="str">
        <x:f>IF(E417=$H417,"YES","NO")</x:f>
        <x:v>NO</x:v>
      </x:c>
      <x:c r="Q417" s="12" t="str">
        <x:f>IF(F417=$H417,"YES","NO")</x:f>
        <x:v>NO</x:v>
      </x:c>
      <x:c r="R417" s="12" t="str">
        <x:f>IF(G417=$H417,"YES","NO")</x:f>
        <x:v>YES</x:v>
      </x:c>
    </x:row>
    <x:row r="418">
      <x:c r="A418" s="44" t="str">
        <x:v>bpps_d200n100m5w2_20s2_20f0_seed0</x:v>
      </x:c>
      <x:c r="B418" s="12" t="n">
        <x:v>100</x:v>
      </x:c>
      <x:c r="C418" s="12" t="n">
        <x:v>8</x:v>
      </x:c>
      <x:c r="D418" s="12" t="n">
        <x:v>7</x:v>
      </x:c>
      <x:c r="E418" s="12" t="n">
        <x:v>8</x:v>
      </x:c>
      <x:c r="F418" s="12" t="n">
        <x:v>12</x:v>
      </x:c>
      <x:c r="G418" s="12" t="n">
        <x:v>7</x:v>
      </x:c>
      <x:c r="H418" s="12" t="n">
        <x:f>MIN(C418:G418)</x:f>
        <x:v>7</x:v>
      </x:c>
      <x:c r="I418" s="14" t="n">
        <x:f>(C418-$H418)/$H418*100</x:f>
        <x:v>14.285714285714285</x:v>
      </x:c>
      <x:c r="J418" s="14" t="n">
        <x:f>(D418-$H418)/$H418*100</x:f>
        <x:v>0</x:v>
      </x:c>
      <x:c r="K418" s="14" t="n">
        <x:f>(E418-$H418)/$H418*100</x:f>
        <x:v>14.285714285714285</x:v>
      </x:c>
      <x:c r="L418" s="14" t="n">
        <x:f>(F418-$H418)/$H418*100</x:f>
        <x:v>71.42857142857143</x:v>
      </x:c>
      <x:c r="M418" s="14" t="n">
        <x:f>(G418-$H418)/$H418*100</x:f>
        <x:v>0</x:v>
      </x:c>
      <x:c r="N418" s="12" t="str">
        <x:f>IF(C418=$H418,"YES","NO")</x:f>
        <x:v>NO</x:v>
      </x:c>
      <x:c r="O418" s="12" t="str">
        <x:f>IF(D418=$H418,"YES","NO")</x:f>
        <x:v>YES</x:v>
      </x:c>
      <x:c r="P418" s="12" t="str">
        <x:f>IF(E418=$H418,"YES","NO")</x:f>
        <x:v>NO</x:v>
      </x:c>
      <x:c r="Q418" s="12" t="str">
        <x:f>IF(F418=$H418,"YES","NO")</x:f>
        <x:v>NO</x:v>
      </x:c>
      <x:c r="R418" s="12" t="str">
        <x:f>IF(G418=$H418,"YES","NO")</x:f>
        <x:v>YES</x:v>
      </x:c>
    </x:row>
    <x:row r="419">
      <x:c r="A419" s="44" t="str">
        <x:v>bpps_d200n100m5w2_20s2_20f1_seed0</x:v>
      </x:c>
      <x:c r="B419" s="12" t="n">
        <x:v>100</x:v>
      </x:c>
      <x:c r="C419" s="12" t="n">
        <x:v>172</x:v>
      </x:c>
      <x:c r="D419" s="12" t="n">
        <x:v>185</x:v>
      </x:c>
      <x:c r="E419" s="12" t="n">
        <x:v>157</x:v>
      </x:c>
      <x:c r="F419" s="12" t="n">
        <x:v>155</x:v>
      </x:c>
      <x:c r="G419" s="12" t="n">
        <x:v>123</x:v>
      </x:c>
      <x:c r="H419" s="12" t="n">
        <x:f>MIN(C419:G419)</x:f>
        <x:v>123</x:v>
      </x:c>
      <x:c r="I419" s="14" t="n">
        <x:f>(C419-$H419)/$H419*100</x:f>
        <x:v>39.83739837398374</x:v>
      </x:c>
      <x:c r="J419" s="14" t="n">
        <x:f>(D419-$H419)/$H419*100</x:f>
        <x:v>50.40650406504065</x:v>
      </x:c>
      <x:c r="K419" s="14" t="n">
        <x:f>(E419-$H419)/$H419*100</x:f>
        <x:v>27.64227642276423</x:v>
      </x:c>
      <x:c r="L419" s="14" t="n">
        <x:f>(F419-$H419)/$H419*100</x:f>
        <x:v>26.01626016260163</x:v>
      </x:c>
      <x:c r="M419" s="14" t="n">
        <x:f>(G419-$H419)/$H419*100</x:f>
        <x:v>0</x:v>
      </x:c>
      <x:c r="N419" s="12" t="str">
        <x:f>IF(C419=$H419,"YES","NO")</x:f>
        <x:v>NO</x:v>
      </x:c>
      <x:c r="O419" s="12" t="str">
        <x:f>IF(D419=$H419,"YES","NO")</x:f>
        <x:v>NO</x:v>
      </x:c>
      <x:c r="P419" s="12" t="str">
        <x:f>IF(E419=$H419,"YES","NO")</x:f>
        <x:v>NO</x:v>
      </x:c>
      <x:c r="Q419" s="12" t="str">
        <x:f>IF(F419=$H419,"YES","NO")</x:f>
        <x:v>NO</x:v>
      </x:c>
      <x:c r="R419" s="12" t="str">
        <x:f>IF(G419=$H419,"YES","NO")</x:f>
        <x:v>YES</x:v>
      </x:c>
    </x:row>
    <x:row r="420">
      <x:c r="A420" s="44" t="str">
        <x:v>bpps_d200n100m5w2_20s2_40f0_seed0</x:v>
      </x:c>
      <x:c r="B420" s="12" t="n">
        <x:v>100</x:v>
      </x:c>
      <x:c r="C420" s="12" t="n">
        <x:v>9</x:v>
      </x:c>
      <x:c r="D420" s="12" t="n">
        <x:v>9</x:v>
      </x:c>
      <x:c r="E420" s="12" t="n">
        <x:v>8</x:v>
      </x:c>
      <x:c r="F420" s="12" t="n">
        <x:v>12</x:v>
      </x:c>
      <x:c r="G420" s="12" t="n">
        <x:v>8</x:v>
      </x:c>
      <x:c r="H420" s="12" t="n">
        <x:f>MIN(C420:G420)</x:f>
        <x:v>8</x:v>
      </x:c>
      <x:c r="I420" s="14" t="n">
        <x:f>(C420-$H420)/$H420*100</x:f>
        <x:v>12.5</x:v>
      </x:c>
      <x:c r="J420" s="14" t="n">
        <x:f>(D420-$H420)/$H420*100</x:f>
        <x:v>12.5</x:v>
      </x:c>
      <x:c r="K420" s="14" t="n">
        <x:f>(E420-$H420)/$H420*100</x:f>
        <x:v>0</x:v>
      </x:c>
      <x:c r="L420" s="14" t="n">
        <x:f>(F420-$H420)/$H420*100</x:f>
        <x:v>50</x:v>
      </x:c>
      <x:c r="M420" s="14" t="n">
        <x:f>(G420-$H420)/$H420*100</x:f>
        <x:v>0</x:v>
      </x:c>
      <x:c r="N420" s="12" t="str">
        <x:f>IF(C420=$H420,"YES","NO")</x:f>
        <x:v>NO</x:v>
      </x:c>
      <x:c r="O420" s="12" t="str">
        <x:f>IF(D420=$H420,"YES","NO")</x:f>
        <x:v>NO</x:v>
      </x:c>
      <x:c r="P420" s="12" t="str">
        <x:f>IF(E420=$H420,"YES","NO")</x:f>
        <x:v>YES</x:v>
      </x:c>
      <x:c r="Q420" s="12" t="str">
        <x:f>IF(F420=$H420,"YES","NO")</x:f>
        <x:v>NO</x:v>
      </x:c>
      <x:c r="R420" s="12" t="str">
        <x:f>IF(G420=$H420,"YES","NO")</x:f>
        <x:v>YES</x:v>
      </x:c>
    </x:row>
    <x:row r="421">
      <x:c r="A421" s="44" t="str">
        <x:v>bpps_d200n100m5w2_20s2_40f1_seed0</x:v>
      </x:c>
      <x:c r="B421" s="12" t="n">
        <x:v>100</x:v>
      </x:c>
      <x:c r="C421" s="12" t="n">
        <x:v>232</x:v>
      </x:c>
      <x:c r="D421" s="12" t="n">
        <x:v>232</x:v>
      </x:c>
      <x:c r="E421" s="12" t="n">
        <x:v>186</x:v>
      </x:c>
      <x:c r="F421" s="12" t="n">
        <x:v>157</x:v>
      </x:c>
      <x:c r="G421" s="12" t="n">
        <x:v>127</x:v>
      </x:c>
      <x:c r="H421" s="12" t="n">
        <x:f>MIN(C421:G421)</x:f>
        <x:v>127</x:v>
      </x:c>
      <x:c r="I421" s="14" t="n">
        <x:f>(C421-$H421)/$H421*100</x:f>
        <x:v>82.67716535433071</x:v>
      </x:c>
      <x:c r="J421" s="14" t="n">
        <x:f>(D421-$H421)/$H421*100</x:f>
        <x:v>82.67716535433071</x:v>
      </x:c>
      <x:c r="K421" s="14" t="n">
        <x:f>(E421-$H421)/$H421*100</x:f>
        <x:v>46.45669291338583</x:v>
      </x:c>
      <x:c r="L421" s="14" t="n">
        <x:f>(F421-$H421)/$H421*100</x:f>
        <x:v>23.62204724409449</x:v>
      </x:c>
      <x:c r="M421" s="14" t="n">
        <x:f>(G421-$H421)/$H421*100</x:f>
        <x:v>0</x:v>
      </x:c>
      <x:c r="N421" s="12" t="str">
        <x:f>IF(C421=$H421,"YES","NO")</x:f>
        <x:v>NO</x:v>
      </x:c>
      <x:c r="O421" s="12" t="str">
        <x:f>IF(D421=$H421,"YES","NO")</x:f>
        <x:v>NO</x:v>
      </x:c>
      <x:c r="P421" s="12" t="str">
        <x:f>IF(E421=$H421,"YES","NO")</x:f>
        <x:v>NO</x:v>
      </x:c>
      <x:c r="Q421" s="12" t="str">
        <x:f>IF(F421=$H421,"YES","NO")</x:f>
        <x:v>NO</x:v>
      </x:c>
      <x:c r="R421" s="12" t="str">
        <x:f>IF(G421=$H421,"YES","NO")</x:f>
        <x:v>YES</x:v>
      </x:c>
    </x:row>
    <x:row r="422">
      <x:c r="A422" s="44" t="str">
        <x:v>bpps_d200n100m5w2_60s20_40f0_seed0</x:v>
      </x:c>
      <x:c r="B422" s="12" t="n">
        <x:v>100</x:v>
      </x:c>
      <x:c r="C422" s="12" t="n">
        <x:v>25</x:v>
      </x:c>
      <x:c r="D422" s="12" t="n">
        <x:v>25</x:v>
      </x:c>
      <x:c r="E422" s="12" t="n">
        <x:v>24</x:v>
      </x:c>
      <x:c r="F422" s="12" t="n">
        <x:v>22</x:v>
      </x:c>
      <x:c r="G422" s="12" t="n">
        <x:v>21</x:v>
      </x:c>
      <x:c r="H422" s="12" t="n">
        <x:f>MIN(C422:G422)</x:f>
        <x:v>21</x:v>
      </x:c>
      <x:c r="I422" s="14" t="n">
        <x:f>(C422-$H422)/$H422*100</x:f>
        <x:v>19.047619047619047</x:v>
      </x:c>
      <x:c r="J422" s="14" t="n">
        <x:f>(D422-$H422)/$H422*100</x:f>
        <x:v>19.047619047619047</x:v>
      </x:c>
      <x:c r="K422" s="14" t="n">
        <x:f>(E422-$H422)/$H422*100</x:f>
        <x:v>14.285714285714285</x:v>
      </x:c>
      <x:c r="L422" s="14" t="n">
        <x:f>(F422-$H422)/$H422*100</x:f>
        <x:v>4.761904761904762</x:v>
      </x:c>
      <x:c r="M422" s="14" t="n">
        <x:f>(G422-$H422)/$H422*100</x:f>
        <x:v>0</x:v>
      </x:c>
      <x:c r="N422" s="12" t="str">
        <x:f>IF(C422=$H422,"YES","NO")</x:f>
        <x:v>NO</x:v>
      </x:c>
      <x:c r="O422" s="12" t="str">
        <x:f>IF(D422=$H422,"YES","NO")</x:f>
        <x:v>NO</x:v>
      </x:c>
      <x:c r="P422" s="12" t="str">
        <x:f>IF(E422=$H422,"YES","NO")</x:f>
        <x:v>NO</x:v>
      </x:c>
      <x:c r="Q422" s="12" t="str">
        <x:f>IF(F422=$H422,"YES","NO")</x:f>
        <x:v>NO</x:v>
      </x:c>
      <x:c r="R422" s="12" t="str">
        <x:f>IF(G422=$H422,"YES","NO")</x:f>
        <x:v>YES</x:v>
      </x:c>
    </x:row>
    <x:row r="423">
      <x:c r="A423" s="44" t="str">
        <x:v>bpps_d200n100m5w2_60s20_40f1_seed0</x:v>
      </x:c>
      <x:c r="B423" s="12" t="n">
        <x:v>100</x:v>
      </x:c>
      <x:c r="C423" s="12" t="n">
        <x:v>394</x:v>
      </x:c>
      <x:c r="D423" s="12" t="n">
        <x:v>386</x:v>
      </x:c>
      <x:c r="E423" s="12" t="n">
        <x:v>404</x:v>
      </x:c>
      <x:c r="F423" s="12" t="n">
        <x:v>321</x:v>
      </x:c>
      <x:c r="G423" s="12" t="n">
        <x:v>288</x:v>
      </x:c>
      <x:c r="H423" s="12" t="n">
        <x:f>MIN(C423:G423)</x:f>
        <x:v>288</x:v>
      </x:c>
      <x:c r="I423" s="14" t="n">
        <x:f>(C423-$H423)/$H423*100</x:f>
        <x:v>36.80555555555556</x:v>
      </x:c>
      <x:c r="J423" s="14" t="n">
        <x:f>(D423-$H423)/$H423*100</x:f>
        <x:v>34.02777777777778</x:v>
      </x:c>
      <x:c r="K423" s="14" t="n">
        <x:f>(E423-$H423)/$H423*100</x:f>
        <x:v>40.27777777777778</x:v>
      </x:c>
      <x:c r="L423" s="14" t="n">
        <x:f>(F423-$H423)/$H423*100</x:f>
        <x:v>11.458333333333332</x:v>
      </x:c>
      <x:c r="M423" s="14" t="n">
        <x:f>(G423-$H423)/$H423*100</x:f>
        <x:v>0</x:v>
      </x:c>
      <x:c r="N423" s="12" t="str">
        <x:f>IF(C423=$H423,"YES","NO")</x:f>
        <x:v>NO</x:v>
      </x:c>
      <x:c r="O423" s="12" t="str">
        <x:f>IF(D423=$H423,"YES","NO")</x:f>
        <x:v>NO</x:v>
      </x:c>
      <x:c r="P423" s="12" t="str">
        <x:f>IF(E423=$H423,"YES","NO")</x:f>
        <x:v>NO</x:v>
      </x:c>
      <x:c r="Q423" s="12" t="str">
        <x:f>IF(F423=$H423,"YES","NO")</x:f>
        <x:v>NO</x:v>
      </x:c>
      <x:c r="R423" s="12" t="str">
        <x:f>IF(G423=$H423,"YES","NO")</x:f>
        <x:v>YES</x:v>
      </x:c>
    </x:row>
    <x:row r="424">
      <x:c r="A424" s="44" t="str">
        <x:v>bpps_d200n100m5w2_60s2_20f0_seed0</x:v>
      </x:c>
      <x:c r="B424" s="12" t="n">
        <x:v>100</x:v>
      </x:c>
      <x:c r="C424" s="12" t="n">
        <x:v>20</x:v>
      </x:c>
      <x:c r="D424" s="12" t="n">
        <x:v>20</x:v>
      </x:c>
      <x:c r="E424" s="12" t="n">
        <x:v>20</x:v>
      </x:c>
      <x:c r="F424" s="12" t="n">
        <x:v>19</x:v>
      </x:c>
      <x:c r="G424" s="12" t="n">
        <x:v>19</x:v>
      </x:c>
      <x:c r="H424" s="12" t="n">
        <x:f>MIN(C424:G424)</x:f>
        <x:v>19</x:v>
      </x:c>
      <x:c r="I424" s="14" t="n">
        <x:f>(C424-$H424)/$H424*100</x:f>
        <x:v>5.263157894736842</x:v>
      </x:c>
      <x:c r="J424" s="14" t="n">
        <x:f>(D424-$H424)/$H424*100</x:f>
        <x:v>5.263157894736842</x:v>
      </x:c>
      <x:c r="K424" s="14" t="n">
        <x:f>(E424-$H424)/$H424*100</x:f>
        <x:v>5.263157894736842</x:v>
      </x:c>
      <x:c r="L424" s="14" t="n">
        <x:f>(F424-$H424)/$H424*100</x:f>
        <x:v>0</x:v>
      </x:c>
      <x:c r="M424" s="14" t="n">
        <x:f>(G424-$H424)/$H424*100</x:f>
        <x:v>0</x:v>
      </x:c>
      <x:c r="N424" s="12" t="str">
        <x:f>IF(C424=$H424,"YES","NO")</x:f>
        <x:v>NO</x:v>
      </x:c>
      <x:c r="O424" s="12" t="str">
        <x:f>IF(D424=$H424,"YES","NO")</x:f>
        <x:v>NO</x:v>
      </x:c>
      <x:c r="P424" s="12" t="str">
        <x:f>IF(E424=$H424,"YES","NO")</x:f>
        <x:v>NO</x:v>
      </x:c>
      <x:c r="Q424" s="12" t="str">
        <x:f>IF(F424=$H424,"YES","NO")</x:f>
        <x:v>YES</x:v>
      </x:c>
      <x:c r="R424" s="12" t="str">
        <x:f>IF(G424=$H424,"YES","NO")</x:f>
        <x:v>YES</x:v>
      </x:c>
    </x:row>
    <x:row r="425">
      <x:c r="A425" s="44" t="str">
        <x:v>bpps_d200n100m5w2_60s2_20f1_seed0</x:v>
      </x:c>
      <x:c r="B425" s="12" t="n">
        <x:v>100</x:v>
      </x:c>
      <x:c r="C425" s="12" t="n">
        <x:v>376</x:v>
      </x:c>
      <x:c r="D425" s="12" t="n">
        <x:v>377</x:v>
      </x:c>
      <x:c r="E425" s="12" t="n">
        <x:v>365</x:v>
      </x:c>
      <x:c r="F425" s="12" t="n">
        <x:v>279</x:v>
      </x:c>
      <x:c r="G425" s="12" t="n">
        <x:v>252</x:v>
      </x:c>
      <x:c r="H425" s="12" t="n">
        <x:f>MIN(C425:G425)</x:f>
        <x:v>252</x:v>
      </x:c>
      <x:c r="I425" s="14" t="n">
        <x:f>(C425-$H425)/$H425*100</x:f>
        <x:v>49.2063492063492</x:v>
      </x:c>
      <x:c r="J425" s="14" t="n">
        <x:f>(D425-$H425)/$H425*100</x:f>
        <x:v>49.60317460317461</x:v>
      </x:c>
      <x:c r="K425" s="14" t="n">
        <x:f>(E425-$H425)/$H425*100</x:f>
        <x:v>44.84126984126984</x:v>
      </x:c>
      <x:c r="L425" s="14" t="n">
        <x:f>(F425-$H425)/$H425*100</x:f>
        <x:v>10.714285714285714</x:v>
      </x:c>
      <x:c r="M425" s="14" t="n">
        <x:f>(G425-$H425)/$H425*100</x:f>
        <x:v>0</x:v>
      </x:c>
      <x:c r="N425" s="12" t="str">
        <x:f>IF(C425=$H425,"YES","NO")</x:f>
        <x:v>NO</x:v>
      </x:c>
      <x:c r="O425" s="12" t="str">
        <x:f>IF(D425=$H425,"YES","NO")</x:f>
        <x:v>NO</x:v>
      </x:c>
      <x:c r="P425" s="12" t="str">
        <x:f>IF(E425=$H425,"YES","NO")</x:f>
        <x:v>NO</x:v>
      </x:c>
      <x:c r="Q425" s="12" t="str">
        <x:f>IF(F425=$H425,"YES","NO")</x:f>
        <x:v>NO</x:v>
      </x:c>
      <x:c r="R425" s="12" t="str">
        <x:f>IF(G425=$H425,"YES","NO")</x:f>
        <x:v>YES</x:v>
      </x:c>
    </x:row>
    <x:row r="426">
      <x:c r="A426" s="44" t="str">
        <x:v>bpps_d200n100m5w2_60s2_40f0_seed0</x:v>
      </x:c>
      <x:c r="B426" s="12" t="n">
        <x:v>100</x:v>
      </x:c>
      <x:c r="C426" s="12" t="n">
        <x:v>21</x:v>
      </x:c>
      <x:c r="D426" s="12" t="n">
        <x:v>22</x:v>
      </x:c>
      <x:c r="E426" s="12" t="n">
        <x:v>21</x:v>
      </x:c>
      <x:c r="F426" s="12" t="n">
        <x:v>21</x:v>
      </x:c>
      <x:c r="G426" s="12" t="n">
        <x:v>19</x:v>
      </x:c>
      <x:c r="H426" s="12" t="n">
        <x:f>MIN(C426:G426)</x:f>
        <x:v>19</x:v>
      </x:c>
      <x:c r="I426" s="14" t="n">
        <x:f>(C426-$H426)/$H426*100</x:f>
        <x:v>10.526315789473683</x:v>
      </x:c>
      <x:c r="J426" s="14" t="n">
        <x:f>(D426-$H426)/$H426*100</x:f>
        <x:v>15.789473684210526</x:v>
      </x:c>
      <x:c r="K426" s="14" t="n">
        <x:f>(E426-$H426)/$H426*100</x:f>
        <x:v>10.526315789473683</x:v>
      </x:c>
      <x:c r="L426" s="14" t="n">
        <x:f>(F426-$H426)/$H426*100</x:f>
        <x:v>10.526315789473683</x:v>
      </x:c>
      <x:c r="M426" s="14" t="n">
        <x:f>(G426-$H426)/$H426*100</x:f>
        <x:v>0</x:v>
      </x:c>
      <x:c r="N426" s="12" t="str">
        <x:f>IF(C426=$H426,"YES","NO")</x:f>
        <x:v>NO</x:v>
      </x:c>
      <x:c r="O426" s="12" t="str">
        <x:f>IF(D426=$H426,"YES","NO")</x:f>
        <x:v>NO</x:v>
      </x:c>
      <x:c r="P426" s="12" t="str">
        <x:f>IF(E426=$H426,"YES","NO")</x:f>
        <x:v>NO</x:v>
      </x:c>
      <x:c r="Q426" s="12" t="str">
        <x:f>IF(F426=$H426,"YES","NO")</x:f>
        <x:v>NO</x:v>
      </x:c>
      <x:c r="R426" s="12" t="str">
        <x:f>IF(G426=$H426,"YES","NO")</x:f>
        <x:v>YES</x:v>
      </x:c>
    </x:row>
    <x:row r="427">
      <x:c r="A427" s="44" t="str">
        <x:v>bpps_d200n100m5w2_60s2_40f1_seed0</x:v>
      </x:c>
      <x:c r="B427" s="12" t="n">
        <x:v>100</x:v>
      </x:c>
      <x:c r="C427" s="12" t="n">
        <x:v>378</x:v>
      </x:c>
      <x:c r="D427" s="12" t="n">
        <x:v>388</x:v>
      </x:c>
      <x:c r="E427" s="12" t="n">
        <x:v>382</x:v>
      </x:c>
      <x:c r="F427" s="12" t="n">
        <x:v>309</x:v>
      </x:c>
      <x:c r="G427" s="12" t="n">
        <x:v>274</x:v>
      </x:c>
      <x:c r="H427" s="12" t="n">
        <x:f>MIN(C427:G427)</x:f>
        <x:v>274</x:v>
      </x:c>
      <x:c r="I427" s="14" t="n">
        <x:f>(C427-$H427)/$H427*100</x:f>
        <x:v>37.95620437956204</x:v>
      </x:c>
      <x:c r="J427" s="14" t="n">
        <x:f>(D427-$H427)/$H427*100</x:f>
        <x:v>41.605839416058394</x:v>
      </x:c>
      <x:c r="K427" s="14" t="n">
        <x:f>(E427-$H427)/$H427*100</x:f>
        <x:v>39.416058394160586</x:v>
      </x:c>
      <x:c r="L427" s="14" t="n">
        <x:f>(F427-$H427)/$H427*100</x:f>
        <x:v>12.773722627737227</x:v>
      </x:c>
      <x:c r="M427" s="14" t="n">
        <x:f>(G427-$H427)/$H427*100</x:f>
        <x:v>0</x:v>
      </x:c>
      <x:c r="N427" s="12" t="str">
        <x:f>IF(C427=$H427,"YES","NO")</x:f>
        <x:v>NO</x:v>
      </x:c>
      <x:c r="O427" s="12" t="str">
        <x:f>IF(D427=$H427,"YES","NO")</x:f>
        <x:v>NO</x:v>
      </x:c>
      <x:c r="P427" s="12" t="str">
        <x:f>IF(E427=$H427,"YES","NO")</x:f>
        <x:v>NO</x:v>
      </x:c>
      <x:c r="Q427" s="12" t="str">
        <x:f>IF(F427=$H427,"YES","NO")</x:f>
        <x:v>NO</x:v>
      </x:c>
      <x:c r="R427" s="12" t="str">
        <x:f>IF(G427=$H427,"YES","NO")</x:f>
        <x:v>YES</x:v>
      </x:c>
    </x:row>
    <x:row r="428">
      <x:c r="A428" s="44" t="str">
        <x:v>bpps_d200n100m5w40_60s20_40f0_seed0</x:v>
      </x:c>
      <x:c r="B428" s="12" t="n">
        <x:v>100</x:v>
      </x:c>
      <x:c r="C428" s="12" t="n">
        <x:v>42</x:v>
      </x:c>
      <x:c r="D428" s="12" t="n">
        <x:v>42</x:v>
      </x:c>
      <x:c r="E428" s="12" t="n">
        <x:v>42</x:v>
      </x:c>
      <x:c r="F428" s="12" t="n">
        <x:v>34</x:v>
      </x:c>
      <x:c r="G428" s="12" t="n">
        <x:v>34</x:v>
      </x:c>
      <x:c r="H428" s="12" t="n">
        <x:f>MIN(C428:G428)</x:f>
        <x:v>34</x:v>
      </x:c>
      <x:c r="I428" s="14" t="n">
        <x:f>(C428-$H428)/$H428*100</x:f>
        <x:v>23.52941176470588</x:v>
      </x:c>
      <x:c r="J428" s="14" t="n">
        <x:f>(D428-$H428)/$H428*100</x:f>
        <x:v>23.52941176470588</x:v>
      </x:c>
      <x:c r="K428" s="14" t="n">
        <x:f>(E428-$H428)/$H428*100</x:f>
        <x:v>23.52941176470588</x:v>
      </x:c>
      <x:c r="L428" s="14" t="n">
        <x:f>(F428-$H428)/$H428*100</x:f>
        <x:v>0</x:v>
      </x:c>
      <x:c r="M428" s="14" t="n">
        <x:f>(G428-$H428)/$H428*100</x:f>
        <x:v>0</x:v>
      </x:c>
      <x:c r="N428" s="12" t="str">
        <x:f>IF(C428=$H428,"YES","NO")</x:f>
        <x:v>NO</x:v>
      </x:c>
      <x:c r="O428" s="12" t="str">
        <x:f>IF(D428=$H428,"YES","NO")</x:f>
        <x:v>NO</x:v>
      </x:c>
      <x:c r="P428" s="12" t="str">
        <x:f>IF(E428=$H428,"YES","NO")</x:f>
        <x:v>NO</x:v>
      </x:c>
      <x:c r="Q428" s="12" t="str">
        <x:f>IF(F428=$H428,"YES","NO")</x:f>
        <x:v>YES</x:v>
      </x:c>
      <x:c r="R428" s="12" t="str">
        <x:f>IF(G428=$H428,"YES","NO")</x:f>
        <x:v>YES</x:v>
      </x:c>
    </x:row>
    <x:row r="429">
      <x:c r="A429" s="44" t="str">
        <x:v>bpps_d200n100m5w40_60s20_40f1_seed0</x:v>
      </x:c>
      <x:c r="B429" s="12" t="n">
        <x:v>100</x:v>
      </x:c>
      <x:c r="C429" s="12" t="n">
        <x:v>589</x:v>
      </x:c>
      <x:c r="D429" s="12" t="n">
        <x:v>596</x:v>
      </x:c>
      <x:c r="E429" s="12" t="n">
        <x:v>558</x:v>
      </x:c>
      <x:c r="F429" s="12" t="n">
        <x:v>441</x:v>
      </x:c>
      <x:c r="G429" s="12" t="n">
        <x:v>420</x:v>
      </x:c>
      <x:c r="H429" s="12" t="n">
        <x:f>MIN(C429:G429)</x:f>
        <x:v>420</x:v>
      </x:c>
      <x:c r="I429" s="14" t="n">
        <x:f>(C429-$H429)/$H429*100</x:f>
        <x:v>40.23809523809524</x:v>
      </x:c>
      <x:c r="J429" s="14" t="n">
        <x:f>(D429-$H429)/$H429*100</x:f>
        <x:v>41.904761904761905</x:v>
      </x:c>
      <x:c r="K429" s="14" t="n">
        <x:f>(E429-$H429)/$H429*100</x:f>
        <x:v>32.857142857142854</x:v>
      </x:c>
      <x:c r="L429" s="14" t="n">
        <x:f>(F429-$H429)/$H429*100</x:f>
        <x:v>5</x:v>
      </x:c>
      <x:c r="M429" s="14" t="n">
        <x:f>(G429-$H429)/$H429*100</x:f>
        <x:v>0</x:v>
      </x:c>
      <x:c r="N429" s="12" t="str">
        <x:f>IF(C429=$H429,"YES","NO")</x:f>
        <x:v>NO</x:v>
      </x:c>
      <x:c r="O429" s="12" t="str">
        <x:f>IF(D429=$H429,"YES","NO")</x:f>
        <x:v>NO</x:v>
      </x:c>
      <x:c r="P429" s="12" t="str">
        <x:f>IF(E429=$H429,"YES","NO")</x:f>
        <x:v>NO</x:v>
      </x:c>
      <x:c r="Q429" s="12" t="str">
        <x:f>IF(F429=$H429,"YES","NO")</x:f>
        <x:v>NO</x:v>
      </x:c>
      <x:c r="R429" s="12" t="str">
        <x:f>IF(G429=$H429,"YES","NO")</x:f>
        <x:v>YES</x:v>
      </x:c>
    </x:row>
    <x:row r="430">
      <x:c r="A430" s="44" t="str">
        <x:v>bpps_d200n100m5w40_60s2_20f0_seed0</x:v>
      </x:c>
      <x:c r="B430" s="12" t="n">
        <x:v>100</x:v>
      </x:c>
      <x:c r="C430" s="12" t="n">
        <x:v>32</x:v>
      </x:c>
      <x:c r="D430" s="12" t="n">
        <x:v>32</x:v>
      </x:c>
      <x:c r="E430" s="12" t="n">
        <x:v>32</x:v>
      </x:c>
      <x:c r="F430" s="12" t="n">
        <x:v>31</x:v>
      </x:c>
      <x:c r="G430" s="12" t="n">
        <x:v>30</x:v>
      </x:c>
      <x:c r="H430" s="12" t="n">
        <x:f>MIN(C430:G430)</x:f>
        <x:v>30</x:v>
      </x:c>
      <x:c r="I430" s="14" t="n">
        <x:f>(C430-$H430)/$H430*100</x:f>
        <x:v>6.666666666666667</x:v>
      </x:c>
      <x:c r="J430" s="14" t="n">
        <x:f>(D430-$H430)/$H430*100</x:f>
        <x:v>6.666666666666667</x:v>
      </x:c>
      <x:c r="K430" s="14" t="n">
        <x:f>(E430-$H430)/$H430*100</x:f>
        <x:v>6.666666666666667</x:v>
      </x:c>
      <x:c r="L430" s="14" t="n">
        <x:f>(F430-$H430)/$H430*100</x:f>
        <x:v>3.3333333333333335</x:v>
      </x:c>
      <x:c r="M430" s="14" t="n">
        <x:f>(G430-$H430)/$H430*100</x:f>
        <x:v>0</x:v>
      </x:c>
      <x:c r="N430" s="12" t="str">
        <x:f>IF(C430=$H430,"YES","NO")</x:f>
        <x:v>NO</x:v>
      </x:c>
      <x:c r="O430" s="12" t="str">
        <x:f>IF(D430=$H430,"YES","NO")</x:f>
        <x:v>NO</x:v>
      </x:c>
      <x:c r="P430" s="12" t="str">
        <x:f>IF(E430=$H430,"YES","NO")</x:f>
        <x:v>NO</x:v>
      </x:c>
      <x:c r="Q430" s="12" t="str">
        <x:f>IF(F430=$H430,"YES","NO")</x:f>
        <x:v>NO</x:v>
      </x:c>
      <x:c r="R430" s="12" t="str">
        <x:f>IF(G430=$H430,"YES","NO")</x:f>
        <x:v>YES</x:v>
      </x:c>
    </x:row>
    <x:row r="431">
      <x:c r="A431" s="44" t="str">
        <x:v>bpps_d200n100m5w40_60s2_20f1_seed0</x:v>
      </x:c>
      <x:c r="B431" s="12" t="n">
        <x:v>100</x:v>
      </x:c>
      <x:c r="C431" s="12" t="n">
        <x:v>537</x:v>
      </x:c>
      <x:c r="D431" s="12" t="n">
        <x:v>540</x:v>
      </x:c>
      <x:c r="E431" s="12" t="n">
        <x:v>526</x:v>
      </x:c>
      <x:c r="F431" s="12" t="n">
        <x:v>412</x:v>
      </x:c>
      <x:c r="G431" s="12" t="n">
        <x:v>384</x:v>
      </x:c>
      <x:c r="H431" s="12" t="n">
        <x:f>MIN(C431:G431)</x:f>
        <x:v>384</x:v>
      </x:c>
      <x:c r="I431" s="14" t="n">
        <x:f>(C431-$H431)/$H431*100</x:f>
        <x:v>39.84375</x:v>
      </x:c>
      <x:c r="J431" s="14" t="n">
        <x:f>(D431-$H431)/$H431*100</x:f>
        <x:v>40.625</x:v>
      </x:c>
      <x:c r="K431" s="14" t="n">
        <x:f>(E431-$H431)/$H431*100</x:f>
        <x:v>36.97916666666667</x:v>
      </x:c>
      <x:c r="L431" s="14" t="n">
        <x:f>(F431-$H431)/$H431*100</x:f>
        <x:v>7.291666666666667</x:v>
      </x:c>
      <x:c r="M431" s="14" t="n">
        <x:f>(G431-$H431)/$H431*100</x:f>
        <x:v>0</x:v>
      </x:c>
      <x:c r="N431" s="12" t="str">
        <x:f>IF(C431=$H431,"YES","NO")</x:f>
        <x:v>NO</x:v>
      </x:c>
      <x:c r="O431" s="12" t="str">
        <x:f>IF(D431=$H431,"YES","NO")</x:f>
        <x:v>NO</x:v>
      </x:c>
      <x:c r="P431" s="12" t="str">
        <x:f>IF(E431=$H431,"YES","NO")</x:f>
        <x:v>NO</x:v>
      </x:c>
      <x:c r="Q431" s="12" t="str">
        <x:f>IF(F431=$H431,"YES","NO")</x:f>
        <x:v>NO</x:v>
      </x:c>
      <x:c r="R431" s="12" t="str">
        <x:f>IF(G431=$H431,"YES","NO")</x:f>
        <x:v>YES</x:v>
      </x:c>
    </x:row>
    <x:row r="432">
      <x:c r="A432" s="44" t="str">
        <x:v>bpps_d200n100m5w40_60s2_40f0_seed0</x:v>
      </x:c>
      <x:c r="B432" s="12" t="n">
        <x:v>100</x:v>
      </x:c>
      <x:c r="C432" s="12" t="n">
        <x:v>38</x:v>
      </x:c>
      <x:c r="D432" s="12" t="n">
        <x:v>37</x:v>
      </x:c>
      <x:c r="E432" s="12" t="n">
        <x:v>38</x:v>
      </x:c>
      <x:c r="F432" s="12" t="n">
        <x:v>33</x:v>
      </x:c>
      <x:c r="G432" s="12" t="n">
        <x:v>33</x:v>
      </x:c>
      <x:c r="H432" s="12" t="n">
        <x:f>MIN(C432:G432)</x:f>
        <x:v>33</x:v>
      </x:c>
      <x:c r="I432" s="14" t="n">
        <x:f>(C432-$H432)/$H432*100</x:f>
        <x:v>15.151515151515152</x:v>
      </x:c>
      <x:c r="J432" s="14" t="n">
        <x:f>(D432-$H432)/$H432*100</x:f>
        <x:v>12.121212121212121</x:v>
      </x:c>
      <x:c r="K432" s="14" t="n">
        <x:f>(E432-$H432)/$H432*100</x:f>
        <x:v>15.151515151515152</x:v>
      </x:c>
      <x:c r="L432" s="14" t="n">
        <x:f>(F432-$H432)/$H432*100</x:f>
        <x:v>0</x:v>
      </x:c>
      <x:c r="M432" s="14" t="n">
        <x:f>(G432-$H432)/$H432*100</x:f>
        <x:v>0</x:v>
      </x:c>
      <x:c r="N432" s="12" t="str">
        <x:f>IF(C432=$H432,"YES","NO")</x:f>
        <x:v>NO</x:v>
      </x:c>
      <x:c r="O432" s="12" t="str">
        <x:f>IF(D432=$H432,"YES","NO")</x:f>
        <x:v>NO</x:v>
      </x:c>
      <x:c r="P432" s="12" t="str">
        <x:f>IF(E432=$H432,"YES","NO")</x:f>
        <x:v>NO</x:v>
      </x:c>
      <x:c r="Q432" s="12" t="str">
        <x:f>IF(F432=$H432,"YES","NO")</x:f>
        <x:v>YES</x:v>
      </x:c>
      <x:c r="R432" s="12" t="str">
        <x:f>IF(G432=$H432,"YES","NO")</x:f>
        <x:v>YES</x:v>
      </x:c>
    </x:row>
    <x:row r="433">
      <x:c r="A433" s="44" t="str">
        <x:v>bpps_d200n100m5w40_60s2_40f1_seed0</x:v>
      </x:c>
      <x:c r="B433" s="12" t="n">
        <x:v>100</x:v>
      </x:c>
      <x:c r="C433" s="12" t="n">
        <x:v>586</x:v>
      </x:c>
      <x:c r="D433" s="12" t="n">
        <x:v>586</x:v>
      </x:c>
      <x:c r="E433" s="12" t="n">
        <x:v>567</x:v>
      </x:c>
      <x:c r="F433" s="12" t="n">
        <x:v>430</x:v>
      </x:c>
      <x:c r="G433" s="12" t="n">
        <x:v>410</x:v>
      </x:c>
      <x:c r="H433" s="12" t="n">
        <x:f>MIN(C433:G433)</x:f>
        <x:v>410</x:v>
      </x:c>
      <x:c r="I433" s="14" t="n">
        <x:f>(C433-$H433)/$H433*100</x:f>
        <x:v>42.926829268292686</x:v>
      </x:c>
      <x:c r="J433" s="14" t="n">
        <x:f>(D433-$H433)/$H433*100</x:f>
        <x:v>42.926829268292686</x:v>
      </x:c>
      <x:c r="K433" s="14" t="n">
        <x:f>(E433-$H433)/$H433*100</x:f>
        <x:v>38.29268292682927</x:v>
      </x:c>
      <x:c r="L433" s="14" t="n">
        <x:f>(F433-$H433)/$H433*100</x:f>
        <x:v>4.878048780487805</x:v>
      </x:c>
      <x:c r="M433" s="14" t="n">
        <x:f>(G433-$H433)/$H433*100</x:f>
        <x:v>0</x:v>
      </x:c>
      <x:c r="N433" s="12" t="str">
        <x:f>IF(C433=$H433,"YES","NO")</x:f>
        <x:v>NO</x:v>
      </x:c>
      <x:c r="O433" s="12" t="str">
        <x:f>IF(D433=$H433,"YES","NO")</x:f>
        <x:v>NO</x:v>
      </x:c>
      <x:c r="P433" s="12" t="str">
        <x:f>IF(E433=$H433,"YES","NO")</x:f>
        <x:v>NO</x:v>
      </x:c>
      <x:c r="Q433" s="12" t="str">
        <x:f>IF(F433=$H433,"YES","NO")</x:f>
        <x:v>NO</x:v>
      </x:c>
      <x:c r="R433" s="12" t="str">
        <x:f>IF(G433=$H433,"YES","NO")</x:f>
        <x:v>YES</x:v>
      </x:c>
    </x:row>
    <x:row r="434">
      <x:c r="A434" s="44" t="str">
        <x:v>bpps_d200n200m10w20_40s20_40f0_seed0</x:v>
      </x:c>
      <x:c r="B434" s="12" t="n">
        <x:v>200</x:v>
      </x:c>
      <x:c r="C434" s="12" t="n">
        <x:v>50</x:v>
      </x:c>
      <x:c r="D434" s="12" t="n">
        <x:v>50</x:v>
      </x:c>
      <x:c r="E434" s="12" t="n">
        <x:v>50</x:v>
      </x:c>
      <x:c r="F434" s="12" t="n">
        <x:v>39</x:v>
      </x:c>
      <x:c r="G434" s="12" t="n">
        <x:v>39</x:v>
      </x:c>
      <x:c r="H434" s="12" t="n">
        <x:f>MIN(C434:G434)</x:f>
        <x:v>39</x:v>
      </x:c>
      <x:c r="I434" s="14" t="n">
        <x:f>(C434-$H434)/$H434*100</x:f>
        <x:v>28.205128205128204</x:v>
      </x:c>
      <x:c r="J434" s="14" t="n">
        <x:f>(D434-$H434)/$H434*100</x:f>
        <x:v>28.205128205128204</x:v>
      </x:c>
      <x:c r="K434" s="14" t="n">
        <x:f>(E434-$H434)/$H434*100</x:f>
        <x:v>28.205128205128204</x:v>
      </x:c>
      <x:c r="L434" s="14" t="n">
        <x:f>(F434-$H434)/$H434*100</x:f>
        <x:v>0</x:v>
      </x:c>
      <x:c r="M434" s="14" t="n">
        <x:f>(G434-$H434)/$H434*100</x:f>
        <x:v>0</x:v>
      </x:c>
      <x:c r="N434" s="12" t="str">
        <x:f>IF(C434=$H434,"YES","NO")</x:f>
        <x:v>NO</x:v>
      </x:c>
      <x:c r="O434" s="12" t="str">
        <x:f>IF(D434=$H434,"YES","NO")</x:f>
        <x:v>NO</x:v>
      </x:c>
      <x:c r="P434" s="12" t="str">
        <x:f>IF(E434=$H434,"YES","NO")</x:f>
        <x:v>NO</x:v>
      </x:c>
      <x:c r="Q434" s="12" t="str">
        <x:f>IF(F434=$H434,"YES","NO")</x:f>
        <x:v>YES</x:v>
      </x:c>
      <x:c r="R434" s="12" t="str">
        <x:f>IF(G434=$H434,"YES","NO")</x:f>
        <x:v>YES</x:v>
      </x:c>
    </x:row>
    <x:row r="435">
      <x:c r="A435" s="44" t="str">
        <x:v>bpps_d200n200m10w20_40s20_40f1_seed0</x:v>
      </x:c>
      <x:c r="B435" s="12" t="n">
        <x:v>200</x:v>
      </x:c>
      <x:c r="C435" s="12" t="n">
        <x:v>980</x:v>
      </x:c>
      <x:c r="D435" s="12" t="n">
        <x:v>996</x:v>
      </x:c>
      <x:c r="E435" s="12" t="n">
        <x:v>935</x:v>
      </x:c>
      <x:c r="F435" s="12" t="n">
        <x:v>557</x:v>
      </x:c>
      <x:c r="G435" s="12" t="n">
        <x:v>507</x:v>
      </x:c>
      <x:c r="H435" s="12" t="n">
        <x:f>MIN(C435:G435)</x:f>
        <x:v>507</x:v>
      </x:c>
      <x:c r="I435" s="14" t="n">
        <x:f>(C435-$H435)/$H435*100</x:f>
        <x:v>93.29388560157791</x:v>
      </x:c>
      <x:c r="J435" s="14" t="n">
        <x:f>(D435-$H435)/$H435*100</x:f>
        <x:v>96.44970414201184</x:v>
      </x:c>
      <x:c r="K435" s="14" t="n">
        <x:f>(E435-$H435)/$H435*100</x:f>
        <x:v>84.41814595660749</x:v>
      </x:c>
      <x:c r="L435" s="14" t="n">
        <x:f>(F435-$H435)/$H435*100</x:f>
        <x:v>9.861932938856016</x:v>
      </x:c>
      <x:c r="M435" s="14" t="n">
        <x:f>(G435-$H435)/$H435*100</x:f>
        <x:v>0</x:v>
      </x:c>
      <x:c r="N435" s="12" t="str">
        <x:f>IF(C435=$H435,"YES","NO")</x:f>
        <x:v>NO</x:v>
      </x:c>
      <x:c r="O435" s="12" t="str">
        <x:f>IF(D435=$H435,"YES","NO")</x:f>
        <x:v>NO</x:v>
      </x:c>
      <x:c r="P435" s="12" t="str">
        <x:f>IF(E435=$H435,"YES","NO")</x:f>
        <x:v>NO</x:v>
      </x:c>
      <x:c r="Q435" s="12" t="str">
        <x:f>IF(F435=$H435,"YES","NO")</x:f>
        <x:v>NO</x:v>
      </x:c>
      <x:c r="R435" s="12" t="str">
        <x:f>IF(G435=$H435,"YES","NO")</x:f>
        <x:v>YES</x:v>
      </x:c>
    </x:row>
    <x:row r="436">
      <x:c r="A436" s="44" t="str">
        <x:v>bpps_d200n200m10w20_40s2_20f0_seed0</x:v>
      </x:c>
      <x:c r="B436" s="12" t="n">
        <x:v>200</x:v>
      </x:c>
      <x:c r="C436" s="12" t="n">
        <x:v>39</x:v>
      </x:c>
      <x:c r="D436" s="12" t="n">
        <x:v>38</x:v>
      </x:c>
      <x:c r="E436" s="12" t="n">
        <x:v>38</x:v>
      </x:c>
      <x:c r="F436" s="12" t="n">
        <x:v>34</x:v>
      </x:c>
      <x:c r="G436" s="12" t="n">
        <x:v>34</x:v>
      </x:c>
      <x:c r="H436" s="12" t="n">
        <x:f>MIN(C436:G436)</x:f>
        <x:v>34</x:v>
      </x:c>
      <x:c r="I436" s="14" t="n">
        <x:f>(C436-$H436)/$H436*100</x:f>
        <x:v>14.705882352941178</x:v>
      </x:c>
      <x:c r="J436" s="14" t="n">
        <x:f>(D436-$H436)/$H436*100</x:f>
        <x:v>11.76470588235294</x:v>
      </x:c>
      <x:c r="K436" s="14" t="n">
        <x:f>(E436-$H436)/$H436*100</x:f>
        <x:v>11.76470588235294</x:v>
      </x:c>
      <x:c r="L436" s="14" t="n">
        <x:f>(F436-$H436)/$H436*100</x:f>
        <x:v>0</x:v>
      </x:c>
      <x:c r="M436" s="14" t="n">
        <x:f>(G436-$H436)/$H436*100</x:f>
        <x:v>0</x:v>
      </x:c>
      <x:c r="N436" s="12" t="str">
        <x:f>IF(C436=$H436,"YES","NO")</x:f>
        <x:v>NO</x:v>
      </x:c>
      <x:c r="O436" s="12" t="str">
        <x:f>IF(D436=$H436,"YES","NO")</x:f>
        <x:v>NO</x:v>
      </x:c>
      <x:c r="P436" s="12" t="str">
        <x:f>IF(E436=$H436,"YES","NO")</x:f>
        <x:v>NO</x:v>
      </x:c>
      <x:c r="Q436" s="12" t="str">
        <x:f>IF(F436=$H436,"YES","NO")</x:f>
        <x:v>YES</x:v>
      </x:c>
      <x:c r="R436" s="12" t="str">
        <x:f>IF(G436=$H436,"YES","NO")</x:f>
        <x:v>YES</x:v>
      </x:c>
    </x:row>
    <x:row r="437">
      <x:c r="A437" s="44" t="str">
        <x:v>bpps_d200n200m10w20_40s2_20f1_seed0</x:v>
      </x:c>
      <x:c r="B437" s="12" t="n">
        <x:v>200</x:v>
      </x:c>
      <x:c r="C437" s="12" t="n">
        <x:v>882</x:v>
      </x:c>
      <x:c r="D437" s="12" t="n">
        <x:v>895</x:v>
      </x:c>
      <x:c r="E437" s="12" t="n">
        <x:v>857</x:v>
      </x:c>
      <x:c r="F437" s="12" t="n">
        <x:v>512</x:v>
      </x:c>
      <x:c r="G437" s="12" t="n">
        <x:v>449</x:v>
      </x:c>
      <x:c r="H437" s="12" t="n">
        <x:f>MIN(C437:G437)</x:f>
        <x:v>449</x:v>
      </x:c>
      <x:c r="I437" s="14" t="n">
        <x:f>(C437-$H437)/$H437*100</x:f>
        <x:v>96.43652561247215</x:v>
      </x:c>
      <x:c r="J437" s="14" t="n">
        <x:f>(D437-$H437)/$H437*100</x:f>
        <x:v>99.33184855233853</x:v>
      </x:c>
      <x:c r="K437" s="14" t="n">
        <x:f>(E437-$H437)/$H437*100</x:f>
        <x:v>90.8685968819599</x:v>
      </x:c>
      <x:c r="L437" s="14" t="n">
        <x:f>(F437-$H437)/$H437*100</x:f>
        <x:v>14.03118040089087</x:v>
      </x:c>
      <x:c r="M437" s="14" t="n">
        <x:f>(G437-$H437)/$H437*100</x:f>
        <x:v>0</x:v>
      </x:c>
      <x:c r="N437" s="12" t="str">
        <x:f>IF(C437=$H437,"YES","NO")</x:f>
        <x:v>NO</x:v>
      </x:c>
      <x:c r="O437" s="12" t="str">
        <x:f>IF(D437=$H437,"YES","NO")</x:f>
        <x:v>NO</x:v>
      </x:c>
      <x:c r="P437" s="12" t="str">
        <x:f>IF(E437=$H437,"YES","NO")</x:f>
        <x:v>NO</x:v>
      </x:c>
      <x:c r="Q437" s="12" t="str">
        <x:f>IF(F437=$H437,"YES","NO")</x:f>
        <x:v>NO</x:v>
      </x:c>
      <x:c r="R437" s="12" t="str">
        <x:f>IF(G437=$H437,"YES","NO")</x:f>
        <x:v>YES</x:v>
      </x:c>
    </x:row>
    <x:row r="438">
      <x:c r="A438" s="44" t="str">
        <x:v>bpps_d200n200m10w20_40s2_40f0_seed0</x:v>
      </x:c>
      <x:c r="B438" s="12" t="n">
        <x:v>200</x:v>
      </x:c>
      <x:c r="C438" s="12" t="n">
        <x:v>46</x:v>
      </x:c>
      <x:c r="D438" s="12" t="n">
        <x:v>46</x:v>
      </x:c>
      <x:c r="E438" s="12" t="n">
        <x:v>45</x:v>
      </x:c>
      <x:c r="F438" s="12" t="n">
        <x:v>37</x:v>
      </x:c>
      <x:c r="G438" s="12" t="n">
        <x:v>36</x:v>
      </x:c>
      <x:c r="H438" s="12" t="n">
        <x:f>MIN(C438:G438)</x:f>
        <x:v>36</x:v>
      </x:c>
      <x:c r="I438" s="14" t="n">
        <x:f>(C438-$H438)/$H438*100</x:f>
        <x:v>27.77777777777778</x:v>
      </x:c>
      <x:c r="J438" s="14" t="n">
        <x:f>(D438-$H438)/$H438*100</x:f>
        <x:v>27.77777777777778</x:v>
      </x:c>
      <x:c r="K438" s="14" t="n">
        <x:f>(E438-$H438)/$H438*100</x:f>
        <x:v>25</x:v>
      </x:c>
      <x:c r="L438" s="14" t="n">
        <x:f>(F438-$H438)/$H438*100</x:f>
        <x:v>2.7777777777777777</x:v>
      </x:c>
      <x:c r="M438" s="14" t="n">
        <x:f>(G438-$H438)/$H438*100</x:f>
        <x:v>0</x:v>
      </x:c>
      <x:c r="N438" s="12" t="str">
        <x:f>IF(C438=$H438,"YES","NO")</x:f>
        <x:v>NO</x:v>
      </x:c>
      <x:c r="O438" s="12" t="str">
        <x:f>IF(D438=$H438,"YES","NO")</x:f>
        <x:v>NO</x:v>
      </x:c>
      <x:c r="P438" s="12" t="str">
        <x:f>IF(E438=$H438,"YES","NO")</x:f>
        <x:v>NO</x:v>
      </x:c>
      <x:c r="Q438" s="12" t="str">
        <x:f>IF(F438=$H438,"YES","NO")</x:f>
        <x:v>NO</x:v>
      </x:c>
      <x:c r="R438" s="12" t="str">
        <x:f>IF(G438=$H438,"YES","NO")</x:f>
        <x:v>YES</x:v>
      </x:c>
    </x:row>
    <x:row r="439">
      <x:c r="A439" s="44" t="str">
        <x:v>bpps_d200n200m10w20_40s2_40f1_seed0</x:v>
      </x:c>
      <x:c r="B439" s="12" t="n">
        <x:v>200</x:v>
      </x:c>
      <x:c r="C439" s="12" t="n">
        <x:v>904</x:v>
      </x:c>
      <x:c r="D439" s="12" t="n">
        <x:v>954</x:v>
      </x:c>
      <x:c r="E439" s="12" t="n">
        <x:v>901</x:v>
      </x:c>
      <x:c r="F439" s="12" t="n">
        <x:v>518</x:v>
      </x:c>
      <x:c r="G439" s="12" t="n">
        <x:v>491</x:v>
      </x:c>
      <x:c r="H439" s="12" t="n">
        <x:f>MIN(C439:G439)</x:f>
        <x:v>491</x:v>
      </x:c>
      <x:c r="I439" s="14" t="n">
        <x:f>(C439-$H439)/$H439*100</x:f>
        <x:v>84.11405295315683</x:v>
      </x:c>
      <x:c r="J439" s="14" t="n">
        <x:f>(D439-$H439)/$H439*100</x:f>
        <x:v>94.29735234215886</x:v>
      </x:c>
      <x:c r="K439" s="14" t="n">
        <x:f>(E439-$H439)/$H439*100</x:f>
        <x:v>83.5030549898167</x:v>
      </x:c>
      <x:c r="L439" s="14" t="n">
        <x:f>(F439-$H439)/$H439*100</x:f>
        <x:v>5.4989816700611</x:v>
      </x:c>
      <x:c r="M439" s="14" t="n">
        <x:f>(G439-$H439)/$H439*100</x:f>
        <x:v>0</x:v>
      </x:c>
      <x:c r="N439" s="12" t="str">
        <x:f>IF(C439=$H439,"YES","NO")</x:f>
        <x:v>NO</x:v>
      </x:c>
      <x:c r="O439" s="12" t="str">
        <x:f>IF(D439=$H439,"YES","NO")</x:f>
        <x:v>NO</x:v>
      </x:c>
      <x:c r="P439" s="12" t="str">
        <x:f>IF(E439=$H439,"YES","NO")</x:f>
        <x:v>NO</x:v>
      </x:c>
      <x:c r="Q439" s="12" t="str">
        <x:f>IF(F439=$H439,"YES","NO")</x:f>
        <x:v>NO</x:v>
      </x:c>
      <x:c r="R439" s="12" t="str">
        <x:f>IF(G439=$H439,"YES","NO")</x:f>
        <x:v>YES</x:v>
      </x:c>
    </x:row>
    <x:row r="440">
      <x:c r="A440" s="44" t="str">
        <x:v>bpps_d200n200m10w2_20s20_40f0_seed0</x:v>
      </x:c>
      <x:c r="B440" s="12" t="n">
        <x:v>200</x:v>
      </x:c>
      <x:c r="C440" s="12" t="n">
        <x:v>26</x:v>
      </x:c>
      <x:c r="D440" s="12" t="n">
        <x:v>27</x:v>
      </x:c>
      <x:c r="E440" s="12" t="n">
        <x:v>24</x:v>
      </x:c>
      <x:c r="F440" s="12" t="n">
        <x:v>21</x:v>
      </x:c>
      <x:c r="G440" s="12" t="n">
        <x:v>17</x:v>
      </x:c>
      <x:c r="H440" s="12" t="n">
        <x:f>MIN(C440:G440)</x:f>
        <x:v>17</x:v>
      </x:c>
      <x:c r="I440" s="14" t="n">
        <x:f>(C440-$H440)/$H440*100</x:f>
        <x:v>52.94117647058824</x:v>
      </x:c>
      <x:c r="J440" s="14" t="n">
        <x:f>(D440-$H440)/$H440*100</x:f>
        <x:v>58.82352941176471</x:v>
      </x:c>
      <x:c r="K440" s="14" t="n">
        <x:f>(E440-$H440)/$H440*100</x:f>
        <x:v>41.17647058823529</x:v>
      </x:c>
      <x:c r="L440" s="14" t="n">
        <x:f>(F440-$H440)/$H440*100</x:f>
        <x:v>23.52941176470588</x:v>
      </x:c>
      <x:c r="M440" s="14" t="n">
        <x:f>(G440-$H440)/$H440*100</x:f>
        <x:v>0</x:v>
      </x:c>
      <x:c r="N440" s="12" t="str">
        <x:f>IF(C440=$H440,"YES","NO")</x:f>
        <x:v>NO</x:v>
      </x:c>
      <x:c r="O440" s="12" t="str">
        <x:f>IF(D440=$H440,"YES","NO")</x:f>
        <x:v>NO</x:v>
      </x:c>
      <x:c r="P440" s="12" t="str">
        <x:f>IF(E440=$H440,"YES","NO")</x:f>
        <x:v>NO</x:v>
      </x:c>
      <x:c r="Q440" s="12" t="str">
        <x:f>IF(F440=$H440,"YES","NO")</x:f>
        <x:v>NO</x:v>
      </x:c>
      <x:c r="R440" s="12" t="str">
        <x:f>IF(G440=$H440,"YES","NO")</x:f>
        <x:v>YES</x:v>
      </x:c>
    </x:row>
    <x:row r="441">
      <x:c r="A441" s="44" t="str">
        <x:v>bpps_d200n200m10w2_20s20_40f1_seed0</x:v>
      </x:c>
      <x:c r="B441" s="12" t="n">
        <x:v>200</x:v>
      </x:c>
      <x:c r="C441" s="12" t="n">
        <x:v>596</x:v>
      </x:c>
      <x:c r="D441" s="12" t="n">
        <x:v>616</x:v>
      </x:c>
      <x:c r="E441" s="12" t="n">
        <x:v>533</x:v>
      </x:c>
      <x:c r="F441" s="12" t="n">
        <x:v>328</x:v>
      </x:c>
      <x:c r="G441" s="12" t="n">
        <x:v>279</x:v>
      </x:c>
      <x:c r="H441" s="12" t="n">
        <x:f>MIN(C441:G441)</x:f>
        <x:v>279</x:v>
      </x:c>
      <x:c r="I441" s="14" t="n">
        <x:f>(C441-$H441)/$H441*100</x:f>
        <x:v>113.62007168458781</x:v>
      </x:c>
      <x:c r="J441" s="14" t="n">
        <x:f>(D441-$H441)/$H441*100</x:f>
        <x:v>120.78853046594982</x:v>
      </x:c>
      <x:c r="K441" s="14" t="n">
        <x:f>(E441-$H441)/$H441*100</x:f>
        <x:v>91.0394265232975</x:v>
      </x:c>
      <x:c r="L441" s="14" t="n">
        <x:f>(F441-$H441)/$H441*100</x:f>
        <x:v>17.562724014336915</x:v>
      </x:c>
      <x:c r="M441" s="14" t="n">
        <x:f>(G441-$H441)/$H441*100</x:f>
        <x:v>0</x:v>
      </x:c>
      <x:c r="N441" s="12" t="str">
        <x:f>IF(C441=$H441,"YES","NO")</x:f>
        <x:v>NO</x:v>
      </x:c>
      <x:c r="O441" s="12" t="str">
        <x:f>IF(D441=$H441,"YES","NO")</x:f>
        <x:v>NO</x:v>
      </x:c>
      <x:c r="P441" s="12" t="str">
        <x:f>IF(E441=$H441,"YES","NO")</x:f>
        <x:v>NO</x:v>
      </x:c>
      <x:c r="Q441" s="12" t="str">
        <x:f>IF(F441=$H441,"YES","NO")</x:f>
        <x:v>NO</x:v>
      </x:c>
      <x:c r="R441" s="12" t="str">
        <x:f>IF(G441=$H441,"YES","NO")</x:f>
        <x:v>YES</x:v>
      </x:c>
    </x:row>
    <x:row r="442">
      <x:c r="A442" s="44" t="str">
        <x:v>bpps_d200n200m10w2_20s2_20f0_seed0</x:v>
      </x:c>
      <x:c r="B442" s="12" t="n">
        <x:v>200</x:v>
      </x:c>
      <x:c r="C442" s="12" t="n">
        <x:v>16</x:v>
      </x:c>
      <x:c r="D442" s="12" t="n">
        <x:v>16</x:v>
      </x:c>
      <x:c r="E442" s="12" t="n">
        <x:v>15</x:v>
      </x:c>
      <x:c r="F442" s="12" t="n">
        <x:v>22</x:v>
      </x:c>
      <x:c r="G442" s="12" t="n">
        <x:v>14</x:v>
      </x:c>
      <x:c r="H442" s="12" t="n">
        <x:f>MIN(C442:G442)</x:f>
        <x:v>14</x:v>
      </x:c>
      <x:c r="I442" s="14" t="n">
        <x:f>(C442-$H442)/$H442*100</x:f>
        <x:v>14.285714285714285</x:v>
      </x:c>
      <x:c r="J442" s="14" t="n">
        <x:f>(D442-$H442)/$H442*100</x:f>
        <x:v>14.285714285714285</x:v>
      </x:c>
      <x:c r="K442" s="14" t="n">
        <x:f>(E442-$H442)/$H442*100</x:f>
        <x:v>7.142857142857142</x:v>
      </x:c>
      <x:c r="L442" s="14" t="n">
        <x:f>(F442-$H442)/$H442*100</x:f>
        <x:v>57.14285714285714</x:v>
      </x:c>
      <x:c r="M442" s="14" t="n">
        <x:f>(G442-$H442)/$H442*100</x:f>
        <x:v>0</x:v>
      </x:c>
      <x:c r="N442" s="12" t="str">
        <x:f>IF(C442=$H442,"YES","NO")</x:f>
        <x:v>NO</x:v>
      </x:c>
      <x:c r="O442" s="12" t="str">
        <x:f>IF(D442=$H442,"YES","NO")</x:f>
        <x:v>NO</x:v>
      </x:c>
      <x:c r="P442" s="12" t="str">
        <x:f>IF(E442=$H442,"YES","NO")</x:f>
        <x:v>NO</x:v>
      </x:c>
      <x:c r="Q442" s="12" t="str">
        <x:f>IF(F442=$H442,"YES","NO")</x:f>
        <x:v>NO</x:v>
      </x:c>
      <x:c r="R442" s="12" t="str">
        <x:f>IF(G442=$H442,"YES","NO")</x:f>
        <x:v>YES</x:v>
      </x:c>
    </x:row>
    <x:row r="443">
      <x:c r="A443" s="44" t="str">
        <x:v>bpps_d200n200m10w2_20s2_20f1_seed0</x:v>
      </x:c>
      <x:c r="B443" s="12" t="n">
        <x:v>200</x:v>
      </x:c>
      <x:c r="C443" s="12" t="n">
        <x:v>519</x:v>
      </x:c>
      <x:c r="D443" s="12" t="n">
        <x:v>524</x:v>
      </x:c>
      <x:c r="E443" s="12" t="n">
        <x:v>452</x:v>
      </x:c>
      <x:c r="F443" s="12" t="n">
        <x:v>337</x:v>
      </x:c>
      <x:c r="G443" s="12" t="n">
        <x:v>260</x:v>
      </x:c>
      <x:c r="H443" s="12" t="n">
        <x:f>MIN(C443:G443)</x:f>
        <x:v>260</x:v>
      </x:c>
      <x:c r="I443" s="14" t="n">
        <x:f>(C443-$H443)/$H443*100</x:f>
        <x:v>99.61538461538461</x:v>
      </x:c>
      <x:c r="J443" s="14" t="n">
        <x:f>(D443-$H443)/$H443*100</x:f>
        <x:v>101.53846153846153</x:v>
      </x:c>
      <x:c r="K443" s="14" t="n">
        <x:f>(E443-$H443)/$H443*100</x:f>
        <x:v>73.84615384615385</x:v>
      </x:c>
      <x:c r="L443" s="14" t="n">
        <x:f>(F443-$H443)/$H443*100</x:f>
        <x:v>29.615384615384617</x:v>
      </x:c>
      <x:c r="M443" s="14" t="n">
        <x:f>(G443-$H443)/$H443*100</x:f>
        <x:v>0</x:v>
      </x:c>
      <x:c r="N443" s="12" t="str">
        <x:f>IF(C443=$H443,"YES","NO")</x:f>
        <x:v>NO</x:v>
      </x:c>
      <x:c r="O443" s="12" t="str">
        <x:f>IF(D443=$H443,"YES","NO")</x:f>
        <x:v>NO</x:v>
      </x:c>
      <x:c r="P443" s="12" t="str">
        <x:f>IF(E443=$H443,"YES","NO")</x:f>
        <x:v>NO</x:v>
      </x:c>
      <x:c r="Q443" s="12" t="str">
        <x:f>IF(F443=$H443,"YES","NO")</x:f>
        <x:v>NO</x:v>
      </x:c>
      <x:c r="R443" s="12" t="str">
        <x:f>IF(G443=$H443,"YES","NO")</x:f>
        <x:v>YES</x:v>
      </x:c>
    </x:row>
    <x:row r="444">
      <x:c r="A444" s="44" t="str">
        <x:v>bpps_d200n200m10w2_20s2_40f0_seed0</x:v>
      </x:c>
      <x:c r="B444" s="12" t="n">
        <x:v>200</x:v>
      </x:c>
      <x:c r="C444" s="12" t="n">
        <x:v>21</x:v>
      </x:c>
      <x:c r="D444" s="12" t="n">
        <x:v>21</x:v>
      </x:c>
      <x:c r="E444" s="12" t="n">
        <x:v>19</x:v>
      </x:c>
      <x:c r="F444" s="12" t="n">
        <x:v>20</x:v>
      </x:c>
      <x:c r="G444" s="12" t="n">
        <x:v>15</x:v>
      </x:c>
      <x:c r="H444" s="12" t="n">
        <x:f>MIN(C444:G444)</x:f>
        <x:v>15</x:v>
      </x:c>
      <x:c r="I444" s="14" t="n">
        <x:f>(C444-$H444)/$H444*100</x:f>
        <x:v>40</x:v>
      </x:c>
      <x:c r="J444" s="14" t="n">
        <x:f>(D444-$H444)/$H444*100</x:f>
        <x:v>40</x:v>
      </x:c>
      <x:c r="K444" s="14" t="n">
        <x:f>(E444-$H444)/$H444*100</x:f>
        <x:v>26.666666666666668</x:v>
      </x:c>
      <x:c r="L444" s="14" t="n">
        <x:f>(F444-$H444)/$H444*100</x:f>
        <x:v>33.33333333333333</x:v>
      </x:c>
      <x:c r="M444" s="14" t="n">
        <x:f>(G444-$H444)/$H444*100</x:f>
        <x:v>0</x:v>
      </x:c>
      <x:c r="N444" s="12" t="str">
        <x:f>IF(C444=$H444,"YES","NO")</x:f>
        <x:v>NO</x:v>
      </x:c>
      <x:c r="O444" s="12" t="str">
        <x:f>IF(D444=$H444,"YES","NO")</x:f>
        <x:v>NO</x:v>
      </x:c>
      <x:c r="P444" s="12" t="str">
        <x:f>IF(E444=$H444,"YES","NO")</x:f>
        <x:v>NO</x:v>
      </x:c>
      <x:c r="Q444" s="12" t="str">
        <x:f>IF(F444=$H444,"YES","NO")</x:f>
        <x:v>NO</x:v>
      </x:c>
      <x:c r="R444" s="12" t="str">
        <x:f>IF(G444=$H444,"YES","NO")</x:f>
        <x:v>YES</x:v>
      </x:c>
    </x:row>
    <x:row r="445">
      <x:c r="A445" s="44" t="str">
        <x:v>bpps_d200n200m10w2_20s2_40f1_seed0</x:v>
      </x:c>
      <x:c r="B445" s="12" t="n">
        <x:v>200</x:v>
      </x:c>
      <x:c r="C445" s="12" t="n">
        <x:v>595</x:v>
      </x:c>
      <x:c r="D445" s="12" t="n">
        <x:v>626</x:v>
      </x:c>
      <x:c r="E445" s="12" t="n">
        <x:v>540</x:v>
      </x:c>
      <x:c r="F445" s="12" t="n">
        <x:v>323</x:v>
      </x:c>
      <x:c r="G445" s="12" t="n">
        <x:v>265</x:v>
      </x:c>
      <x:c r="H445" s="12" t="n">
        <x:f>MIN(C445:G445)</x:f>
        <x:v>265</x:v>
      </x:c>
      <x:c r="I445" s="14" t="n">
        <x:f>(C445-$H445)/$H445*100</x:f>
        <x:v>124.52830188679245</x:v>
      </x:c>
      <x:c r="J445" s="14" t="n">
        <x:f>(D445-$H445)/$H445*100</x:f>
        <x:v>136.22641509433961</x:v>
      </x:c>
      <x:c r="K445" s="14" t="n">
        <x:f>(E445-$H445)/$H445*100</x:f>
        <x:v>103.77358490566037</x:v>
      </x:c>
      <x:c r="L445" s="14" t="n">
        <x:f>(F445-$H445)/$H445*100</x:f>
        <x:v>21.88679245283019</x:v>
      </x:c>
      <x:c r="M445" s="14" t="n">
        <x:f>(G445-$H445)/$H445*100</x:f>
        <x:v>0</x:v>
      </x:c>
      <x:c r="N445" s="12" t="str">
        <x:f>IF(C445=$H445,"YES","NO")</x:f>
        <x:v>NO</x:v>
      </x:c>
      <x:c r="O445" s="12" t="str">
        <x:f>IF(D445=$H445,"YES","NO")</x:f>
        <x:v>NO</x:v>
      </x:c>
      <x:c r="P445" s="12" t="str">
        <x:f>IF(E445=$H445,"YES","NO")</x:f>
        <x:v>NO</x:v>
      </x:c>
      <x:c r="Q445" s="12" t="str">
        <x:f>IF(F445=$H445,"YES","NO")</x:f>
        <x:v>NO</x:v>
      </x:c>
      <x:c r="R445" s="12" t="str">
        <x:f>IF(G445=$H445,"YES","NO")</x:f>
        <x:v>YES</x:v>
      </x:c>
    </x:row>
    <x:row r="446">
      <x:c r="A446" s="44" t="str">
        <x:v>bpps_d200n200m10w2_60s20_40f0_seed0</x:v>
      </x:c>
      <x:c r="B446" s="12" t="n">
        <x:v>200</x:v>
      </x:c>
      <x:c r="C446" s="12" t="n">
        <x:v>49</x:v>
      </x:c>
      <x:c r="D446" s="12" t="n">
        <x:v>49</x:v>
      </x:c>
      <x:c r="E446" s="12" t="n">
        <x:v>47</x:v>
      </x:c>
      <x:c r="F446" s="12" t="n">
        <x:v>42</x:v>
      </x:c>
      <x:c r="G446" s="12" t="n">
        <x:v>41</x:v>
      </x:c>
      <x:c r="H446" s="12" t="n">
        <x:f>MIN(C446:G446)</x:f>
        <x:v>41</x:v>
      </x:c>
      <x:c r="I446" s="14" t="n">
        <x:f>(C446-$H446)/$H446*100</x:f>
        <x:v>19.51219512195122</x:v>
      </x:c>
      <x:c r="J446" s="14" t="n">
        <x:f>(D446-$H446)/$H446*100</x:f>
        <x:v>19.51219512195122</x:v>
      </x:c>
      <x:c r="K446" s="14" t="n">
        <x:f>(E446-$H446)/$H446*100</x:f>
        <x:v>14.634146341463413</x:v>
      </x:c>
      <x:c r="L446" s="14" t="n">
        <x:f>(F446-$H446)/$H446*100</x:f>
        <x:v>2.4390243902439024</x:v>
      </x:c>
      <x:c r="M446" s="14" t="n">
        <x:f>(G446-$H446)/$H446*100</x:f>
        <x:v>0</x:v>
      </x:c>
      <x:c r="N446" s="12" t="str">
        <x:f>IF(C446=$H446,"YES","NO")</x:f>
        <x:v>NO</x:v>
      </x:c>
      <x:c r="O446" s="12" t="str">
        <x:f>IF(D446=$H446,"YES","NO")</x:f>
        <x:v>NO</x:v>
      </x:c>
      <x:c r="P446" s="12" t="str">
        <x:f>IF(E446=$H446,"YES","NO")</x:f>
        <x:v>NO</x:v>
      </x:c>
      <x:c r="Q446" s="12" t="str">
        <x:f>IF(F446=$H446,"YES","NO")</x:f>
        <x:v>NO</x:v>
      </x:c>
      <x:c r="R446" s="12" t="str">
        <x:f>IF(G446=$H446,"YES","NO")</x:f>
        <x:v>YES</x:v>
      </x:c>
    </x:row>
    <x:row r="447">
      <x:c r="A447" s="44" t="str">
        <x:v>bpps_d200n200m10w2_60s20_40f1_seed0</x:v>
      </x:c>
      <x:c r="B447" s="12" t="n">
        <x:v>200</x:v>
      </x:c>
      <x:c r="C447" s="12" t="n">
        <x:v>851</x:v>
      </x:c>
      <x:c r="D447" s="12" t="n">
        <x:v>855</x:v>
      </x:c>
      <x:c r="E447" s="12" t="n">
        <x:v>831</x:v>
      </x:c>
      <x:c r="F447" s="12" t="n">
        <x:v>591</x:v>
      </x:c>
      <x:c r="G447" s="12" t="n">
        <x:v>549</x:v>
      </x:c>
      <x:c r="H447" s="12" t="n">
        <x:f>MIN(C447:G447)</x:f>
        <x:v>549</x:v>
      </x:c>
      <x:c r="I447" s="14" t="n">
        <x:f>(C447-$H447)/$H447*100</x:f>
        <x:v>55.009107468123865</x:v>
      </x:c>
      <x:c r="J447" s="14" t="n">
        <x:f>(D447-$H447)/$H447*100</x:f>
        <x:v>55.73770491803278</x:v>
      </x:c>
      <x:c r="K447" s="14" t="n">
        <x:f>(E447-$H447)/$H447*100</x:f>
        <x:v>51.36612021857923</x:v>
      </x:c>
      <x:c r="L447" s="14" t="n">
        <x:f>(F447-$H447)/$H447*100</x:f>
        <x:v>7.650273224043716</x:v>
      </x:c>
      <x:c r="M447" s="14" t="n">
        <x:f>(G447-$H447)/$H447*100</x:f>
        <x:v>0</x:v>
      </x:c>
      <x:c r="N447" s="12" t="str">
        <x:f>IF(C447=$H447,"YES","NO")</x:f>
        <x:v>NO</x:v>
      </x:c>
      <x:c r="O447" s="12" t="str">
        <x:f>IF(D447=$H447,"YES","NO")</x:f>
        <x:v>NO</x:v>
      </x:c>
      <x:c r="P447" s="12" t="str">
        <x:f>IF(E447=$H447,"YES","NO")</x:f>
        <x:v>NO</x:v>
      </x:c>
      <x:c r="Q447" s="12" t="str">
        <x:f>IF(F447=$H447,"YES","NO")</x:f>
        <x:v>NO</x:v>
      </x:c>
      <x:c r="R447" s="12" t="str">
        <x:f>IF(G447=$H447,"YES","NO")</x:f>
        <x:v>YES</x:v>
      </x:c>
    </x:row>
    <x:row r="448">
      <x:c r="A448" s="44" t="str">
        <x:v>bpps_d200n200m10w2_60s2_20f0_seed0</x:v>
      </x:c>
      <x:c r="B448" s="12" t="n">
        <x:v>200</x:v>
      </x:c>
      <x:c r="C448" s="12" t="n">
        <x:v>39</x:v>
      </x:c>
      <x:c r="D448" s="12" t="n">
        <x:v>39</x:v>
      </x:c>
      <x:c r="E448" s="12" t="n">
        <x:v>38</x:v>
      </x:c>
      <x:c r="F448" s="12" t="n">
        <x:v>38</x:v>
      </x:c>
      <x:c r="G448" s="12" t="n">
        <x:v>36</x:v>
      </x:c>
      <x:c r="H448" s="12" t="n">
        <x:f>MIN(C448:G448)</x:f>
        <x:v>36</x:v>
      </x:c>
      <x:c r="I448" s="14" t="n">
        <x:f>(C448-$H448)/$H448*100</x:f>
        <x:v>8.333333333333332</x:v>
      </x:c>
      <x:c r="J448" s="14" t="n">
        <x:f>(D448-$H448)/$H448*100</x:f>
        <x:v>8.333333333333332</x:v>
      </x:c>
      <x:c r="K448" s="14" t="n">
        <x:f>(E448-$H448)/$H448*100</x:f>
        <x:v>5.555555555555555</x:v>
      </x:c>
      <x:c r="L448" s="14" t="n">
        <x:f>(F448-$H448)/$H448*100</x:f>
        <x:v>5.555555555555555</x:v>
      </x:c>
      <x:c r="M448" s="14" t="n">
        <x:f>(G448-$H448)/$H448*100</x:f>
        <x:v>0</x:v>
      </x:c>
      <x:c r="N448" s="12" t="str">
        <x:f>IF(C448=$H448,"YES","NO")</x:f>
        <x:v>NO</x:v>
      </x:c>
      <x:c r="O448" s="12" t="str">
        <x:f>IF(D448=$H448,"YES","NO")</x:f>
        <x:v>NO</x:v>
      </x:c>
      <x:c r="P448" s="12" t="str">
        <x:f>IF(E448=$H448,"YES","NO")</x:f>
        <x:v>NO</x:v>
      </x:c>
      <x:c r="Q448" s="12" t="str">
        <x:f>IF(F448=$H448,"YES","NO")</x:f>
        <x:v>NO</x:v>
      </x:c>
      <x:c r="R448" s="12" t="str">
        <x:f>IF(G448=$H448,"YES","NO")</x:f>
        <x:v>YES</x:v>
      </x:c>
    </x:row>
    <x:row r="449">
      <x:c r="A449" s="44" t="str">
        <x:v>bpps_d200n200m10w2_60s2_20f1_seed0</x:v>
      </x:c>
      <x:c r="B449" s="12" t="n">
        <x:v>200</x:v>
      </x:c>
      <x:c r="C449" s="12" t="n">
        <x:v>830</x:v>
      </x:c>
      <x:c r="D449" s="12" t="n">
        <x:v>838</x:v>
      </x:c>
      <x:c r="E449" s="12" t="n">
        <x:v>801</x:v>
      </x:c>
      <x:c r="F449" s="12" t="n">
        <x:v>546</x:v>
      </x:c>
      <x:c r="G449" s="12" t="n">
        <x:v>494</x:v>
      </x:c>
      <x:c r="H449" s="12" t="n">
        <x:f>MIN(C449:G449)</x:f>
        <x:v>494</x:v>
      </x:c>
      <x:c r="I449" s="14" t="n">
        <x:f>(C449-$H449)/$H449*100</x:f>
        <x:v>68.0161943319838</x:v>
      </x:c>
      <x:c r="J449" s="14" t="n">
        <x:f>(D449-$H449)/$H449*100</x:f>
        <x:v>69.63562753036437</x:v>
      </x:c>
      <x:c r="K449" s="14" t="n">
        <x:f>(E449-$H449)/$H449*100</x:f>
        <x:v>62.145748987854255</x:v>
      </x:c>
      <x:c r="L449" s="14" t="n">
        <x:f>(F449-$H449)/$H449*100</x:f>
        <x:v>10.526315789473683</x:v>
      </x:c>
      <x:c r="M449" s="14" t="n">
        <x:f>(G449-$H449)/$H449*100</x:f>
        <x:v>0</x:v>
      </x:c>
      <x:c r="N449" s="12" t="str">
        <x:f>IF(C449=$H449,"YES","NO")</x:f>
        <x:v>NO</x:v>
      </x:c>
      <x:c r="O449" s="12" t="str">
        <x:f>IF(D449=$H449,"YES","NO")</x:f>
        <x:v>NO</x:v>
      </x:c>
      <x:c r="P449" s="12" t="str">
        <x:f>IF(E449=$H449,"YES","NO")</x:f>
        <x:v>NO</x:v>
      </x:c>
      <x:c r="Q449" s="12" t="str">
        <x:f>IF(F449=$H449,"YES","NO")</x:f>
        <x:v>NO</x:v>
      </x:c>
      <x:c r="R449" s="12" t="str">
        <x:f>IF(G449=$H449,"YES","NO")</x:f>
        <x:v>YES</x:v>
      </x:c>
    </x:row>
    <x:row r="450">
      <x:c r="A450" s="44" t="str">
        <x:v>bpps_d200n200m10w2_60s2_40f0_seed0</x:v>
      </x:c>
      <x:c r="B450" s="12" t="n">
        <x:v>200</x:v>
      </x:c>
      <x:c r="C450" s="12" t="n">
        <x:v>44</x:v>
      </x:c>
      <x:c r="D450" s="12" t="n">
        <x:v>44</x:v>
      </x:c>
      <x:c r="E450" s="12" t="n">
        <x:v>43</x:v>
      </x:c>
      <x:c r="F450" s="12" t="n">
        <x:v>39</x:v>
      </x:c>
      <x:c r="G450" s="12" t="n">
        <x:v>38</x:v>
      </x:c>
      <x:c r="H450" s="12" t="n">
        <x:f>MIN(C450:G450)</x:f>
        <x:v>38</x:v>
      </x:c>
      <x:c r="I450" s="14" t="n">
        <x:f>(C450-$H450)/$H450*100</x:f>
        <x:v>15.789473684210526</x:v>
      </x:c>
      <x:c r="J450" s="14" t="n">
        <x:f>(D450-$H450)/$H450*100</x:f>
        <x:v>15.789473684210526</x:v>
      </x:c>
      <x:c r="K450" s="14" t="n">
        <x:f>(E450-$H450)/$H450*100</x:f>
        <x:v>13.157894736842104</x:v>
      </x:c>
      <x:c r="L450" s="14" t="n">
        <x:f>(F450-$H450)/$H450*100</x:f>
        <x:v>2.631578947368421</x:v>
      </x:c>
      <x:c r="M450" s="14" t="n">
        <x:f>(G450-$H450)/$H450*100</x:f>
        <x:v>0</x:v>
      </x:c>
      <x:c r="N450" s="12" t="str">
        <x:f>IF(C450=$H450,"YES","NO")</x:f>
        <x:v>NO</x:v>
      </x:c>
      <x:c r="O450" s="12" t="str">
        <x:f>IF(D450=$H450,"YES","NO")</x:f>
        <x:v>NO</x:v>
      </x:c>
      <x:c r="P450" s="12" t="str">
        <x:f>IF(E450=$H450,"YES","NO")</x:f>
        <x:v>NO</x:v>
      </x:c>
      <x:c r="Q450" s="12" t="str">
        <x:f>IF(F450=$H450,"YES","NO")</x:f>
        <x:v>NO</x:v>
      </x:c>
      <x:c r="R450" s="12" t="str">
        <x:f>IF(G450=$H450,"YES","NO")</x:f>
        <x:v>YES</x:v>
      </x:c>
    </x:row>
    <x:row r="451">
      <x:c r="A451" s="44" t="str">
        <x:v>bpps_d200n200m10w2_60s2_40f1_seed0</x:v>
      </x:c>
      <x:c r="B451" s="12" t="n">
        <x:v>200</x:v>
      </x:c>
      <x:c r="C451" s="12" t="n">
        <x:v>870</x:v>
      </x:c>
      <x:c r="D451" s="12" t="n">
        <x:v>871</x:v>
      </x:c>
      <x:c r="E451" s="12" t="n">
        <x:v>832</x:v>
      </x:c>
      <x:c r="F451" s="12" t="n">
        <x:v>574</x:v>
      </x:c>
      <x:c r="G451" s="12" t="n">
        <x:v>519</x:v>
      </x:c>
      <x:c r="H451" s="12" t="n">
        <x:f>MIN(C451:G451)</x:f>
        <x:v>519</x:v>
      </x:c>
      <x:c r="I451" s="14" t="n">
        <x:f>(C451-$H451)/$H451*100</x:f>
        <x:v>67.63005780346822</x:v>
      </x:c>
      <x:c r="J451" s="14" t="n">
        <x:f>(D451-$H451)/$H451*100</x:f>
        <x:v>67.82273603082851</x:v>
      </x:c>
      <x:c r="K451" s="14" t="n">
        <x:f>(E451-$H451)/$H451*100</x:f>
        <x:v>60.308285163776496</x:v>
      </x:c>
      <x:c r="L451" s="14" t="n">
        <x:f>(F451-$H451)/$H451*100</x:f>
        <x:v>10.597302504816955</x:v>
      </x:c>
      <x:c r="M451" s="14" t="n">
        <x:f>(G451-$H451)/$H451*100</x:f>
        <x:v>0</x:v>
      </x:c>
      <x:c r="N451" s="12" t="str">
        <x:f>IF(C451=$H451,"YES","NO")</x:f>
        <x:v>NO</x:v>
      </x:c>
      <x:c r="O451" s="12" t="str">
        <x:f>IF(D451=$H451,"YES","NO")</x:f>
        <x:v>NO</x:v>
      </x:c>
      <x:c r="P451" s="12" t="str">
        <x:f>IF(E451=$H451,"YES","NO")</x:f>
        <x:v>NO</x:v>
      </x:c>
      <x:c r="Q451" s="12" t="str">
        <x:f>IF(F451=$H451,"YES","NO")</x:f>
        <x:v>NO</x:v>
      </x:c>
      <x:c r="R451" s="12" t="str">
        <x:f>IF(G451=$H451,"YES","NO")</x:f>
        <x:v>YES</x:v>
      </x:c>
    </x:row>
    <x:row r="452">
      <x:c r="A452" s="44" t="str">
        <x:v>bpps_d200n200m10w40_60s20_40f0_seed0</x:v>
      </x:c>
      <x:c r="B452" s="12" t="n">
        <x:v>200</x:v>
      </x:c>
      <x:c r="C452" s="12" t="n">
        <x:v>77</x:v>
      </x:c>
      <x:c r="D452" s="12" t="n">
        <x:v>77</x:v>
      </x:c>
      <x:c r="E452" s="12" t="n">
        <x:v>77</x:v>
      </x:c>
      <x:c r="F452" s="12" t="n">
        <x:v>65</x:v>
      </x:c>
      <x:c r="G452" s="12" t="n">
        <x:v>64</x:v>
      </x:c>
      <x:c r="H452" s="12" t="n">
        <x:f>MIN(C452:G452)</x:f>
        <x:v>64</x:v>
      </x:c>
      <x:c r="I452" s="14" t="n">
        <x:f>(C452-$H452)/$H452*100</x:f>
        <x:v>20.3125</x:v>
      </x:c>
      <x:c r="J452" s="14" t="n">
        <x:f>(D452-$H452)/$H452*100</x:f>
        <x:v>20.3125</x:v>
      </x:c>
      <x:c r="K452" s="14" t="n">
        <x:f>(E452-$H452)/$H452*100</x:f>
        <x:v>20.3125</x:v>
      </x:c>
      <x:c r="L452" s="14" t="n">
        <x:f>(F452-$H452)/$H452*100</x:f>
        <x:v>1.5625</x:v>
      </x:c>
      <x:c r="M452" s="14" t="n">
        <x:f>(G452-$H452)/$H452*100</x:f>
        <x:v>0</x:v>
      </x:c>
      <x:c r="N452" s="12" t="str">
        <x:f>IF(C452=$H452,"YES","NO")</x:f>
        <x:v>NO</x:v>
      </x:c>
      <x:c r="O452" s="12" t="str">
        <x:f>IF(D452=$H452,"YES","NO")</x:f>
        <x:v>NO</x:v>
      </x:c>
      <x:c r="P452" s="12" t="str">
        <x:f>IF(E452=$H452,"YES","NO")</x:f>
        <x:v>NO</x:v>
      </x:c>
      <x:c r="Q452" s="12" t="str">
        <x:f>IF(F452=$H452,"YES","NO")</x:f>
        <x:v>NO</x:v>
      </x:c>
      <x:c r="R452" s="12" t="str">
        <x:f>IF(G452=$H452,"YES","NO")</x:f>
        <x:v>YES</x:v>
      </x:c>
    </x:row>
    <x:row r="453">
      <x:c r="A453" s="44" t="str">
        <x:v>bpps_d200n200m10w40_60s20_40f1_seed0</x:v>
      </x:c>
      <x:c r="B453" s="12" t="n">
        <x:v>200</x:v>
      </x:c>
      <x:c r="C453" s="12" t="n">
        <x:v>1306</x:v>
      </x:c>
      <x:c r="D453" s="12" t="n">
        <x:v>1292</x:v>
      </x:c>
      <x:c r="E453" s="12" t="n">
        <x:v>1260</x:v>
      </x:c>
      <x:c r="F453" s="12" t="n">
        <x:v>900</x:v>
      </x:c>
      <x:c r="G453" s="12" t="n">
        <x:v>856</x:v>
      </x:c>
      <x:c r="H453" s="12" t="n">
        <x:f>MIN(C453:G453)</x:f>
        <x:v>856</x:v>
      </x:c>
      <x:c r="I453" s="14" t="n">
        <x:f>(C453-$H453)/$H453*100</x:f>
        <x:v>52.570093457943926</x:v>
      </x:c>
      <x:c r="J453" s="14" t="n">
        <x:f>(D453-$H453)/$H453*100</x:f>
        <x:v>50.93457943925234</x:v>
      </x:c>
      <x:c r="K453" s="14" t="n">
        <x:f>(E453-$H453)/$H453*100</x:f>
        <x:v>47.19626168224299</x:v>
      </x:c>
      <x:c r="L453" s="14" t="n">
        <x:f>(F453-$H453)/$H453*100</x:f>
        <x:v>5.14018691588785</x:v>
      </x:c>
      <x:c r="M453" s="14" t="n">
        <x:f>(G453-$H453)/$H453*100</x:f>
        <x:v>0</x:v>
      </x:c>
      <x:c r="N453" s="12" t="str">
        <x:f>IF(C453=$H453,"YES","NO")</x:f>
        <x:v>NO</x:v>
      </x:c>
      <x:c r="O453" s="12" t="str">
        <x:f>IF(D453=$H453,"YES","NO")</x:f>
        <x:v>NO</x:v>
      </x:c>
      <x:c r="P453" s="12" t="str">
        <x:f>IF(E453=$H453,"YES","NO")</x:f>
        <x:v>NO</x:v>
      </x:c>
      <x:c r="Q453" s="12" t="str">
        <x:f>IF(F453=$H453,"YES","NO")</x:f>
        <x:v>NO</x:v>
      </x:c>
      <x:c r="R453" s="12" t="str">
        <x:f>IF(G453=$H453,"YES","NO")</x:f>
        <x:v>YES</x:v>
      </x:c>
    </x:row>
    <x:row r="454">
      <x:c r="A454" s="44" t="str">
        <x:v>bpps_d200n200m10w40_60s2_20f0_seed0</x:v>
      </x:c>
      <x:c r="B454" s="12" t="n">
        <x:v>200</x:v>
      </x:c>
      <x:c r="C454" s="12" t="n">
        <x:v>63</x:v>
      </x:c>
      <x:c r="D454" s="12" t="n">
        <x:v>63</x:v>
      </x:c>
      <x:c r="E454" s="12" t="n">
        <x:v>62</x:v>
      </x:c>
      <x:c r="F454" s="12" t="n">
        <x:v>59</x:v>
      </x:c>
      <x:c r="G454" s="12" t="n">
        <x:v>58</x:v>
      </x:c>
      <x:c r="H454" s="12" t="n">
        <x:f>MIN(C454:G454)</x:f>
        <x:v>58</x:v>
      </x:c>
      <x:c r="I454" s="14" t="n">
        <x:f>(C454-$H454)/$H454*100</x:f>
        <x:v>8.620689655172415</x:v>
      </x:c>
      <x:c r="J454" s="14" t="n">
        <x:f>(D454-$H454)/$H454*100</x:f>
        <x:v>8.620689655172415</x:v>
      </x:c>
      <x:c r="K454" s="14" t="n">
        <x:f>(E454-$H454)/$H454*100</x:f>
        <x:v>6.896551724137931</x:v>
      </x:c>
      <x:c r="L454" s="14" t="n">
        <x:f>(F454-$H454)/$H454*100</x:f>
        <x:v>1.7241379310344827</x:v>
      </x:c>
      <x:c r="M454" s="14" t="n">
        <x:f>(G454-$H454)/$H454*100</x:f>
        <x:v>0</x:v>
      </x:c>
      <x:c r="N454" s="12" t="str">
        <x:f>IF(C454=$H454,"YES","NO")</x:f>
        <x:v>NO</x:v>
      </x:c>
      <x:c r="O454" s="12" t="str">
        <x:f>IF(D454=$H454,"YES","NO")</x:f>
        <x:v>NO</x:v>
      </x:c>
      <x:c r="P454" s="12" t="str">
        <x:f>IF(E454=$H454,"YES","NO")</x:f>
        <x:v>NO</x:v>
      </x:c>
      <x:c r="Q454" s="12" t="str">
        <x:f>IF(F454=$H454,"YES","NO")</x:f>
        <x:v>NO</x:v>
      </x:c>
      <x:c r="R454" s="12" t="str">
        <x:f>IF(G454=$H454,"YES","NO")</x:f>
        <x:v>YES</x:v>
      </x:c>
    </x:row>
    <x:row r="455">
      <x:c r="A455" s="44" t="str">
        <x:v>bpps_d200n200m10w40_60s2_20f1_seed0</x:v>
      </x:c>
      <x:c r="B455" s="12" t="n">
        <x:v>200</x:v>
      </x:c>
      <x:c r="C455" s="12" t="n">
        <x:v>1209</x:v>
      </x:c>
      <x:c r="D455" s="12" t="n">
        <x:v>1204</x:v>
      </x:c>
      <x:c r="E455" s="12" t="n">
        <x:v>1186</x:v>
      </x:c>
      <x:c r="F455" s="12" t="n">
        <x:v>822</x:v>
      </x:c>
      <x:c r="G455" s="12" t="n">
        <x:v>762</x:v>
      </x:c>
      <x:c r="H455" s="12" t="n">
        <x:f>MIN(C455:G455)</x:f>
        <x:v>762</x:v>
      </x:c>
      <x:c r="I455" s="14" t="n">
        <x:f>(C455-$H455)/$H455*100</x:f>
        <x:v>58.661417322834644</x:v>
      </x:c>
      <x:c r="J455" s="14" t="n">
        <x:f>(D455-$H455)/$H455*100</x:f>
        <x:v>58.00524934383202</x:v>
      </x:c>
      <x:c r="K455" s="14" t="n">
        <x:f>(E455-$H455)/$H455*100</x:f>
        <x:v>55.643044619422575</x:v>
      </x:c>
      <x:c r="L455" s="14" t="n">
        <x:f>(F455-$H455)/$H455*100</x:f>
        <x:v>7.874015748031496</x:v>
      </x:c>
      <x:c r="M455" s="14" t="n">
        <x:f>(G455-$H455)/$H455*100</x:f>
        <x:v>0</x:v>
      </x:c>
      <x:c r="N455" s="12" t="str">
        <x:f>IF(C455=$H455,"YES","NO")</x:f>
        <x:v>NO</x:v>
      </x:c>
      <x:c r="O455" s="12" t="str">
        <x:f>IF(D455=$H455,"YES","NO")</x:f>
        <x:v>NO</x:v>
      </x:c>
      <x:c r="P455" s="12" t="str">
        <x:f>IF(E455=$H455,"YES","NO")</x:f>
        <x:v>NO</x:v>
      </x:c>
      <x:c r="Q455" s="12" t="str">
        <x:f>IF(F455=$H455,"YES","NO")</x:f>
        <x:v>NO</x:v>
      </x:c>
      <x:c r="R455" s="12" t="str">
        <x:f>IF(G455=$H455,"YES","NO")</x:f>
        <x:v>YES</x:v>
      </x:c>
    </x:row>
    <x:row r="456">
      <x:c r="A456" s="44" t="str">
        <x:v>bpps_d200n200m10w40_60s2_40f0_seed0</x:v>
      </x:c>
      <x:c r="B456" s="12" t="n">
        <x:v>200</x:v>
      </x:c>
      <x:c r="C456" s="12" t="n">
        <x:v>69</x:v>
      </x:c>
      <x:c r="D456" s="12" t="n">
        <x:v>69</x:v>
      </x:c>
      <x:c r="E456" s="12" t="n">
        <x:v>69</x:v>
      </x:c>
      <x:c r="F456" s="12" t="n">
        <x:v>62</x:v>
      </x:c>
      <x:c r="G456" s="12" t="n">
        <x:v>61</x:v>
      </x:c>
      <x:c r="H456" s="12" t="n">
        <x:f>MIN(C456:G456)</x:f>
        <x:v>61</x:v>
      </x:c>
      <x:c r="I456" s="14" t="n">
        <x:f>(C456-$H456)/$H456*100</x:f>
        <x:v>13.114754098360656</x:v>
      </x:c>
      <x:c r="J456" s="14" t="n">
        <x:f>(D456-$H456)/$H456*100</x:f>
        <x:v>13.114754098360656</x:v>
      </x:c>
      <x:c r="K456" s="14" t="n">
        <x:f>(E456-$H456)/$H456*100</x:f>
        <x:v>13.114754098360656</x:v>
      </x:c>
      <x:c r="L456" s="14" t="n">
        <x:f>(F456-$H456)/$H456*100</x:f>
        <x:v>1.639344262295082</x:v>
      </x:c>
      <x:c r="M456" s="14" t="n">
        <x:f>(G456-$H456)/$H456*100</x:f>
        <x:v>0</x:v>
      </x:c>
      <x:c r="N456" s="12" t="str">
        <x:f>IF(C456=$H456,"YES","NO")</x:f>
        <x:v>NO</x:v>
      </x:c>
      <x:c r="O456" s="12" t="str">
        <x:f>IF(D456=$H456,"YES","NO")</x:f>
        <x:v>NO</x:v>
      </x:c>
      <x:c r="P456" s="12" t="str">
        <x:f>IF(E456=$H456,"YES","NO")</x:f>
        <x:v>NO</x:v>
      </x:c>
      <x:c r="Q456" s="12" t="str">
        <x:f>IF(F456=$H456,"YES","NO")</x:f>
        <x:v>NO</x:v>
      </x:c>
      <x:c r="R456" s="12" t="str">
        <x:f>IF(G456=$H456,"YES","NO")</x:f>
        <x:v>YES</x:v>
      </x:c>
    </x:row>
    <x:row r="457">
      <x:c r="A457" s="44" t="str">
        <x:v>bpps_d200n200m10w40_60s2_40f1_seed0</x:v>
      </x:c>
      <x:c r="B457" s="12" t="n">
        <x:v>200</x:v>
      </x:c>
      <x:c r="C457" s="12" t="n">
        <x:v>1214</x:v>
      </x:c>
      <x:c r="D457" s="12" t="n">
        <x:v>1254</x:v>
      </x:c>
      <x:c r="E457" s="12" t="n">
        <x:v>1233</x:v>
      </x:c>
      <x:c r="F457" s="12" t="n">
        <x:v>868</x:v>
      </x:c>
      <x:c r="G457" s="12" t="n">
        <x:v>815</x:v>
      </x:c>
      <x:c r="H457" s="12" t="n">
        <x:f>MIN(C457:G457)</x:f>
        <x:v>815</x:v>
      </x:c>
      <x:c r="I457" s="14" t="n">
        <x:f>(C457-$H457)/$H457*100</x:f>
        <x:v>48.95705521472393</x:v>
      </x:c>
      <x:c r="J457" s="14" t="n">
        <x:f>(D457-$H457)/$H457*100</x:f>
        <x:v>53.86503067484662</x:v>
      </x:c>
      <x:c r="K457" s="14" t="n">
        <x:f>(E457-$H457)/$H457*100</x:f>
        <x:v>51.288343558282214</x:v>
      </x:c>
      <x:c r="L457" s="14" t="n">
        <x:f>(F457-$H457)/$H457*100</x:f>
        <x:v>6.5030674846625764</x:v>
      </x:c>
      <x:c r="M457" s="14" t="n">
        <x:f>(G457-$H457)/$H457*100</x:f>
        <x:v>0</x:v>
      </x:c>
      <x:c r="N457" s="12" t="str">
        <x:f>IF(C457=$H457,"YES","NO")</x:f>
        <x:v>NO</x:v>
      </x:c>
      <x:c r="O457" s="12" t="str">
        <x:f>IF(D457=$H457,"YES","NO")</x:f>
        <x:v>NO</x:v>
      </x:c>
      <x:c r="P457" s="12" t="str">
        <x:f>IF(E457=$H457,"YES","NO")</x:f>
        <x:v>NO</x:v>
      </x:c>
      <x:c r="Q457" s="12" t="str">
        <x:f>IF(F457=$H457,"YES","NO")</x:f>
        <x:v>NO</x:v>
      </x:c>
      <x:c r="R457" s="12" t="str">
        <x:f>IF(G457=$H457,"YES","NO")</x:f>
        <x:v>YES</x:v>
      </x:c>
    </x:row>
    <x:row r="458">
      <x:c r="A458" s="44" t="str">
        <x:v>bpps_d200n200m5w20_40s20_40f0_seed0</x:v>
      </x:c>
      <x:c r="B458" s="12" t="n">
        <x:v>200</x:v>
      </x:c>
      <x:c r="C458" s="12" t="n">
        <x:v>47</x:v>
      </x:c>
      <x:c r="D458" s="12" t="n">
        <x:v>47</x:v>
      </x:c>
      <x:c r="E458" s="12" t="n">
        <x:v>45</x:v>
      </x:c>
      <x:c r="F458" s="12" t="n">
        <x:v>38</x:v>
      </x:c>
      <x:c r="G458" s="12" t="n">
        <x:v>37</x:v>
      </x:c>
      <x:c r="H458" s="12" t="n">
        <x:f>MIN(C458:G458)</x:f>
        <x:v>37</x:v>
      </x:c>
      <x:c r="I458" s="14" t="n">
        <x:f>(C458-$H458)/$H458*100</x:f>
        <x:v>27.027027027027028</x:v>
      </x:c>
      <x:c r="J458" s="14" t="n">
        <x:f>(D458-$H458)/$H458*100</x:f>
        <x:v>27.027027027027028</x:v>
      </x:c>
      <x:c r="K458" s="14" t="n">
        <x:f>(E458-$H458)/$H458*100</x:f>
        <x:v>21.62162162162162</x:v>
      </x:c>
      <x:c r="L458" s="14" t="n">
        <x:f>(F458-$H458)/$H458*100</x:f>
        <x:v>2.7027027027027026</x:v>
      </x:c>
      <x:c r="M458" s="14" t="n">
        <x:f>(G458-$H458)/$H458*100</x:f>
        <x:v>0</x:v>
      </x:c>
      <x:c r="N458" s="12" t="str">
        <x:f>IF(C458=$H458,"YES","NO")</x:f>
        <x:v>NO</x:v>
      </x:c>
      <x:c r="O458" s="12" t="str">
        <x:f>IF(D458=$H458,"YES","NO")</x:f>
        <x:v>NO</x:v>
      </x:c>
      <x:c r="P458" s="12" t="str">
        <x:f>IF(E458=$H458,"YES","NO")</x:f>
        <x:v>NO</x:v>
      </x:c>
      <x:c r="Q458" s="12" t="str">
        <x:f>IF(F458=$H458,"YES","NO")</x:f>
        <x:v>NO</x:v>
      </x:c>
      <x:c r="R458" s="12" t="str">
        <x:f>IF(G458=$H458,"YES","NO")</x:f>
        <x:v>YES</x:v>
      </x:c>
    </x:row>
    <x:row r="459">
      <x:c r="A459" s="44" t="str">
        <x:v>bpps_d200n200m5w20_40s20_40f1_seed0</x:v>
      </x:c>
      <x:c r="B459" s="12" t="n">
        <x:v>200</x:v>
      </x:c>
      <x:c r="C459" s="12" t="n">
        <x:v>878</x:v>
      </x:c>
      <x:c r="D459" s="12" t="n">
        <x:v>847</x:v>
      </x:c>
      <x:c r="E459" s="12" t="n">
        <x:v>808</x:v>
      </x:c>
      <x:c r="F459" s="12" t="n">
        <x:v>529</x:v>
      </x:c>
      <x:c r="G459" s="12" t="n">
        <x:v>488</x:v>
      </x:c>
      <x:c r="H459" s="12" t="n">
        <x:f>MIN(C459:G459)</x:f>
        <x:v>488</x:v>
      </x:c>
      <x:c r="I459" s="14" t="n">
        <x:f>(C459-$H459)/$H459*100</x:f>
        <x:v>79.91803278688525</x:v>
      </x:c>
      <x:c r="J459" s="14" t="n">
        <x:f>(D459-$H459)/$H459*100</x:f>
        <x:v>73.5655737704918</x:v>
      </x:c>
      <x:c r="K459" s="14" t="n">
        <x:f>(E459-$H459)/$H459*100</x:f>
        <x:v>65.57377049180327</x:v>
      </x:c>
      <x:c r="L459" s="14" t="n">
        <x:f>(F459-$H459)/$H459*100</x:f>
        <x:v>8.401639344262295</x:v>
      </x:c>
      <x:c r="M459" s="14" t="n">
        <x:f>(G459-$H459)/$H459*100</x:f>
        <x:v>0</x:v>
      </x:c>
      <x:c r="N459" s="12" t="str">
        <x:f>IF(C459=$H459,"YES","NO")</x:f>
        <x:v>NO</x:v>
      </x:c>
      <x:c r="O459" s="12" t="str">
        <x:f>IF(D459=$H459,"YES","NO")</x:f>
        <x:v>NO</x:v>
      </x:c>
      <x:c r="P459" s="12" t="str">
        <x:f>IF(E459=$H459,"YES","NO")</x:f>
        <x:v>NO</x:v>
      </x:c>
      <x:c r="Q459" s="12" t="str">
        <x:f>IF(F459=$H459,"YES","NO")</x:f>
        <x:v>NO</x:v>
      </x:c>
      <x:c r="R459" s="12" t="str">
        <x:f>IF(G459=$H459,"YES","NO")</x:f>
        <x:v>YES</x:v>
      </x:c>
    </x:row>
    <x:row r="460">
      <x:c r="A460" s="44" t="str">
        <x:v>bpps_d200n200m5w20_40s2_20f0_seed0</x:v>
      </x:c>
      <x:c r="B460" s="12" t="n">
        <x:v>200</x:v>
      </x:c>
      <x:c r="C460" s="12" t="n">
        <x:v>37</x:v>
      </x:c>
      <x:c r="D460" s="12" t="n">
        <x:v>36</x:v>
      </x:c>
      <x:c r="E460" s="12" t="n">
        <x:v>36</x:v>
      </x:c>
      <x:c r="F460" s="12" t="n">
        <x:v>34</x:v>
      </x:c>
      <x:c r="G460" s="12" t="n">
        <x:v>33</x:v>
      </x:c>
      <x:c r="H460" s="12" t="n">
        <x:f>MIN(C460:G460)</x:f>
        <x:v>33</x:v>
      </x:c>
      <x:c r="I460" s="14" t="n">
        <x:f>(C460-$H460)/$H460*100</x:f>
        <x:v>12.121212121212121</x:v>
      </x:c>
      <x:c r="J460" s="14" t="n">
        <x:f>(D460-$H460)/$H460*100</x:f>
        <x:v>9.090909090909092</x:v>
      </x:c>
      <x:c r="K460" s="14" t="n">
        <x:f>(E460-$H460)/$H460*100</x:f>
        <x:v>9.090909090909092</x:v>
      </x:c>
      <x:c r="L460" s="14" t="n">
        <x:f>(F460-$H460)/$H460*100</x:f>
        <x:v>3.0303030303030303</x:v>
      </x:c>
      <x:c r="M460" s="14" t="n">
        <x:f>(G460-$H460)/$H460*100</x:f>
        <x:v>0</x:v>
      </x:c>
      <x:c r="N460" s="12" t="str">
        <x:f>IF(C460=$H460,"YES","NO")</x:f>
        <x:v>NO</x:v>
      </x:c>
      <x:c r="O460" s="12" t="str">
        <x:f>IF(D460=$H460,"YES","NO")</x:f>
        <x:v>NO</x:v>
      </x:c>
      <x:c r="P460" s="12" t="str">
        <x:f>IF(E460=$H460,"YES","NO")</x:f>
        <x:v>NO</x:v>
      </x:c>
      <x:c r="Q460" s="12" t="str">
        <x:f>IF(F460=$H460,"YES","NO")</x:f>
        <x:v>NO</x:v>
      </x:c>
      <x:c r="R460" s="12" t="str">
        <x:f>IF(G460=$H460,"YES","NO")</x:f>
        <x:v>YES</x:v>
      </x:c>
    </x:row>
    <x:row r="461">
      <x:c r="A461" s="44" t="str">
        <x:v>bpps_d200n200m5w20_40s2_20f1_seed0</x:v>
      </x:c>
      <x:c r="B461" s="12" t="n">
        <x:v>200</x:v>
      </x:c>
      <x:c r="C461" s="12" t="n">
        <x:v>754</x:v>
      </x:c>
      <x:c r="D461" s="12" t="n">
        <x:v>749</x:v>
      </x:c>
      <x:c r="E461" s="12" t="n">
        <x:v>734</x:v>
      </x:c>
      <x:c r="F461" s="12" t="n">
        <x:v>480</x:v>
      </x:c>
      <x:c r="G461" s="12" t="n">
        <x:v>447</x:v>
      </x:c>
      <x:c r="H461" s="12" t="n">
        <x:f>MIN(C461:G461)</x:f>
        <x:v>447</x:v>
      </x:c>
      <x:c r="I461" s="14" t="n">
        <x:f>(C461-$H461)/$H461*100</x:f>
        <x:v>68.68008948545862</x:v>
      </x:c>
      <x:c r="J461" s="14" t="n">
        <x:f>(D461-$H461)/$H461*100</x:f>
        <x:v>67.56152125279642</x:v>
      </x:c>
      <x:c r="K461" s="14" t="n">
        <x:f>(E461-$H461)/$H461*100</x:f>
        <x:v>64.20581655480984</x:v>
      </x:c>
      <x:c r="L461" s="14" t="n">
        <x:f>(F461-$H461)/$H461*100</x:f>
        <x:v>7.38255033557047</x:v>
      </x:c>
      <x:c r="M461" s="14" t="n">
        <x:f>(G461-$H461)/$H461*100</x:f>
        <x:v>0</x:v>
      </x:c>
      <x:c r="N461" s="12" t="str">
        <x:f>IF(C461=$H461,"YES","NO")</x:f>
        <x:v>NO</x:v>
      </x:c>
      <x:c r="O461" s="12" t="str">
        <x:f>IF(D461=$H461,"YES","NO")</x:f>
        <x:v>NO</x:v>
      </x:c>
      <x:c r="P461" s="12" t="str">
        <x:f>IF(E461=$H461,"YES","NO")</x:f>
        <x:v>NO</x:v>
      </x:c>
      <x:c r="Q461" s="12" t="str">
        <x:f>IF(F461=$H461,"YES","NO")</x:f>
        <x:v>NO</x:v>
      </x:c>
      <x:c r="R461" s="12" t="str">
        <x:f>IF(G461=$H461,"YES","NO")</x:f>
        <x:v>YES</x:v>
      </x:c>
    </x:row>
    <x:row r="462">
      <x:c r="A462" s="44" t="str">
        <x:v>bpps_d200n200m5w20_40s2_40f0_seed0</x:v>
      </x:c>
      <x:c r="B462" s="12" t="n">
        <x:v>200</x:v>
      </x:c>
      <x:c r="C462" s="12" t="n">
        <x:v>41</x:v>
      </x:c>
      <x:c r="D462" s="12" t="n">
        <x:v>42</x:v>
      </x:c>
      <x:c r="E462" s="12" t="n">
        <x:v>41</x:v>
      </x:c>
      <x:c r="F462" s="12" t="n">
        <x:v>35</x:v>
      </x:c>
      <x:c r="G462" s="12" t="n">
        <x:v>35</x:v>
      </x:c>
      <x:c r="H462" s="12" t="n">
        <x:f>MIN(C462:G462)</x:f>
        <x:v>35</x:v>
      </x:c>
      <x:c r="I462" s="14" t="n">
        <x:f>(C462-$H462)/$H462*100</x:f>
        <x:v>17.142857142857142</x:v>
      </x:c>
      <x:c r="J462" s="14" t="n">
        <x:f>(D462-$H462)/$H462*100</x:f>
        <x:v>20</x:v>
      </x:c>
      <x:c r="K462" s="14" t="n">
        <x:f>(E462-$H462)/$H462*100</x:f>
        <x:v>17.142857142857142</x:v>
      </x:c>
      <x:c r="L462" s="14" t="n">
        <x:f>(F462-$H462)/$H462*100</x:f>
        <x:v>0</x:v>
      </x:c>
      <x:c r="M462" s="14" t="n">
        <x:f>(G462-$H462)/$H462*100</x:f>
        <x:v>0</x:v>
      </x:c>
      <x:c r="N462" s="12" t="str">
        <x:f>IF(C462=$H462,"YES","NO")</x:f>
        <x:v>NO</x:v>
      </x:c>
      <x:c r="O462" s="12" t="str">
        <x:f>IF(D462=$H462,"YES","NO")</x:f>
        <x:v>NO</x:v>
      </x:c>
      <x:c r="P462" s="12" t="str">
        <x:f>IF(E462=$H462,"YES","NO")</x:f>
        <x:v>NO</x:v>
      </x:c>
      <x:c r="Q462" s="12" t="str">
        <x:f>IF(F462=$H462,"YES","NO")</x:f>
        <x:v>YES</x:v>
      </x:c>
      <x:c r="R462" s="12" t="str">
        <x:f>IF(G462=$H462,"YES","NO")</x:f>
        <x:v>YES</x:v>
      </x:c>
    </x:row>
    <x:row r="463">
      <x:c r="A463" s="44" t="str">
        <x:v>bpps_d200n200m5w20_40s2_40f1_seed0</x:v>
      </x:c>
      <x:c r="B463" s="12" t="n">
        <x:v>200</x:v>
      </x:c>
      <x:c r="C463" s="12" t="n">
        <x:v>842</x:v>
      </x:c>
      <x:c r="D463" s="12" t="n">
        <x:v>831</x:v>
      </x:c>
      <x:c r="E463" s="12" t="n">
        <x:v>760</x:v>
      </x:c>
      <x:c r="F463" s="12" t="n">
        <x:v>503</x:v>
      </x:c>
      <x:c r="G463" s="12" t="n">
        <x:v>475</x:v>
      </x:c>
      <x:c r="H463" s="12" t="n">
        <x:f>MIN(C463:G463)</x:f>
        <x:v>475</x:v>
      </x:c>
      <x:c r="I463" s="14" t="n">
        <x:f>(C463-$H463)/$H463*100</x:f>
        <x:v>77.26315789473685</x:v>
      </x:c>
      <x:c r="J463" s="14" t="n">
        <x:f>(D463-$H463)/$H463*100</x:f>
        <x:v>74.94736842105263</x:v>
      </x:c>
      <x:c r="K463" s="14" t="n">
        <x:f>(E463-$H463)/$H463*100</x:f>
        <x:v>60</x:v>
      </x:c>
      <x:c r="L463" s="14" t="n">
        <x:f>(F463-$H463)/$H463*100</x:f>
        <x:v>5.894736842105263</x:v>
      </x:c>
      <x:c r="M463" s="14" t="n">
        <x:f>(G463-$H463)/$H463*100</x:f>
        <x:v>0</x:v>
      </x:c>
      <x:c r="N463" s="12" t="str">
        <x:f>IF(C463=$H463,"YES","NO")</x:f>
        <x:v>NO</x:v>
      </x:c>
      <x:c r="O463" s="12" t="str">
        <x:f>IF(D463=$H463,"YES","NO")</x:f>
        <x:v>NO</x:v>
      </x:c>
      <x:c r="P463" s="12" t="str">
        <x:f>IF(E463=$H463,"YES","NO")</x:f>
        <x:v>NO</x:v>
      </x:c>
      <x:c r="Q463" s="12" t="str">
        <x:f>IF(F463=$H463,"YES","NO")</x:f>
        <x:v>NO</x:v>
      </x:c>
      <x:c r="R463" s="12" t="str">
        <x:f>IF(G463=$H463,"YES","NO")</x:f>
        <x:v>YES</x:v>
      </x:c>
    </x:row>
    <x:row r="464">
      <x:c r="A464" s="44" t="str">
        <x:v>bpps_d200n200m5w2_20s20_40f0_seed0</x:v>
      </x:c>
      <x:c r="B464" s="12" t="n">
        <x:v>200</x:v>
      </x:c>
      <x:c r="C464" s="12" t="n">
        <x:v>22</x:v>
      </x:c>
      <x:c r="D464" s="12" t="n">
        <x:v>21</x:v>
      </x:c>
      <x:c r="E464" s="12" t="n">
        <x:v>19</x:v>
      </x:c>
      <x:c r="F464" s="12" t="n">
        <x:v>19</x:v>
      </x:c>
      <x:c r="G464" s="12" t="n">
        <x:v>15</x:v>
      </x:c>
      <x:c r="H464" s="12" t="n">
        <x:f>MIN(C464:G464)</x:f>
        <x:v>15</x:v>
      </x:c>
      <x:c r="I464" s="14" t="n">
        <x:f>(C464-$H464)/$H464*100</x:f>
        <x:v>46.666666666666664</x:v>
      </x:c>
      <x:c r="J464" s="14" t="n">
        <x:f>(D464-$H464)/$H464*100</x:f>
        <x:v>40</x:v>
      </x:c>
      <x:c r="K464" s="14" t="n">
        <x:f>(E464-$H464)/$H464*100</x:f>
        <x:v>26.666666666666668</x:v>
      </x:c>
      <x:c r="L464" s="14" t="n">
        <x:f>(F464-$H464)/$H464*100</x:f>
        <x:v>26.666666666666668</x:v>
      </x:c>
      <x:c r="M464" s="14" t="n">
        <x:f>(G464-$H464)/$H464*100</x:f>
        <x:v>0</x:v>
      </x:c>
      <x:c r="N464" s="12" t="str">
        <x:f>IF(C464=$H464,"YES","NO")</x:f>
        <x:v>NO</x:v>
      </x:c>
      <x:c r="O464" s="12" t="str">
        <x:f>IF(D464=$H464,"YES","NO")</x:f>
        <x:v>NO</x:v>
      </x:c>
      <x:c r="P464" s="12" t="str">
        <x:f>IF(E464=$H464,"YES","NO")</x:f>
        <x:v>NO</x:v>
      </x:c>
      <x:c r="Q464" s="12" t="str">
        <x:f>IF(F464=$H464,"YES","NO")</x:f>
        <x:v>NO</x:v>
      </x:c>
      <x:c r="R464" s="12" t="str">
        <x:f>IF(G464=$H464,"YES","NO")</x:f>
        <x:v>YES</x:v>
      </x:c>
    </x:row>
    <x:row r="465">
      <x:c r="A465" s="44" t="str">
        <x:v>bpps_d200n200m5w2_20s20_40f1_seed0</x:v>
      </x:c>
      <x:c r="B465" s="12" t="n">
        <x:v>200</x:v>
      </x:c>
      <x:c r="C465" s="12" t="n">
        <x:v>492</x:v>
      </x:c>
      <x:c r="D465" s="12" t="n">
        <x:v>465</x:v>
      </x:c>
      <x:c r="E465" s="12" t="n">
        <x:v>386</x:v>
      </x:c>
      <x:c r="F465" s="12" t="n">
        <x:v>269</x:v>
      </x:c>
      <x:c r="G465" s="12" t="n">
        <x:v>215</x:v>
      </x:c>
      <x:c r="H465" s="12" t="n">
        <x:f>MIN(C465:G465)</x:f>
        <x:v>215</x:v>
      </x:c>
      <x:c r="I465" s="14" t="n">
        <x:f>(C465-$H465)/$H465*100</x:f>
        <x:v>128.8372093023256</x:v>
      </x:c>
      <x:c r="J465" s="14" t="n">
        <x:f>(D465-$H465)/$H465*100</x:f>
        <x:v>116.27906976744187</x:v>
      </x:c>
      <x:c r="K465" s="14" t="n">
        <x:f>(E465-$H465)/$H465*100</x:f>
        <x:v>79.53488372093022</x:v>
      </x:c>
      <x:c r="L465" s="14" t="n">
        <x:f>(F465-$H465)/$H465*100</x:f>
        <x:v>25.116279069767444</x:v>
      </x:c>
      <x:c r="M465" s="14" t="n">
        <x:f>(G465-$H465)/$H465*100</x:f>
        <x:v>0</x:v>
      </x:c>
      <x:c r="N465" s="12" t="str">
        <x:f>IF(C465=$H465,"YES","NO")</x:f>
        <x:v>NO</x:v>
      </x:c>
      <x:c r="O465" s="12" t="str">
        <x:f>IF(D465=$H465,"YES","NO")</x:f>
        <x:v>NO</x:v>
      </x:c>
      <x:c r="P465" s="12" t="str">
        <x:f>IF(E465=$H465,"YES","NO")</x:f>
        <x:v>NO</x:v>
      </x:c>
      <x:c r="Q465" s="12" t="str">
        <x:f>IF(F465=$H465,"YES","NO")</x:f>
        <x:v>NO</x:v>
      </x:c>
      <x:c r="R465" s="12" t="str">
        <x:f>IF(G465=$H465,"YES","NO")</x:f>
        <x:v>YES</x:v>
      </x:c>
    </x:row>
    <x:row r="466">
      <x:c r="A466" s="44" t="str">
        <x:v>bpps_d200n200m5w2_20s2_20f0_seed0</x:v>
      </x:c>
      <x:c r="B466" s="12" t="n">
        <x:v>200</x:v>
      </x:c>
      <x:c r="C466" s="12" t="n">
        <x:v>14</x:v>
      </x:c>
      <x:c r="D466" s="12" t="n">
        <x:v>14</x:v>
      </x:c>
      <x:c r="E466" s="12" t="n">
        <x:v>14</x:v>
      </x:c>
      <x:c r="F466" s="12" t="n">
        <x:v>17</x:v>
      </x:c>
      <x:c r="G466" s="12" t="n">
        <x:v>13</x:v>
      </x:c>
      <x:c r="H466" s="12" t="n">
        <x:f>MIN(C466:G466)</x:f>
        <x:v>13</x:v>
      </x:c>
      <x:c r="I466" s="14" t="n">
        <x:f>(C466-$H466)/$H466*100</x:f>
        <x:v>7.6923076923076925</x:v>
      </x:c>
      <x:c r="J466" s="14" t="n">
        <x:f>(D466-$H466)/$H466*100</x:f>
        <x:v>7.6923076923076925</x:v>
      </x:c>
      <x:c r="K466" s="14" t="n">
        <x:f>(E466-$H466)/$H466*100</x:f>
        <x:v>7.6923076923076925</x:v>
      </x:c>
      <x:c r="L466" s="14" t="n">
        <x:f>(F466-$H466)/$H466*100</x:f>
        <x:v>30.76923076923077</x:v>
      </x:c>
      <x:c r="M466" s="14" t="n">
        <x:f>(G466-$H466)/$H466*100</x:f>
        <x:v>0</x:v>
      </x:c>
      <x:c r="N466" s="12" t="str">
        <x:f>IF(C466=$H466,"YES","NO")</x:f>
        <x:v>NO</x:v>
      </x:c>
      <x:c r="O466" s="12" t="str">
        <x:f>IF(D466=$H466,"YES","NO")</x:f>
        <x:v>NO</x:v>
      </x:c>
      <x:c r="P466" s="12" t="str">
        <x:f>IF(E466=$H466,"YES","NO")</x:f>
        <x:v>NO</x:v>
      </x:c>
      <x:c r="Q466" s="12" t="str">
        <x:f>IF(F466=$H466,"YES","NO")</x:f>
        <x:v>NO</x:v>
      </x:c>
      <x:c r="R466" s="12" t="str">
        <x:f>IF(G466=$H466,"YES","NO")</x:f>
        <x:v>YES</x:v>
      </x:c>
    </x:row>
    <x:row r="467">
      <x:c r="A467" s="44" t="str">
        <x:v>bpps_d200n200m5w2_20s2_20f1_seed0</x:v>
      </x:c>
      <x:c r="B467" s="12" t="n">
        <x:v>200</x:v>
      </x:c>
      <x:c r="C467" s="12" t="n">
        <x:v>364</x:v>
      </x:c>
      <x:c r="D467" s="12" t="n">
        <x:v>373</x:v>
      </x:c>
      <x:c r="E467" s="12" t="n">
        <x:v>327</x:v>
      </x:c>
      <x:c r="F467" s="12" t="n">
        <x:v>260</x:v>
      </x:c>
      <x:c r="G467" s="12" t="n">
        <x:v>212</x:v>
      </x:c>
      <x:c r="H467" s="12" t="n">
        <x:f>MIN(C467:G467)</x:f>
        <x:v>212</x:v>
      </x:c>
      <x:c r="I467" s="14" t="n">
        <x:f>(C467-$H467)/$H467*100</x:f>
        <x:v>71.69811320754717</x:v>
      </x:c>
      <x:c r="J467" s="14" t="n">
        <x:f>(D467-$H467)/$H467*100</x:f>
        <x:v>75.94339622641509</x:v>
      </x:c>
      <x:c r="K467" s="14" t="n">
        <x:f>(E467-$H467)/$H467*100</x:f>
        <x:v>54.24528301886793</x:v>
      </x:c>
      <x:c r="L467" s="14" t="n">
        <x:f>(F467-$H467)/$H467*100</x:f>
        <x:v>22.641509433962266</x:v>
      </x:c>
      <x:c r="M467" s="14" t="n">
        <x:f>(G467-$H467)/$H467*100</x:f>
        <x:v>0</x:v>
      </x:c>
      <x:c r="N467" s="12" t="str">
        <x:f>IF(C467=$H467,"YES","NO")</x:f>
        <x:v>NO</x:v>
      </x:c>
      <x:c r="O467" s="12" t="str">
        <x:f>IF(D467=$H467,"YES","NO")</x:f>
        <x:v>NO</x:v>
      </x:c>
      <x:c r="P467" s="12" t="str">
        <x:f>IF(E467=$H467,"YES","NO")</x:f>
        <x:v>NO</x:v>
      </x:c>
      <x:c r="Q467" s="12" t="str">
        <x:f>IF(F467=$H467,"YES","NO")</x:f>
        <x:v>NO</x:v>
      </x:c>
      <x:c r="R467" s="12" t="str">
        <x:f>IF(G467=$H467,"YES","NO")</x:f>
        <x:v>YES</x:v>
      </x:c>
    </x:row>
    <x:row r="468">
      <x:c r="A468" s="44" t="str">
        <x:v>bpps_d200n200m5w2_20s2_40f0_seed0</x:v>
      </x:c>
      <x:c r="B468" s="12" t="n">
        <x:v>200</x:v>
      </x:c>
      <x:c r="C468" s="12" t="n">
        <x:v>16</x:v>
      </x:c>
      <x:c r="D468" s="12" t="n">
        <x:v>16</x:v>
      </x:c>
      <x:c r="E468" s="12" t="n">
        <x:v>16</x:v>
      </x:c>
      <x:c r="F468" s="12" t="n">
        <x:v>18</x:v>
      </x:c>
      <x:c r="G468" s="12" t="n">
        <x:v>13</x:v>
      </x:c>
      <x:c r="H468" s="12" t="n">
        <x:f>MIN(C468:G468)</x:f>
        <x:v>13</x:v>
      </x:c>
      <x:c r="I468" s="14" t="n">
        <x:f>(C468-$H468)/$H468*100</x:f>
        <x:v>23.076923076923077</x:v>
      </x:c>
      <x:c r="J468" s="14" t="n">
        <x:f>(D468-$H468)/$H468*100</x:f>
        <x:v>23.076923076923077</x:v>
      </x:c>
      <x:c r="K468" s="14" t="n">
        <x:f>(E468-$H468)/$H468*100</x:f>
        <x:v>23.076923076923077</x:v>
      </x:c>
      <x:c r="L468" s="14" t="n">
        <x:f>(F468-$H468)/$H468*100</x:f>
        <x:v>38.46153846153847</x:v>
      </x:c>
      <x:c r="M468" s="14" t="n">
        <x:f>(G468-$H468)/$H468*100</x:f>
        <x:v>0</x:v>
      </x:c>
      <x:c r="N468" s="12" t="str">
        <x:f>IF(C468=$H468,"YES","NO")</x:f>
        <x:v>NO</x:v>
      </x:c>
      <x:c r="O468" s="12" t="str">
        <x:f>IF(D468=$H468,"YES","NO")</x:f>
        <x:v>NO</x:v>
      </x:c>
      <x:c r="P468" s="12" t="str">
        <x:f>IF(E468=$H468,"YES","NO")</x:f>
        <x:v>NO</x:v>
      </x:c>
      <x:c r="Q468" s="12" t="str">
        <x:f>IF(F468=$H468,"YES","NO")</x:f>
        <x:v>NO</x:v>
      </x:c>
      <x:c r="R468" s="12" t="str">
        <x:f>IF(G468=$H468,"YES","NO")</x:f>
        <x:v>YES</x:v>
      </x:c>
    </x:row>
    <x:row r="469">
      <x:c r="A469" s="44" t="str">
        <x:v>bpps_d200n200m5w2_20s2_40f1_seed0</x:v>
      </x:c>
      <x:c r="B469" s="12" t="n">
        <x:v>200</x:v>
      </x:c>
      <x:c r="C469" s="12" t="n">
        <x:v>417</x:v>
      </x:c>
      <x:c r="D469" s="12" t="n">
        <x:v>446</x:v>
      </x:c>
      <x:c r="E469" s="12" t="n">
        <x:v>365</x:v>
      </x:c>
      <x:c r="F469" s="12" t="n">
        <x:v>275</x:v>
      </x:c>
      <x:c r="G469" s="12" t="n">
        <x:v>216</x:v>
      </x:c>
      <x:c r="H469" s="12" t="n">
        <x:f>MIN(C469:G469)</x:f>
        <x:v>216</x:v>
      </x:c>
      <x:c r="I469" s="14" t="n">
        <x:f>(C469-$H469)/$H469*100</x:f>
        <x:v>93.05555555555556</x:v>
      </x:c>
      <x:c r="J469" s="14" t="n">
        <x:f>(D469-$H469)/$H469*100</x:f>
        <x:v>106.4814814814815</x:v>
      </x:c>
      <x:c r="K469" s="14" t="n">
        <x:f>(E469-$H469)/$H469*100</x:f>
        <x:v>68.98148148148148</x:v>
      </x:c>
      <x:c r="L469" s="14" t="n">
        <x:f>(F469-$H469)/$H469*100</x:f>
        <x:v>27.314814814814813</x:v>
      </x:c>
      <x:c r="M469" s="14" t="n">
        <x:f>(G469-$H469)/$H469*100</x:f>
        <x:v>0</x:v>
      </x:c>
      <x:c r="N469" s="12" t="str">
        <x:f>IF(C469=$H469,"YES","NO")</x:f>
        <x:v>NO</x:v>
      </x:c>
      <x:c r="O469" s="12" t="str">
        <x:f>IF(D469=$H469,"YES","NO")</x:f>
        <x:v>NO</x:v>
      </x:c>
      <x:c r="P469" s="12" t="str">
        <x:f>IF(E469=$H469,"YES","NO")</x:f>
        <x:v>NO</x:v>
      </x:c>
      <x:c r="Q469" s="12" t="str">
        <x:f>IF(F469=$H469,"YES","NO")</x:f>
        <x:v>NO</x:v>
      </x:c>
      <x:c r="R469" s="12" t="str">
        <x:f>IF(G469=$H469,"YES","NO")</x:f>
        <x:v>YES</x:v>
      </x:c>
    </x:row>
    <x:row r="470">
      <x:c r="A470" s="44" t="str">
        <x:v>bpps_d200n200m5w2_60s20_40f0_seed0</x:v>
      </x:c>
      <x:c r="B470" s="12" t="n">
        <x:v>200</x:v>
      </x:c>
      <x:c r="C470" s="12" t="n">
        <x:v>45</x:v>
      </x:c>
      <x:c r="D470" s="12" t="n">
        <x:v>46</x:v>
      </x:c>
      <x:c r="E470" s="12" t="n">
        <x:v>45</x:v>
      </x:c>
      <x:c r="F470" s="12" t="n">
        <x:v>41</x:v>
      </x:c>
      <x:c r="G470" s="12" t="n">
        <x:v>39</x:v>
      </x:c>
      <x:c r="H470" s="12" t="n">
        <x:f>MIN(C470:G470)</x:f>
        <x:v>39</x:v>
      </x:c>
      <x:c r="I470" s="14" t="n">
        <x:f>(C470-$H470)/$H470*100</x:f>
        <x:v>15.384615384615385</x:v>
      </x:c>
      <x:c r="J470" s="14" t="n">
        <x:f>(D470-$H470)/$H470*100</x:f>
        <x:v>17.94871794871795</x:v>
      </x:c>
      <x:c r="K470" s="14" t="n">
        <x:f>(E470-$H470)/$H470*100</x:f>
        <x:v>15.384615384615385</x:v>
      </x:c>
      <x:c r="L470" s="14" t="n">
        <x:f>(F470-$H470)/$H470*100</x:f>
        <x:v>5.128205128205128</x:v>
      </x:c>
      <x:c r="M470" s="14" t="n">
        <x:f>(G470-$H470)/$H470*100</x:f>
        <x:v>0</x:v>
      </x:c>
      <x:c r="N470" s="12" t="str">
        <x:f>IF(C470=$H470,"YES","NO")</x:f>
        <x:v>NO</x:v>
      </x:c>
      <x:c r="O470" s="12" t="str">
        <x:f>IF(D470=$H470,"YES","NO")</x:f>
        <x:v>NO</x:v>
      </x:c>
      <x:c r="P470" s="12" t="str">
        <x:f>IF(E470=$H470,"YES","NO")</x:f>
        <x:v>NO</x:v>
      </x:c>
      <x:c r="Q470" s="12" t="str">
        <x:f>IF(F470=$H470,"YES","NO")</x:f>
        <x:v>NO</x:v>
      </x:c>
      <x:c r="R470" s="12" t="str">
        <x:f>IF(G470=$H470,"YES","NO")</x:f>
        <x:v>YES</x:v>
      </x:c>
    </x:row>
    <x:row r="471">
      <x:c r="A471" s="44" t="str">
        <x:v>bpps_d200n200m5w2_60s20_40f1_seed0</x:v>
      </x:c>
      <x:c r="B471" s="12" t="n">
        <x:v>200</x:v>
      </x:c>
      <x:c r="C471" s="12" t="n">
        <x:v>793</x:v>
      </x:c>
      <x:c r="D471" s="12" t="n">
        <x:v>791</x:v>
      </x:c>
      <x:c r="E471" s="12" t="n">
        <x:v>757</x:v>
      </x:c>
      <x:c r="F471" s="12" t="n">
        <x:v>560</x:v>
      </x:c>
      <x:c r="G471" s="12" t="n">
        <x:v>531</x:v>
      </x:c>
      <x:c r="H471" s="12" t="n">
        <x:f>MIN(C471:G471)</x:f>
        <x:v>531</x:v>
      </x:c>
      <x:c r="I471" s="14" t="n">
        <x:f>(C471-$H471)/$H471*100</x:f>
        <x:v>49.34086629001883</x:v>
      </x:c>
      <x:c r="J471" s="14" t="n">
        <x:f>(D471-$H471)/$H471*100</x:f>
        <x:v>48.96421845574388</x:v>
      </x:c>
      <x:c r="K471" s="14" t="n">
        <x:f>(E471-$H471)/$H471*100</x:f>
        <x:v>42.56120527306968</x:v>
      </x:c>
      <x:c r="L471" s="14" t="n">
        <x:f>(F471-$H471)/$H471*100</x:f>
        <x:v>5.4613935969868175</x:v>
      </x:c>
      <x:c r="M471" s="14" t="n">
        <x:f>(G471-$H471)/$H471*100</x:f>
        <x:v>0</x:v>
      </x:c>
      <x:c r="N471" s="12" t="str">
        <x:f>IF(C471=$H471,"YES","NO")</x:f>
        <x:v>NO</x:v>
      </x:c>
      <x:c r="O471" s="12" t="str">
        <x:f>IF(D471=$H471,"YES","NO")</x:f>
        <x:v>NO</x:v>
      </x:c>
      <x:c r="P471" s="12" t="str">
        <x:f>IF(E471=$H471,"YES","NO")</x:f>
        <x:v>NO</x:v>
      </x:c>
      <x:c r="Q471" s="12" t="str">
        <x:f>IF(F471=$H471,"YES","NO")</x:f>
        <x:v>NO</x:v>
      </x:c>
      <x:c r="R471" s="12" t="str">
        <x:f>IF(G471=$H471,"YES","NO")</x:f>
        <x:v>YES</x:v>
      </x:c>
    </x:row>
    <x:row r="472">
      <x:c r="A472" s="44" t="str">
        <x:v>bpps_d200n200m5w2_60s2_20f0_seed0</x:v>
      </x:c>
      <x:c r="B472" s="12" t="n">
        <x:v>200</x:v>
      </x:c>
      <x:c r="C472" s="12" t="n">
        <x:v>37</x:v>
      </x:c>
      <x:c r="D472" s="12" t="n">
        <x:v>36</x:v>
      </x:c>
      <x:c r="E472" s="12" t="n">
        <x:v>36</x:v>
      </x:c>
      <x:c r="F472" s="12" t="n">
        <x:v>37</x:v>
      </x:c>
      <x:c r="G472" s="12" t="n">
        <x:v>35</x:v>
      </x:c>
      <x:c r="H472" s="12" t="n">
        <x:f>MIN(C472:G472)</x:f>
        <x:v>35</x:v>
      </x:c>
      <x:c r="I472" s="14" t="n">
        <x:f>(C472-$H472)/$H472*100</x:f>
        <x:v>5.714285714285714</x:v>
      </x:c>
      <x:c r="J472" s="14" t="n">
        <x:f>(D472-$H472)/$H472*100</x:f>
        <x:v>2.857142857142857</x:v>
      </x:c>
      <x:c r="K472" s="14" t="n">
        <x:f>(E472-$H472)/$H472*100</x:f>
        <x:v>2.857142857142857</x:v>
      </x:c>
      <x:c r="L472" s="14" t="n">
        <x:f>(F472-$H472)/$H472*100</x:f>
        <x:v>5.714285714285714</x:v>
      </x:c>
      <x:c r="M472" s="14" t="n">
        <x:f>(G472-$H472)/$H472*100</x:f>
        <x:v>0</x:v>
      </x:c>
      <x:c r="N472" s="12" t="str">
        <x:f>IF(C472=$H472,"YES","NO")</x:f>
        <x:v>NO</x:v>
      </x:c>
      <x:c r="O472" s="12" t="str">
        <x:f>IF(D472=$H472,"YES","NO")</x:f>
        <x:v>NO</x:v>
      </x:c>
      <x:c r="P472" s="12" t="str">
        <x:f>IF(E472=$H472,"YES","NO")</x:f>
        <x:v>NO</x:v>
      </x:c>
      <x:c r="Q472" s="12" t="str">
        <x:f>IF(F472=$H472,"YES","NO")</x:f>
        <x:v>NO</x:v>
      </x:c>
      <x:c r="R472" s="12" t="str">
        <x:f>IF(G472=$H472,"YES","NO")</x:f>
        <x:v>YES</x:v>
      </x:c>
    </x:row>
    <x:row r="473">
      <x:c r="A473" s="44" t="str">
        <x:v>bpps_d200n200m5w2_60s2_20f1_seed0</x:v>
      </x:c>
      <x:c r="B473" s="12" t="n">
        <x:v>200</x:v>
      </x:c>
      <x:c r="C473" s="12" t="n">
        <x:v>727</x:v>
      </x:c>
      <x:c r="D473" s="12" t="n">
        <x:v>714</x:v>
      </x:c>
      <x:c r="E473" s="12" t="n">
        <x:v>693</x:v>
      </x:c>
      <x:c r="F473" s="12" t="n">
        <x:v>541</x:v>
      </x:c>
      <x:c r="G473" s="12" t="n">
        <x:v>475</x:v>
      </x:c>
      <x:c r="H473" s="12" t="n">
        <x:f>MIN(C473:G473)</x:f>
        <x:v>475</x:v>
      </x:c>
      <x:c r="I473" s="14" t="n">
        <x:f>(C473-$H473)/$H473*100</x:f>
        <x:v>53.05263157894737</x:v>
      </x:c>
      <x:c r="J473" s="14" t="n">
        <x:f>(D473-$H473)/$H473*100</x:f>
        <x:v>50.31578947368421</x:v>
      </x:c>
      <x:c r="K473" s="14" t="n">
        <x:f>(E473-$H473)/$H473*100</x:f>
        <x:v>45.89473684210526</x:v>
      </x:c>
      <x:c r="L473" s="14" t="n">
        <x:f>(F473-$H473)/$H473*100</x:f>
        <x:v>13.894736842105262</x:v>
      </x:c>
      <x:c r="M473" s="14" t="n">
        <x:f>(G473-$H473)/$H473*100</x:f>
        <x:v>0</x:v>
      </x:c>
      <x:c r="N473" s="12" t="str">
        <x:f>IF(C473=$H473,"YES","NO")</x:f>
        <x:v>NO</x:v>
      </x:c>
      <x:c r="O473" s="12" t="str">
        <x:f>IF(D473=$H473,"YES","NO")</x:f>
        <x:v>NO</x:v>
      </x:c>
      <x:c r="P473" s="12" t="str">
        <x:f>IF(E473=$H473,"YES","NO")</x:f>
        <x:v>NO</x:v>
      </x:c>
      <x:c r="Q473" s="12" t="str">
        <x:f>IF(F473=$H473,"YES","NO")</x:f>
        <x:v>NO</x:v>
      </x:c>
      <x:c r="R473" s="12" t="str">
        <x:f>IF(G473=$H473,"YES","NO")</x:f>
        <x:v>YES</x:v>
      </x:c>
    </x:row>
    <x:row r="474">
      <x:c r="A474" s="44" t="str">
        <x:v>bpps_d200n200m5w2_60s2_40f0_seed0</x:v>
      </x:c>
      <x:c r="B474" s="12" t="n">
        <x:v>200</x:v>
      </x:c>
      <x:c r="C474" s="12" t="n">
        <x:v>39</x:v>
      </x:c>
      <x:c r="D474" s="12" t="n">
        <x:v>39</x:v>
      </x:c>
      <x:c r="E474" s="12" t="n">
        <x:v>39</x:v>
      </x:c>
      <x:c r="F474" s="12" t="n">
        <x:v>38</x:v>
      </x:c>
      <x:c r="G474" s="12" t="n">
        <x:v>36</x:v>
      </x:c>
      <x:c r="H474" s="12" t="n">
        <x:f>MIN(C474:G474)</x:f>
        <x:v>36</x:v>
      </x:c>
      <x:c r="I474" s="14" t="n">
        <x:f>(C474-$H474)/$H474*100</x:f>
        <x:v>8.333333333333332</x:v>
      </x:c>
      <x:c r="J474" s="14" t="n">
        <x:f>(D474-$H474)/$H474*100</x:f>
        <x:v>8.333333333333332</x:v>
      </x:c>
      <x:c r="K474" s="14" t="n">
        <x:f>(E474-$H474)/$H474*100</x:f>
        <x:v>8.333333333333332</x:v>
      </x:c>
      <x:c r="L474" s="14" t="n">
        <x:f>(F474-$H474)/$H474*100</x:f>
        <x:v>5.555555555555555</x:v>
      </x:c>
      <x:c r="M474" s="14" t="n">
        <x:f>(G474-$H474)/$H474*100</x:f>
        <x:v>0</x:v>
      </x:c>
      <x:c r="N474" s="12" t="str">
        <x:f>IF(C474=$H474,"YES","NO")</x:f>
        <x:v>NO</x:v>
      </x:c>
      <x:c r="O474" s="12" t="str">
        <x:f>IF(D474=$H474,"YES","NO")</x:f>
        <x:v>NO</x:v>
      </x:c>
      <x:c r="P474" s="12" t="str">
        <x:f>IF(E474=$H474,"YES","NO")</x:f>
        <x:v>NO</x:v>
      </x:c>
      <x:c r="Q474" s="12" t="str">
        <x:f>IF(F474=$H474,"YES","NO")</x:f>
        <x:v>NO</x:v>
      </x:c>
      <x:c r="R474" s="12" t="str">
        <x:f>IF(G474=$H474,"YES","NO")</x:f>
        <x:v>YES</x:v>
      </x:c>
    </x:row>
    <x:row r="475">
      <x:c r="A475" s="44" t="str">
        <x:v>bpps_d200n200m5w2_60s2_40f1_seed0</x:v>
      </x:c>
      <x:c r="B475" s="12" t="n">
        <x:v>200</x:v>
      </x:c>
      <x:c r="C475" s="12" t="n">
        <x:v>750</x:v>
      </x:c>
      <x:c r="D475" s="12" t="n">
        <x:v>763</x:v>
      </x:c>
      <x:c r="E475" s="12" t="n">
        <x:v>728</x:v>
      </x:c>
      <x:c r="F475" s="12" t="n">
        <x:v>547</x:v>
      </x:c>
      <x:c r="G475" s="12" t="n">
        <x:v>501</x:v>
      </x:c>
      <x:c r="H475" s="12" t="n">
        <x:f>MIN(C475:G475)</x:f>
        <x:v>501</x:v>
      </x:c>
      <x:c r="I475" s="14" t="n">
        <x:f>(C475-$H475)/$H475*100</x:f>
        <x:v>49.700598802395206</x:v>
      </x:c>
      <x:c r="J475" s="14" t="n">
        <x:f>(D475-$H475)/$H475*100</x:f>
        <x:v>52.29540918163673</x:v>
      </x:c>
      <x:c r="K475" s="14" t="n">
        <x:f>(E475-$H475)/$H475*100</x:f>
        <x:v>45.309381237524946</x:v>
      </x:c>
      <x:c r="L475" s="14" t="n">
        <x:f>(F475-$H475)/$H475*100</x:f>
        <x:v>9.181636726546905</x:v>
      </x:c>
      <x:c r="M475" s="14" t="n">
        <x:f>(G475-$H475)/$H475*100</x:f>
        <x:v>0</x:v>
      </x:c>
      <x:c r="N475" s="12" t="str">
        <x:f>IF(C475=$H475,"YES","NO")</x:f>
        <x:v>NO</x:v>
      </x:c>
      <x:c r="O475" s="12" t="str">
        <x:f>IF(D475=$H475,"YES","NO")</x:f>
        <x:v>NO</x:v>
      </x:c>
      <x:c r="P475" s="12" t="str">
        <x:f>IF(E475=$H475,"YES","NO")</x:f>
        <x:v>NO</x:v>
      </x:c>
      <x:c r="Q475" s="12" t="str">
        <x:f>IF(F475=$H475,"YES","NO")</x:f>
        <x:v>NO</x:v>
      </x:c>
      <x:c r="R475" s="12" t="str">
        <x:f>IF(G475=$H475,"YES","NO")</x:f>
        <x:v>YES</x:v>
      </x:c>
    </x:row>
    <x:row r="476">
      <x:c r="A476" s="44" t="str">
        <x:v>bpps_d200n200m5w40_60s20_40f0_seed0</x:v>
      </x:c>
      <x:c r="B476" s="12" t="n">
        <x:v>200</x:v>
      </x:c>
      <x:c r="C476" s="12" t="n">
        <x:v>73</x:v>
      </x:c>
      <x:c r="D476" s="12" t="n">
        <x:v>74</x:v>
      </x:c>
      <x:c r="E476" s="12" t="n">
        <x:v>71</x:v>
      </x:c>
      <x:c r="F476" s="12" t="n">
        <x:v>63</x:v>
      </x:c>
      <x:c r="G476" s="12" t="n">
        <x:v>63</x:v>
      </x:c>
      <x:c r="H476" s="12" t="n">
        <x:f>MIN(C476:G476)</x:f>
        <x:v>63</x:v>
      </x:c>
      <x:c r="I476" s="14" t="n">
        <x:f>(C476-$H476)/$H476*100</x:f>
        <x:v>15.873015873015872</x:v>
      </x:c>
      <x:c r="J476" s="14" t="n">
        <x:f>(D476-$H476)/$H476*100</x:f>
        <x:v>17.46031746031746</x:v>
      </x:c>
      <x:c r="K476" s="14" t="n">
        <x:f>(E476-$H476)/$H476*100</x:f>
        <x:v>12.698412698412698</x:v>
      </x:c>
      <x:c r="L476" s="14" t="n">
        <x:f>(F476-$H476)/$H476*100</x:f>
        <x:v>0</x:v>
      </x:c>
      <x:c r="M476" s="14" t="n">
        <x:f>(G476-$H476)/$H476*100</x:f>
        <x:v>0</x:v>
      </x:c>
      <x:c r="N476" s="12" t="str">
        <x:f>IF(C476=$H476,"YES","NO")</x:f>
        <x:v>NO</x:v>
      </x:c>
      <x:c r="O476" s="12" t="str">
        <x:f>IF(D476=$H476,"YES","NO")</x:f>
        <x:v>NO</x:v>
      </x:c>
      <x:c r="P476" s="12" t="str">
        <x:f>IF(E476=$H476,"YES","NO")</x:f>
        <x:v>NO</x:v>
      </x:c>
      <x:c r="Q476" s="12" t="str">
        <x:f>IF(F476=$H476,"YES","NO")</x:f>
        <x:v>YES</x:v>
      </x:c>
      <x:c r="R476" s="12" t="str">
        <x:f>IF(G476=$H476,"YES","NO")</x:f>
        <x:v>YES</x:v>
      </x:c>
    </x:row>
    <x:row r="477">
      <x:c r="A477" s="44" t="str">
        <x:v>bpps_d200n200m5w40_60s20_40f1_seed0</x:v>
      </x:c>
      <x:c r="B477" s="12" t="n">
        <x:v>200</x:v>
      </x:c>
      <x:c r="C477" s="12" t="n">
        <x:v>1199</x:v>
      </x:c>
      <x:c r="D477" s="12" t="n">
        <x:v>1214</x:v>
      </x:c>
      <x:c r="E477" s="12" t="n">
        <x:v>1236</x:v>
      </x:c>
      <x:c r="F477" s="12" t="n">
        <x:v>875</x:v>
      </x:c>
      <x:c r="G477" s="12" t="n">
        <x:v>859</x:v>
      </x:c>
      <x:c r="H477" s="12" t="n">
        <x:f>MIN(C477:G477)</x:f>
        <x:v>859</x:v>
      </x:c>
      <x:c r="I477" s="14" t="n">
        <x:f>(C477-$H477)/$H477*100</x:f>
        <x:v>39.58090803259604</x:v>
      </x:c>
      <x:c r="J477" s="14" t="n">
        <x:f>(D477-$H477)/$H477*100</x:f>
        <x:v>41.327124563445864</x:v>
      </x:c>
      <x:c r="K477" s="14" t="n">
        <x:f>(E477-$H477)/$H477*100</x:f>
        <x:v>43.88824214202561</x:v>
      </x:c>
      <x:c r="L477" s="14" t="n">
        <x:f>(F477-$H477)/$H477*100</x:f>
        <x:v>1.8626309662398137</x:v>
      </x:c>
      <x:c r="M477" s="14" t="n">
        <x:f>(G477-$H477)/$H477*100</x:f>
        <x:v>0</x:v>
      </x:c>
      <x:c r="N477" s="12" t="str">
        <x:f>IF(C477=$H477,"YES","NO")</x:f>
        <x:v>NO</x:v>
      </x:c>
      <x:c r="O477" s="12" t="str">
        <x:f>IF(D477=$H477,"YES","NO")</x:f>
        <x:v>NO</x:v>
      </x:c>
      <x:c r="P477" s="12" t="str">
        <x:f>IF(E477=$H477,"YES","NO")</x:f>
        <x:v>NO</x:v>
      </x:c>
      <x:c r="Q477" s="12" t="str">
        <x:f>IF(F477=$H477,"YES","NO")</x:f>
        <x:v>NO</x:v>
      </x:c>
      <x:c r="R477" s="12" t="str">
        <x:f>IF(G477=$H477,"YES","NO")</x:f>
        <x:v>YES</x:v>
      </x:c>
    </x:row>
    <x:row r="478">
      <x:c r="A478" s="44" t="str">
        <x:v>bpps_d200n200m5w40_60s2_20f0_seed0</x:v>
      </x:c>
      <x:c r="B478" s="12" t="n">
        <x:v>200</x:v>
      </x:c>
      <x:c r="C478" s="12" t="n">
        <x:v>61</x:v>
      </x:c>
      <x:c r="D478" s="12" t="n">
        <x:v>61</x:v>
      </x:c>
      <x:c r="E478" s="12" t="n">
        <x:v>61</x:v>
      </x:c>
      <x:c r="F478" s="12" t="n">
        <x:v>58</x:v>
      </x:c>
      <x:c r="G478" s="12" t="n">
        <x:v>57</x:v>
      </x:c>
      <x:c r="H478" s="12" t="n">
        <x:f>MIN(C478:G478)</x:f>
        <x:v>57</x:v>
      </x:c>
      <x:c r="I478" s="14" t="n">
        <x:f>(C478-$H478)/$H478*100</x:f>
        <x:v>7.017543859649122</x:v>
      </x:c>
      <x:c r="J478" s="14" t="n">
        <x:f>(D478-$H478)/$H478*100</x:f>
        <x:v>7.017543859649122</x:v>
      </x:c>
      <x:c r="K478" s="14" t="n">
        <x:f>(E478-$H478)/$H478*100</x:f>
        <x:v>7.017543859649122</x:v>
      </x:c>
      <x:c r="L478" s="14" t="n">
        <x:f>(F478-$H478)/$H478*100</x:f>
        <x:v>1.7543859649122806</x:v>
      </x:c>
      <x:c r="M478" s="14" t="n">
        <x:f>(G478-$H478)/$H478*100</x:f>
        <x:v>0</x:v>
      </x:c>
      <x:c r="N478" s="12" t="str">
        <x:f>IF(C478=$H478,"YES","NO")</x:f>
        <x:v>NO</x:v>
      </x:c>
      <x:c r="O478" s="12" t="str">
        <x:f>IF(D478=$H478,"YES","NO")</x:f>
        <x:v>NO</x:v>
      </x:c>
      <x:c r="P478" s="12" t="str">
        <x:f>IF(E478=$H478,"YES","NO")</x:f>
        <x:v>NO</x:v>
      </x:c>
      <x:c r="Q478" s="12" t="str">
        <x:f>IF(F478=$H478,"YES","NO")</x:f>
        <x:v>NO</x:v>
      </x:c>
      <x:c r="R478" s="12" t="str">
        <x:f>IF(G478=$H478,"YES","NO")</x:f>
        <x:v>YES</x:v>
      </x:c>
    </x:row>
    <x:row r="479">
      <x:c r="A479" s="44" t="str">
        <x:v>bpps_d200n200m5w40_60s2_20f1_seed0</x:v>
      </x:c>
      <x:c r="B479" s="12" t="n">
        <x:v>200</x:v>
      </x:c>
      <x:c r="C479" s="12" t="n">
        <x:v>1078</x:v>
      </x:c>
      <x:c r="D479" s="12" t="n">
        <x:v>1105</x:v>
      </x:c>
      <x:c r="E479" s="12" t="n">
        <x:v>1054</x:v>
      </x:c>
      <x:c r="F479" s="12" t="n">
        <x:v>790</x:v>
      </x:c>
      <x:c r="G479" s="12" t="n">
        <x:v>754</x:v>
      </x:c>
      <x:c r="H479" s="12" t="n">
        <x:f>MIN(C479:G479)</x:f>
        <x:v>754</x:v>
      </x:c>
      <x:c r="I479" s="14" t="n">
        <x:f>(C479-$H479)/$H479*100</x:f>
        <x:v>42.97082228116711</x:v>
      </x:c>
      <x:c r="J479" s="14" t="n">
        <x:f>(D479-$H479)/$H479*100</x:f>
        <x:v>46.55172413793103</x:v>
      </x:c>
      <x:c r="K479" s="14" t="n">
        <x:f>(E479-$H479)/$H479*100</x:f>
        <x:v>39.787798408488065</x:v>
      </x:c>
      <x:c r="L479" s="14" t="n">
        <x:f>(F479-$H479)/$H479*100</x:f>
        <x:v>4.774535809018567</x:v>
      </x:c>
      <x:c r="M479" s="14" t="n">
        <x:f>(G479-$H479)/$H479*100</x:f>
        <x:v>0</x:v>
      </x:c>
      <x:c r="N479" s="12" t="str">
        <x:f>IF(C479=$H479,"YES","NO")</x:f>
        <x:v>NO</x:v>
      </x:c>
      <x:c r="O479" s="12" t="str">
        <x:f>IF(D479=$H479,"YES","NO")</x:f>
        <x:v>NO</x:v>
      </x:c>
      <x:c r="P479" s="12" t="str">
        <x:f>IF(E479=$H479,"YES","NO")</x:f>
        <x:v>NO</x:v>
      </x:c>
      <x:c r="Q479" s="12" t="str">
        <x:f>IF(F479=$H479,"YES","NO")</x:f>
        <x:v>NO</x:v>
      </x:c>
      <x:c r="R479" s="12" t="str">
        <x:f>IF(G479=$H479,"YES","NO")</x:f>
        <x:v>YES</x:v>
      </x:c>
    </x:row>
    <x:row r="480">
      <x:c r="A480" s="44" t="str">
        <x:v>bpps_d200n200m5w40_60s2_40f0_seed0</x:v>
      </x:c>
      <x:c r="B480" s="12" t="n">
        <x:v>200</x:v>
      </x:c>
      <x:c r="C480" s="12" t="n">
        <x:v>66</x:v>
      </x:c>
      <x:c r="D480" s="12" t="n">
        <x:v>66</x:v>
      </x:c>
      <x:c r="E480" s="12" t="n">
        <x:v>66</x:v>
      </x:c>
      <x:c r="F480" s="12" t="n">
        <x:v>61</x:v>
      </x:c>
      <x:c r="G480" s="12" t="n">
        <x:v>60</x:v>
      </x:c>
      <x:c r="H480" s="12" t="n">
        <x:f>MIN(C480:G480)</x:f>
        <x:v>60</x:v>
      </x:c>
      <x:c r="I480" s="14" t="n">
        <x:f>(C480-$H480)/$H480*100</x:f>
        <x:v>10</x:v>
      </x:c>
      <x:c r="J480" s="14" t="n">
        <x:f>(D480-$H480)/$H480*100</x:f>
        <x:v>10</x:v>
      </x:c>
      <x:c r="K480" s="14" t="n">
        <x:f>(E480-$H480)/$H480*100</x:f>
        <x:v>10</x:v>
      </x:c>
      <x:c r="L480" s="14" t="n">
        <x:f>(F480-$H480)/$H480*100</x:f>
        <x:v>1.6666666666666667</x:v>
      </x:c>
      <x:c r="M480" s="14" t="n">
        <x:f>(G480-$H480)/$H480*100</x:f>
        <x:v>0</x:v>
      </x:c>
      <x:c r="N480" s="12" t="str">
        <x:f>IF(C480=$H480,"YES","NO")</x:f>
        <x:v>NO</x:v>
      </x:c>
      <x:c r="O480" s="12" t="str">
        <x:f>IF(D480=$H480,"YES","NO")</x:f>
        <x:v>NO</x:v>
      </x:c>
      <x:c r="P480" s="12" t="str">
        <x:f>IF(E480=$H480,"YES","NO")</x:f>
        <x:v>NO</x:v>
      </x:c>
      <x:c r="Q480" s="12" t="str">
        <x:f>IF(F480=$H480,"YES","NO")</x:f>
        <x:v>NO</x:v>
      </x:c>
      <x:c r="R480" s="12" t="str">
        <x:f>IF(G480=$H480,"YES","NO")</x:f>
        <x:v>YES</x:v>
      </x:c>
    </x:row>
    <x:row r="481">
      <x:c r="A481" s="44" t="str">
        <x:v>bpps_d200n200m5w40_60s2_40f1_seed0</x:v>
      </x:c>
      <x:c r="B481" s="12" t="n">
        <x:v>200</x:v>
      </x:c>
      <x:c r="C481" s="12" t="n">
        <x:v>1126</x:v>
      </x:c>
      <x:c r="D481" s="12" t="n">
        <x:v>1120</x:v>
      </x:c>
      <x:c r="E481" s="12" t="n">
        <x:v>1103</x:v>
      </x:c>
      <x:c r="F481" s="12" t="n">
        <x:v>854</x:v>
      </x:c>
      <x:c r="G481" s="12" t="n">
        <x:v>822</x:v>
      </x:c>
      <x:c r="H481" s="12" t="n">
        <x:f>MIN(C481:G481)</x:f>
        <x:v>822</x:v>
      </x:c>
      <x:c r="I481" s="14" t="n">
        <x:f>(C481-$H481)/$H481*100</x:f>
        <x:v>36.982968369829685</x:v>
      </x:c>
      <x:c r="J481" s="14" t="n">
        <x:f>(D481-$H481)/$H481*100</x:f>
        <x:v>36.25304136253041</x:v>
      </x:c>
      <x:c r="K481" s="14" t="n">
        <x:f>(E481-$H481)/$H481*100</x:f>
        <x:v>34.18491484184915</x:v>
      </x:c>
      <x:c r="L481" s="14" t="n">
        <x:f>(F481-$H481)/$H481*100</x:f>
        <x:v>3.8929440389294405</x:v>
      </x:c>
      <x:c r="M481" s="14" t="n">
        <x:f>(G481-$H481)/$H481*100</x:f>
        <x:v>0</x:v>
      </x:c>
      <x:c r="N481" s="12" t="str">
        <x:f>IF(C481=$H481,"YES","NO")</x:f>
        <x:v>NO</x:v>
      </x:c>
      <x:c r="O481" s="12" t="str">
        <x:f>IF(D481=$H481,"YES","NO")</x:f>
        <x:v>NO</x:v>
      </x:c>
      <x:c r="P481" s="12" t="str">
        <x:f>IF(E481=$H481,"YES","NO")</x:f>
        <x:v>NO</x:v>
      </x:c>
      <x:c r="Q481" s="12" t="str">
        <x:f>IF(F481=$H481,"YES","NO")</x:f>
        <x:v>NO</x:v>
      </x:c>
      <x:c r="R481" s="12" t="str">
        <x:f>IF(G481=$H481,"YES","NO")</x:f>
        <x:v>YES</x:v>
      </x:c>
    </x:row>
    <x:row r="482">
      <x:c r="A482" s="44" t="str">
        <x:v>bpps_d200n25m10w20_40s20_40f0_seed0</x:v>
      </x:c>
      <x:c r="B482" s="12" t="n">
        <x:v>25</x:v>
      </x:c>
      <x:c r="C482" s="12" t="n">
        <x:v>7</x:v>
      </x:c>
      <x:c r="D482" s="12" t="n">
        <x:v>7</x:v>
      </x:c>
      <x:c r="E482" s="12" t="n">
        <x:v>7</x:v>
      </x:c>
      <x:c r="F482" s="12" t="n">
        <x:v>6</x:v>
      </x:c>
      <x:c r="G482" s="12" t="n">
        <x:v>6</x:v>
      </x:c>
      <x:c r="H482" s="12" t="n">
        <x:f>MIN(C482:G482)</x:f>
        <x:v>6</x:v>
      </x:c>
      <x:c r="I482" s="14" t="n">
        <x:f>(C482-$H482)/$H482*100</x:f>
        <x:v>16.666666666666664</x:v>
      </x:c>
      <x:c r="J482" s="14" t="n">
        <x:f>(D482-$H482)/$H482*100</x:f>
        <x:v>16.666666666666664</x:v>
      </x:c>
      <x:c r="K482" s="14" t="n">
        <x:f>(E482-$H482)/$H482*100</x:f>
        <x:v>16.666666666666664</x:v>
      </x:c>
      <x:c r="L482" s="14" t="n">
        <x:f>(F482-$H482)/$H482*100</x:f>
        <x:v>0</x:v>
      </x:c>
      <x:c r="M482" s="14" t="n">
        <x:f>(G482-$H482)/$H482*100</x:f>
        <x:v>0</x:v>
      </x:c>
      <x:c r="N482" s="12" t="str">
        <x:f>IF(C482=$H482,"YES","NO")</x:f>
        <x:v>NO</x:v>
      </x:c>
      <x:c r="O482" s="12" t="str">
        <x:f>IF(D482=$H482,"YES","NO")</x:f>
        <x:v>NO</x:v>
      </x:c>
      <x:c r="P482" s="12" t="str">
        <x:f>IF(E482=$H482,"YES","NO")</x:f>
        <x:v>NO</x:v>
      </x:c>
      <x:c r="Q482" s="12" t="str">
        <x:f>IF(F482=$H482,"YES","NO")</x:f>
        <x:v>YES</x:v>
      </x:c>
      <x:c r="R482" s="12" t="str">
        <x:f>IF(G482=$H482,"YES","NO")</x:f>
        <x:v>YES</x:v>
      </x:c>
    </x:row>
    <x:row r="483">
      <x:c r="A483" s="44" t="str">
        <x:v>bpps_d200n25m10w20_40s20_40f1_seed0</x:v>
      </x:c>
      <x:c r="B483" s="12" t="n">
        <x:v>25</x:v>
      </x:c>
      <x:c r="C483" s="12" t="n">
        <x:v>115</x:v>
      </x:c>
      <x:c r="D483" s="12" t="n">
        <x:v>115</x:v>
      </x:c>
      <x:c r="E483" s="12" t="n">
        <x:v>118</x:v>
      </x:c>
      <x:c r="F483" s="12" t="n">
        <x:v>108</x:v>
      </x:c>
      <x:c r="G483" s="12" t="n">
        <x:v>98</x:v>
      </x:c>
      <x:c r="H483" s="12" t="n">
        <x:f>MIN(C483:G483)</x:f>
        <x:v>98</x:v>
      </x:c>
      <x:c r="I483" s="14" t="n">
        <x:f>(C483-$H483)/$H483*100</x:f>
        <x:v>17.346938775510203</x:v>
      </x:c>
      <x:c r="J483" s="14" t="n">
        <x:f>(D483-$H483)/$H483*100</x:f>
        <x:v>17.346938775510203</x:v>
      </x:c>
      <x:c r="K483" s="14" t="n">
        <x:f>(E483-$H483)/$H483*100</x:f>
        <x:v>20.408163265306122</x:v>
      </x:c>
      <x:c r="L483" s="14" t="n">
        <x:f>(F483-$H483)/$H483*100</x:f>
        <x:v>10.204081632653061</x:v>
      </x:c>
      <x:c r="M483" s="14" t="n">
        <x:f>(G483-$H483)/$H483*100</x:f>
        <x:v>0</x:v>
      </x:c>
      <x:c r="N483" s="12" t="str">
        <x:f>IF(C483=$H483,"YES","NO")</x:f>
        <x:v>NO</x:v>
      </x:c>
      <x:c r="O483" s="12" t="str">
        <x:f>IF(D483=$H483,"YES","NO")</x:f>
        <x:v>NO</x:v>
      </x:c>
      <x:c r="P483" s="12" t="str">
        <x:f>IF(E483=$H483,"YES","NO")</x:f>
        <x:v>NO</x:v>
      </x:c>
      <x:c r="Q483" s="12" t="str">
        <x:f>IF(F483=$H483,"YES","NO")</x:f>
        <x:v>NO</x:v>
      </x:c>
      <x:c r="R483" s="12" t="str">
        <x:f>IF(G483=$H483,"YES","NO")</x:f>
        <x:v>YES</x:v>
      </x:c>
    </x:row>
    <x:row r="484">
      <x:c r="A484" s="44" t="str">
        <x:v>bpps_d200n25m10w20_40s2_20f0_seed0</x:v>
      </x:c>
      <x:c r="B484" s="12" t="n">
        <x:v>25</x:v>
      </x:c>
      <x:c r="C484" s="12" t="n">
        <x:v>5</x:v>
      </x:c>
      <x:c r="D484" s="12" t="n">
        <x:v>5</x:v>
      </x:c>
      <x:c r="E484" s="12" t="n">
        <x:v>5</x:v>
      </x:c>
      <x:c r="F484" s="12" t="n">
        <x:v>6</x:v>
      </x:c>
      <x:c r="G484" s="12" t="n">
        <x:v>5</x:v>
      </x:c>
      <x:c r="H484" s="12" t="n">
        <x:f>MIN(C484:G484)</x:f>
        <x:v>5</x:v>
      </x:c>
      <x:c r="I484" s="14" t="n">
        <x:f>(C484-$H484)/$H484*100</x:f>
        <x:v>0</x:v>
      </x:c>
      <x:c r="J484" s="14" t="n">
        <x:f>(D484-$H484)/$H484*100</x:f>
        <x:v>0</x:v>
      </x:c>
      <x:c r="K484" s="14" t="n">
        <x:f>(E484-$H484)/$H484*100</x:f>
        <x:v>0</x:v>
      </x:c>
      <x:c r="L484" s="14" t="n">
        <x:f>(F484-$H484)/$H484*100</x:f>
        <x:v>20</x:v>
      </x:c>
      <x:c r="M484" s="14" t="n">
        <x:f>(G484-$H484)/$H484*100</x:f>
        <x:v>0</x:v>
      </x:c>
      <x:c r="N484" s="12" t="str">
        <x:f>IF(C484=$H484,"YES","NO")</x:f>
        <x:v>YES</x:v>
      </x:c>
      <x:c r="O484" s="12" t="str">
        <x:f>IF(D484=$H484,"YES","NO")</x:f>
        <x:v>YES</x:v>
      </x:c>
      <x:c r="P484" s="12" t="str">
        <x:f>IF(E484=$H484,"YES","NO")</x:f>
        <x:v>YES</x:v>
      </x:c>
      <x:c r="Q484" s="12" t="str">
        <x:f>IF(F484=$H484,"YES","NO")</x:f>
        <x:v>NO</x:v>
      </x:c>
      <x:c r="R484" s="12" t="str">
        <x:f>IF(G484=$H484,"YES","NO")</x:f>
        <x:v>YES</x:v>
      </x:c>
    </x:row>
    <x:row r="485">
      <x:c r="A485" s="44" t="str">
        <x:v>bpps_d200n25m10w20_40s2_20f1_seed0</x:v>
      </x:c>
      <x:c r="B485" s="12" t="n">
        <x:v>25</x:v>
      </x:c>
      <x:c r="C485" s="12" t="n">
        <x:v>103</x:v>
      </x:c>
      <x:c r="D485" s="12" t="n">
        <x:v>103</x:v>
      </x:c>
      <x:c r="E485" s="12" t="n">
        <x:v>100</x:v>
      </x:c>
      <x:c r="F485" s="12" t="n">
        <x:v>97</x:v>
      </x:c>
      <x:c r="G485" s="12" t="n">
        <x:v>87</x:v>
      </x:c>
      <x:c r="H485" s="12" t="n">
        <x:f>MIN(C485:G485)</x:f>
        <x:v>87</x:v>
      </x:c>
      <x:c r="I485" s="14" t="n">
        <x:f>(C485-$H485)/$H485*100</x:f>
        <x:v>18.39080459770115</x:v>
      </x:c>
      <x:c r="J485" s="14" t="n">
        <x:f>(D485-$H485)/$H485*100</x:f>
        <x:v>18.39080459770115</x:v>
      </x:c>
      <x:c r="K485" s="14" t="n">
        <x:f>(E485-$H485)/$H485*100</x:f>
        <x:v>14.942528735632186</x:v>
      </x:c>
      <x:c r="L485" s="14" t="n">
        <x:f>(F485-$H485)/$H485*100</x:f>
        <x:v>11.494252873563218</x:v>
      </x:c>
      <x:c r="M485" s="14" t="n">
        <x:f>(G485-$H485)/$H485*100</x:f>
        <x:v>0</x:v>
      </x:c>
      <x:c r="N485" s="12" t="str">
        <x:f>IF(C485=$H485,"YES","NO")</x:f>
        <x:v>NO</x:v>
      </x:c>
      <x:c r="O485" s="12" t="str">
        <x:f>IF(D485=$H485,"YES","NO")</x:f>
        <x:v>NO</x:v>
      </x:c>
      <x:c r="P485" s="12" t="str">
        <x:f>IF(E485=$H485,"YES","NO")</x:f>
        <x:v>NO</x:v>
      </x:c>
      <x:c r="Q485" s="12" t="str">
        <x:f>IF(F485=$H485,"YES","NO")</x:f>
        <x:v>NO</x:v>
      </x:c>
      <x:c r="R485" s="12" t="str">
        <x:f>IF(G485=$H485,"YES","NO")</x:f>
        <x:v>YES</x:v>
      </x:c>
    </x:row>
    <x:row r="486">
      <x:c r="A486" s="44" t="str">
        <x:v>bpps_d200n25m10w20_40s2_40f0_seed0</x:v>
      </x:c>
      <x:c r="B486" s="12" t="n">
        <x:v>25</x:v>
      </x:c>
      <x:c r="C486" s="12" t="n">
        <x:v>6</x:v>
      </x:c>
      <x:c r="D486" s="12" t="n">
        <x:v>6</x:v>
      </x:c>
      <x:c r="E486" s="12" t="n">
        <x:v>6</x:v>
      </x:c>
      <x:c r="F486" s="12" t="n">
        <x:v>6</x:v>
      </x:c>
      <x:c r="G486" s="12" t="n">
        <x:v>6</x:v>
      </x:c>
      <x:c r="H486" s="12" t="n">
        <x:f>MIN(C486:G486)</x:f>
        <x:v>6</x:v>
      </x:c>
      <x:c r="I486" s="14" t="n">
        <x:f>(C486-$H486)/$H486*100</x:f>
        <x:v>0</x:v>
      </x:c>
      <x:c r="J486" s="14" t="n">
        <x:f>(D486-$H486)/$H486*100</x:f>
        <x:v>0</x:v>
      </x:c>
      <x:c r="K486" s="14" t="n">
        <x:f>(E486-$H486)/$H486*100</x:f>
        <x:v>0</x:v>
      </x:c>
      <x:c r="L486" s="14" t="n">
        <x:f>(F486-$H486)/$H486*100</x:f>
        <x:v>0</x:v>
      </x:c>
      <x:c r="M486" s="14" t="n">
        <x:f>(G486-$H486)/$H486*100</x:f>
        <x:v>0</x:v>
      </x:c>
      <x:c r="N486" s="12" t="str">
        <x:f>IF(C486=$H486,"YES","NO")</x:f>
        <x:v>YES</x:v>
      </x:c>
      <x:c r="O486" s="12" t="str">
        <x:f>IF(D486=$H486,"YES","NO")</x:f>
        <x:v>YES</x:v>
      </x:c>
      <x:c r="P486" s="12" t="str">
        <x:f>IF(E486=$H486,"YES","NO")</x:f>
        <x:v>YES</x:v>
      </x:c>
      <x:c r="Q486" s="12" t="str">
        <x:f>IF(F486=$H486,"YES","NO")</x:f>
        <x:v>YES</x:v>
      </x:c>
      <x:c r="R486" s="12" t="str">
        <x:f>IF(G486=$H486,"YES","NO")</x:f>
        <x:v>YES</x:v>
      </x:c>
    </x:row>
    <x:row r="487">
      <x:c r="A487" s="44" t="str">
        <x:v>bpps_d200n25m10w20_40s2_40f1_seed0</x:v>
      </x:c>
      <x:c r="B487" s="12" t="n">
        <x:v>25</x:v>
      </x:c>
      <x:c r="C487" s="12" t="n">
        <x:v>114</x:v>
      </x:c>
      <x:c r="D487" s="12" t="n">
        <x:v>114</x:v>
      </x:c>
      <x:c r="E487" s="12" t="n">
        <x:v>108</x:v>
      </x:c>
      <x:c r="F487" s="12" t="n">
        <x:v>109</x:v>
      </x:c>
      <x:c r="G487" s="12" t="n">
        <x:v>99</x:v>
      </x:c>
      <x:c r="H487" s="12" t="n">
        <x:f>MIN(C487:G487)</x:f>
        <x:v>99</x:v>
      </x:c>
      <x:c r="I487" s="14" t="n">
        <x:f>(C487-$H487)/$H487*100</x:f>
        <x:v>15.151515151515152</x:v>
      </x:c>
      <x:c r="J487" s="14" t="n">
        <x:f>(D487-$H487)/$H487*100</x:f>
        <x:v>15.151515151515152</x:v>
      </x:c>
      <x:c r="K487" s="14" t="n">
        <x:f>(E487-$H487)/$H487*100</x:f>
        <x:v>9.090909090909092</x:v>
      </x:c>
      <x:c r="L487" s="14" t="n">
        <x:f>(F487-$H487)/$H487*100</x:f>
        <x:v>10.1010101010101</x:v>
      </x:c>
      <x:c r="M487" s="14" t="n">
        <x:f>(G487-$H487)/$H487*100</x:f>
        <x:v>0</x:v>
      </x:c>
      <x:c r="N487" s="12" t="str">
        <x:f>IF(C487=$H487,"YES","NO")</x:f>
        <x:v>NO</x:v>
      </x:c>
      <x:c r="O487" s="12" t="str">
        <x:f>IF(D487=$H487,"YES","NO")</x:f>
        <x:v>NO</x:v>
      </x:c>
      <x:c r="P487" s="12" t="str">
        <x:f>IF(E487=$H487,"YES","NO")</x:f>
        <x:v>NO</x:v>
      </x:c>
      <x:c r="Q487" s="12" t="str">
        <x:f>IF(F487=$H487,"YES","NO")</x:f>
        <x:v>NO</x:v>
      </x:c>
      <x:c r="R487" s="12" t="str">
        <x:f>IF(G487=$H487,"YES","NO")</x:f>
        <x:v>YES</x:v>
      </x:c>
    </x:row>
    <x:row r="488">
      <x:c r="A488" s="44" t="str">
        <x:v>bpps_d200n25m10w2_20s20_40f0_seed0</x:v>
      </x:c>
      <x:c r="B488" s="12" t="n">
        <x:v>25</x:v>
      </x:c>
      <x:c r="C488" s="12" t="n">
        <x:v>5</x:v>
      </x:c>
      <x:c r="D488" s="12" t="n">
        <x:v>5</x:v>
      </x:c>
      <x:c r="E488" s="12" t="n">
        <x:v>5</x:v>
      </x:c>
      <x:c r="F488" s="12" t="n">
        <x:v>5</x:v>
      </x:c>
      <x:c r="G488" s="12" t="n">
        <x:v>4</x:v>
      </x:c>
      <x:c r="H488" s="12" t="n">
        <x:f>MIN(C488:G488)</x:f>
        <x:v>4</x:v>
      </x:c>
      <x:c r="I488" s="14" t="n">
        <x:f>(C488-$H488)/$H488*100</x:f>
        <x:v>25</x:v>
      </x:c>
      <x:c r="J488" s="14" t="n">
        <x:f>(D488-$H488)/$H488*100</x:f>
        <x:v>25</x:v>
      </x:c>
      <x:c r="K488" s="14" t="n">
        <x:f>(E488-$H488)/$H488*100</x:f>
        <x:v>25</x:v>
      </x:c>
      <x:c r="L488" s="14" t="n">
        <x:f>(F488-$H488)/$H488*100</x:f>
        <x:v>25</x:v>
      </x:c>
      <x:c r="M488" s="14" t="n">
        <x:f>(G488-$H488)/$H488*100</x:f>
        <x:v>0</x:v>
      </x:c>
      <x:c r="N488" s="12" t="str">
        <x:f>IF(C488=$H488,"YES","NO")</x:f>
        <x:v>NO</x:v>
      </x:c>
      <x:c r="O488" s="12" t="str">
        <x:f>IF(D488=$H488,"YES","NO")</x:f>
        <x:v>NO</x:v>
      </x:c>
      <x:c r="P488" s="12" t="str">
        <x:f>IF(E488=$H488,"YES","NO")</x:f>
        <x:v>NO</x:v>
      </x:c>
      <x:c r="Q488" s="12" t="str">
        <x:f>IF(F488=$H488,"YES","NO")</x:f>
        <x:v>NO</x:v>
      </x:c>
      <x:c r="R488" s="12" t="str">
        <x:f>IF(G488=$H488,"YES","NO")</x:f>
        <x:v>YES</x:v>
      </x:c>
    </x:row>
    <x:row r="489">
      <x:c r="A489" s="44" t="str">
        <x:v>bpps_d200n25m10w2_20s20_40f1_seed0</x:v>
      </x:c>
      <x:c r="B489" s="12" t="n">
        <x:v>25</x:v>
      </x:c>
      <x:c r="C489" s="12" t="n">
        <x:v>79</x:v>
      </x:c>
      <x:c r="D489" s="12" t="n">
        <x:v>79</x:v>
      </x:c>
      <x:c r="E489" s="12" t="n">
        <x:v>77</x:v>
      </x:c>
      <x:c r="F489" s="12" t="n">
        <x:v>83</x:v>
      </x:c>
      <x:c r="G489" s="12" t="n">
        <x:v>73</x:v>
      </x:c>
      <x:c r="H489" s="12" t="n">
        <x:f>MIN(C489:G489)</x:f>
        <x:v>73</x:v>
      </x:c>
      <x:c r="I489" s="14" t="n">
        <x:f>(C489-$H489)/$H489*100</x:f>
        <x:v>8.21917808219178</x:v>
      </x:c>
      <x:c r="J489" s="14" t="n">
        <x:f>(D489-$H489)/$H489*100</x:f>
        <x:v>8.21917808219178</x:v>
      </x:c>
      <x:c r="K489" s="14" t="n">
        <x:f>(E489-$H489)/$H489*100</x:f>
        <x:v>5.47945205479452</x:v>
      </x:c>
      <x:c r="L489" s="14" t="n">
        <x:f>(F489-$H489)/$H489*100</x:f>
        <x:v>13.698630136986301</x:v>
      </x:c>
      <x:c r="M489" s="14" t="n">
        <x:f>(G489-$H489)/$H489*100</x:f>
        <x:v>0</x:v>
      </x:c>
      <x:c r="N489" s="12" t="str">
        <x:f>IF(C489=$H489,"YES","NO")</x:f>
        <x:v>NO</x:v>
      </x:c>
      <x:c r="O489" s="12" t="str">
        <x:f>IF(D489=$H489,"YES","NO")</x:f>
        <x:v>NO</x:v>
      </x:c>
      <x:c r="P489" s="12" t="str">
        <x:f>IF(E489=$H489,"YES","NO")</x:f>
        <x:v>NO</x:v>
      </x:c>
      <x:c r="Q489" s="12" t="str">
        <x:f>IF(F489=$H489,"YES","NO")</x:f>
        <x:v>NO</x:v>
      </x:c>
      <x:c r="R489" s="12" t="str">
        <x:f>IF(G489=$H489,"YES","NO")</x:f>
        <x:v>YES</x:v>
      </x:c>
    </x:row>
    <x:row r="490">
      <x:c r="A490" s="44" t="str">
        <x:v>bpps_d200n25m10w2_20s2_20f0_seed0</x:v>
      </x:c>
      <x:c r="B490" s="12" t="n">
        <x:v>25</x:v>
      </x:c>
      <x:c r="C490" s="12" t="n">
        <x:v>4</x:v>
      </x:c>
      <x:c r="D490" s="12" t="n">
        <x:v>4</x:v>
      </x:c>
      <x:c r="E490" s="12" t="n">
        <x:v>4</x:v>
      </x:c>
      <x:c r="F490" s="12" t="n">
        <x:v>5</x:v>
      </x:c>
      <x:c r="G490" s="12" t="n">
        <x:v>3</x:v>
      </x:c>
      <x:c r="H490" s="12" t="n">
        <x:f>MIN(C490:G490)</x:f>
        <x:v>3</x:v>
      </x:c>
      <x:c r="I490" s="14" t="n">
        <x:f>(C490-$H490)/$H490*100</x:f>
        <x:v>33.33333333333333</x:v>
      </x:c>
      <x:c r="J490" s="14" t="n">
        <x:f>(D490-$H490)/$H490*100</x:f>
        <x:v>33.33333333333333</x:v>
      </x:c>
      <x:c r="K490" s="14" t="n">
        <x:f>(E490-$H490)/$H490*100</x:f>
        <x:v>33.33333333333333</x:v>
      </x:c>
      <x:c r="L490" s="14" t="n">
        <x:f>(F490-$H490)/$H490*100</x:f>
        <x:v>66.66666666666666</x:v>
      </x:c>
      <x:c r="M490" s="14" t="n">
        <x:f>(G490-$H490)/$H490*100</x:f>
        <x:v>0</x:v>
      </x:c>
      <x:c r="N490" s="12" t="str">
        <x:f>IF(C490=$H490,"YES","NO")</x:f>
        <x:v>NO</x:v>
      </x:c>
      <x:c r="O490" s="12" t="str">
        <x:f>IF(D490=$H490,"YES","NO")</x:f>
        <x:v>NO</x:v>
      </x:c>
      <x:c r="P490" s="12" t="str">
        <x:f>IF(E490=$H490,"YES","NO")</x:f>
        <x:v>NO</x:v>
      </x:c>
      <x:c r="Q490" s="12" t="str">
        <x:f>IF(F490=$H490,"YES","NO")</x:f>
        <x:v>NO</x:v>
      </x:c>
      <x:c r="R490" s="12" t="str">
        <x:f>IF(G490=$H490,"YES","NO")</x:f>
        <x:v>YES</x:v>
      </x:c>
    </x:row>
    <x:row r="491">
      <x:c r="A491" s="44" t="str">
        <x:v>bpps_d200n25m10w2_20s2_20f1_seed0</x:v>
      </x:c>
      <x:c r="B491" s="12" t="n">
        <x:v>25</x:v>
      </x:c>
      <x:c r="C491" s="12" t="n">
        <x:v>72</x:v>
      </x:c>
      <x:c r="D491" s="12" t="n">
        <x:v>72</x:v>
      </x:c>
      <x:c r="E491" s="12" t="n">
        <x:v>72</x:v>
      </x:c>
      <x:c r="F491" s="12" t="n">
        <x:v>84</x:v>
      </x:c>
      <x:c r="G491" s="12" t="n">
        <x:v>66</x:v>
      </x:c>
      <x:c r="H491" s="12" t="n">
        <x:f>MIN(C491:G491)</x:f>
        <x:v>66</x:v>
      </x:c>
      <x:c r="I491" s="14" t="n">
        <x:f>(C491-$H491)/$H491*100</x:f>
        <x:v>9.090909090909092</x:v>
      </x:c>
      <x:c r="J491" s="14" t="n">
        <x:f>(D491-$H491)/$H491*100</x:f>
        <x:v>9.090909090909092</x:v>
      </x:c>
      <x:c r="K491" s="14" t="n">
        <x:f>(E491-$H491)/$H491*100</x:f>
        <x:v>9.090909090909092</x:v>
      </x:c>
      <x:c r="L491" s="14" t="n">
        <x:f>(F491-$H491)/$H491*100</x:f>
        <x:v>27.27272727272727</x:v>
      </x:c>
      <x:c r="M491" s="14" t="n">
        <x:f>(G491-$H491)/$H491*100</x:f>
        <x:v>0</x:v>
      </x:c>
      <x:c r="N491" s="12" t="str">
        <x:f>IF(C491=$H491,"YES","NO")</x:f>
        <x:v>NO</x:v>
      </x:c>
      <x:c r="O491" s="12" t="str">
        <x:f>IF(D491=$H491,"YES","NO")</x:f>
        <x:v>NO</x:v>
      </x:c>
      <x:c r="P491" s="12" t="str">
        <x:f>IF(E491=$H491,"YES","NO")</x:f>
        <x:v>NO</x:v>
      </x:c>
      <x:c r="Q491" s="12" t="str">
        <x:f>IF(F491=$H491,"YES","NO")</x:f>
        <x:v>NO</x:v>
      </x:c>
      <x:c r="R491" s="12" t="str">
        <x:f>IF(G491=$H491,"YES","NO")</x:f>
        <x:v>YES</x:v>
      </x:c>
    </x:row>
    <x:row r="492">
      <x:c r="A492" s="44" t="str">
        <x:v>bpps_d200n25m10w2_20s2_40f0_seed0</x:v>
      </x:c>
      <x:c r="B492" s="12" t="n">
        <x:v>25</x:v>
      </x:c>
      <x:c r="C492" s="12" t="n">
        <x:v>4</x:v>
      </x:c>
      <x:c r="D492" s="12" t="n">
        <x:v>4</x:v>
      </x:c>
      <x:c r="E492" s="12" t="n">
        <x:v>4</x:v>
      </x:c>
      <x:c r="F492" s="12" t="n">
        <x:v>6</x:v>
      </x:c>
      <x:c r="G492" s="12" t="n">
        <x:v>4</x:v>
      </x:c>
      <x:c r="H492" s="12" t="n">
        <x:f>MIN(C492:G492)</x:f>
        <x:v>4</x:v>
      </x:c>
      <x:c r="I492" s="14" t="n">
        <x:f>(C492-$H492)/$H492*100</x:f>
        <x:v>0</x:v>
      </x:c>
      <x:c r="J492" s="14" t="n">
        <x:f>(D492-$H492)/$H492*100</x:f>
        <x:v>0</x:v>
      </x:c>
      <x:c r="K492" s="14" t="n">
        <x:f>(E492-$H492)/$H492*100</x:f>
        <x:v>0</x:v>
      </x:c>
      <x:c r="L492" s="14" t="n">
        <x:f>(F492-$H492)/$H492*100</x:f>
        <x:v>50</x:v>
      </x:c>
      <x:c r="M492" s="14" t="n">
        <x:f>(G492-$H492)/$H492*100</x:f>
        <x:v>0</x:v>
      </x:c>
      <x:c r="N492" s="12" t="str">
        <x:f>IF(C492=$H492,"YES","NO")</x:f>
        <x:v>YES</x:v>
      </x:c>
      <x:c r="O492" s="12" t="str">
        <x:f>IF(D492=$H492,"YES","NO")</x:f>
        <x:v>YES</x:v>
      </x:c>
      <x:c r="P492" s="12" t="str">
        <x:f>IF(E492=$H492,"YES","NO")</x:f>
        <x:v>YES</x:v>
      </x:c>
      <x:c r="Q492" s="12" t="str">
        <x:f>IF(F492=$H492,"YES","NO")</x:f>
        <x:v>NO</x:v>
      </x:c>
      <x:c r="R492" s="12" t="str">
        <x:f>IF(G492=$H492,"YES","NO")</x:f>
        <x:v>YES</x:v>
      </x:c>
    </x:row>
    <x:row r="493">
      <x:c r="A493" s="44" t="str">
        <x:v>bpps_d200n25m10w2_20s2_40f1_seed0</x:v>
      </x:c>
      <x:c r="B493" s="12" t="n">
        <x:v>25</x:v>
      </x:c>
      <x:c r="C493" s="12" t="n">
        <x:v>68</x:v>
      </x:c>
      <x:c r="D493" s="12" t="n">
        <x:v>78</x:v>
      </x:c>
      <x:c r="E493" s="12" t="n">
        <x:v>66</x:v>
      </x:c>
      <x:c r="F493" s="12" t="n">
        <x:v>79</x:v>
      </x:c>
      <x:c r="G493" s="12" t="n">
        <x:v>68</x:v>
      </x:c>
      <x:c r="H493" s="12" t="n">
        <x:f>MIN(C493:G493)</x:f>
        <x:v>66</x:v>
      </x:c>
      <x:c r="I493" s="14" t="n">
        <x:f>(C493-$H493)/$H493*100</x:f>
        <x:v>3.0303030303030303</x:v>
      </x:c>
      <x:c r="J493" s="14" t="n">
        <x:f>(D493-$H493)/$H493*100</x:f>
        <x:v>18.181818181818183</x:v>
      </x:c>
      <x:c r="K493" s="14" t="n">
        <x:f>(E493-$H493)/$H493*100</x:f>
        <x:v>0</x:v>
      </x:c>
      <x:c r="L493" s="14" t="n">
        <x:f>(F493-$H493)/$H493*100</x:f>
        <x:v>19.696969696969695</x:v>
      </x:c>
      <x:c r="M493" s="14" t="n">
        <x:f>(G493-$H493)/$H493*100</x:f>
        <x:v>3.0303030303030303</x:v>
      </x:c>
      <x:c r="N493" s="12" t="str">
        <x:f>IF(C493=$H493,"YES","NO")</x:f>
        <x:v>NO</x:v>
      </x:c>
      <x:c r="O493" s="12" t="str">
        <x:f>IF(D493=$H493,"YES","NO")</x:f>
        <x:v>NO</x:v>
      </x:c>
      <x:c r="P493" s="12" t="str">
        <x:f>IF(E493=$H493,"YES","NO")</x:f>
        <x:v>YES</x:v>
      </x:c>
      <x:c r="Q493" s="12" t="str">
        <x:f>IF(F493=$H493,"YES","NO")</x:f>
        <x:v>NO</x:v>
      </x:c>
      <x:c r="R493" s="12" t="str">
        <x:f>IF(G493=$H493,"YES","NO")</x:f>
        <x:v>NO</x:v>
      </x:c>
    </x:row>
    <x:row r="494">
      <x:c r="A494" s="44" t="str">
        <x:v>bpps_d200n25m10w2_60s20_40f0_seed0</x:v>
      </x:c>
      <x:c r="B494" s="12" t="n">
        <x:v>25</x:v>
      </x:c>
      <x:c r="C494" s="12" t="n">
        <x:v>7</x:v>
      </x:c>
      <x:c r="D494" s="12" t="n">
        <x:v>7</x:v>
      </x:c>
      <x:c r="E494" s="12" t="n">
        <x:v>7</x:v>
      </x:c>
      <x:c r="F494" s="12" t="n">
        <x:v>7</x:v>
      </x:c>
      <x:c r="G494" s="12" t="n">
        <x:v>6</x:v>
      </x:c>
      <x:c r="H494" s="12" t="n">
        <x:f>MIN(C494:G494)</x:f>
        <x:v>6</x:v>
      </x:c>
      <x:c r="I494" s="14" t="n">
        <x:f>(C494-$H494)/$H494*100</x:f>
        <x:v>16.666666666666664</x:v>
      </x:c>
      <x:c r="J494" s="14" t="n">
        <x:f>(D494-$H494)/$H494*100</x:f>
        <x:v>16.666666666666664</x:v>
      </x:c>
      <x:c r="K494" s="14" t="n">
        <x:f>(E494-$H494)/$H494*100</x:f>
        <x:v>16.666666666666664</x:v>
      </x:c>
      <x:c r="L494" s="14" t="n">
        <x:f>(F494-$H494)/$H494*100</x:f>
        <x:v>16.666666666666664</x:v>
      </x:c>
      <x:c r="M494" s="14" t="n">
        <x:f>(G494-$H494)/$H494*100</x:f>
        <x:v>0</x:v>
      </x:c>
      <x:c r="N494" s="12" t="str">
        <x:f>IF(C494=$H494,"YES","NO")</x:f>
        <x:v>NO</x:v>
      </x:c>
      <x:c r="O494" s="12" t="str">
        <x:f>IF(D494=$H494,"YES","NO")</x:f>
        <x:v>NO</x:v>
      </x:c>
      <x:c r="P494" s="12" t="str">
        <x:f>IF(E494=$H494,"YES","NO")</x:f>
        <x:v>NO</x:v>
      </x:c>
      <x:c r="Q494" s="12" t="str">
        <x:f>IF(F494=$H494,"YES","NO")</x:f>
        <x:v>NO</x:v>
      </x:c>
      <x:c r="R494" s="12" t="str">
        <x:f>IF(G494=$H494,"YES","NO")</x:f>
        <x:v>YES</x:v>
      </x:c>
    </x:row>
    <x:row r="495">
      <x:c r="A495" s="44" t="str">
        <x:v>bpps_d200n25m10w2_60s20_40f1_seed0</x:v>
      </x:c>
      <x:c r="B495" s="12" t="n">
        <x:v>25</x:v>
      </x:c>
      <x:c r="C495" s="12" t="n">
        <x:v>134</x:v>
      </x:c>
      <x:c r="D495" s="12" t="n">
        <x:v>134</x:v>
      </x:c>
      <x:c r="E495" s="12" t="n">
        <x:v>128</x:v>
      </x:c>
      <x:c r="F495" s="12" t="n">
        <x:v>104</x:v>
      </x:c>
      <x:c r="G495" s="12" t="n">
        <x:v>104</x:v>
      </x:c>
      <x:c r="H495" s="12" t="n">
        <x:f>MIN(C495:G495)</x:f>
        <x:v>104</x:v>
      </x:c>
      <x:c r="I495" s="14" t="n">
        <x:f>(C495-$H495)/$H495*100</x:f>
        <x:v>28.846153846153843</x:v>
      </x:c>
      <x:c r="J495" s="14" t="n">
        <x:f>(D495-$H495)/$H495*100</x:f>
        <x:v>28.846153846153843</x:v>
      </x:c>
      <x:c r="K495" s="14" t="n">
        <x:f>(E495-$H495)/$H495*100</x:f>
        <x:v>23.076923076923077</x:v>
      </x:c>
      <x:c r="L495" s="14" t="n">
        <x:f>(F495-$H495)/$H495*100</x:f>
        <x:v>0</x:v>
      </x:c>
      <x:c r="M495" s="14" t="n">
        <x:f>(G495-$H495)/$H495*100</x:f>
        <x:v>0</x:v>
      </x:c>
      <x:c r="N495" s="12" t="str">
        <x:f>IF(C495=$H495,"YES","NO")</x:f>
        <x:v>NO</x:v>
      </x:c>
      <x:c r="O495" s="12" t="str">
        <x:f>IF(D495=$H495,"YES","NO")</x:f>
        <x:v>NO</x:v>
      </x:c>
      <x:c r="P495" s="12" t="str">
        <x:f>IF(E495=$H495,"YES","NO")</x:f>
        <x:v>NO</x:v>
      </x:c>
      <x:c r="Q495" s="12" t="str">
        <x:f>IF(F495=$H495,"YES","NO")</x:f>
        <x:v>YES</x:v>
      </x:c>
      <x:c r="R495" s="12" t="str">
        <x:f>IF(G495=$H495,"YES","NO")</x:f>
        <x:v>YES</x:v>
      </x:c>
    </x:row>
    <x:row r="496">
      <x:c r="A496" s="44" t="str">
        <x:v>bpps_d200n25m10w2_60s2_20f0_seed0</x:v>
      </x:c>
      <x:c r="B496" s="12" t="n">
        <x:v>25</x:v>
      </x:c>
      <x:c r="C496" s="12" t="n">
        <x:v>5</x:v>
      </x:c>
      <x:c r="D496" s="12" t="n">
        <x:v>5</x:v>
      </x:c>
      <x:c r="E496" s="12" t="n">
        <x:v>5</x:v>
      </x:c>
      <x:c r="F496" s="12" t="n">
        <x:v>6</x:v>
      </x:c>
      <x:c r="G496" s="12" t="n">
        <x:v>5</x:v>
      </x:c>
      <x:c r="H496" s="12" t="n">
        <x:f>MIN(C496:G496)</x:f>
        <x:v>5</x:v>
      </x:c>
      <x:c r="I496" s="14" t="n">
        <x:f>(C496-$H496)/$H496*100</x:f>
        <x:v>0</x:v>
      </x:c>
      <x:c r="J496" s="14" t="n">
        <x:f>(D496-$H496)/$H496*100</x:f>
        <x:v>0</x:v>
      </x:c>
      <x:c r="K496" s="14" t="n">
        <x:f>(E496-$H496)/$H496*100</x:f>
        <x:v>0</x:v>
      </x:c>
      <x:c r="L496" s="14" t="n">
        <x:f>(F496-$H496)/$H496*100</x:f>
        <x:v>20</x:v>
      </x:c>
      <x:c r="M496" s="14" t="n">
        <x:f>(G496-$H496)/$H496*100</x:f>
        <x:v>0</x:v>
      </x:c>
      <x:c r="N496" s="12" t="str">
        <x:f>IF(C496=$H496,"YES","NO")</x:f>
        <x:v>YES</x:v>
      </x:c>
      <x:c r="O496" s="12" t="str">
        <x:f>IF(D496=$H496,"YES","NO")</x:f>
        <x:v>YES</x:v>
      </x:c>
      <x:c r="P496" s="12" t="str">
        <x:f>IF(E496=$H496,"YES","NO")</x:f>
        <x:v>YES</x:v>
      </x:c>
      <x:c r="Q496" s="12" t="str">
        <x:f>IF(F496=$H496,"YES","NO")</x:f>
        <x:v>NO</x:v>
      </x:c>
      <x:c r="R496" s="12" t="str">
        <x:f>IF(G496=$H496,"YES","NO")</x:f>
        <x:v>YES</x:v>
      </x:c>
    </x:row>
    <x:row r="497">
      <x:c r="A497" s="44" t="str">
        <x:v>bpps_d200n25m10w2_60s2_20f1_seed0</x:v>
      </x:c>
      <x:c r="B497" s="12" t="n">
        <x:v>25</x:v>
      </x:c>
      <x:c r="C497" s="12" t="n">
        <x:v>109</x:v>
      </x:c>
      <x:c r="D497" s="12" t="n">
        <x:v>109</x:v>
      </x:c>
      <x:c r="E497" s="12" t="n">
        <x:v>107</x:v>
      </x:c>
      <x:c r="F497" s="12" t="n">
        <x:v>99</x:v>
      </x:c>
      <x:c r="G497" s="12" t="n">
        <x:v>99</x:v>
      </x:c>
      <x:c r="H497" s="12" t="n">
        <x:f>MIN(C497:G497)</x:f>
        <x:v>99</x:v>
      </x:c>
      <x:c r="I497" s="14" t="n">
        <x:f>(C497-$H497)/$H497*100</x:f>
        <x:v>10.1010101010101</x:v>
      </x:c>
      <x:c r="J497" s="14" t="n">
        <x:f>(D497-$H497)/$H497*100</x:f>
        <x:v>10.1010101010101</x:v>
      </x:c>
      <x:c r="K497" s="14" t="n">
        <x:f>(E497-$H497)/$H497*100</x:f>
        <x:v>8.080808080808081</x:v>
      </x:c>
      <x:c r="L497" s="14" t="n">
        <x:f>(F497-$H497)/$H497*100</x:f>
        <x:v>0</x:v>
      </x:c>
      <x:c r="M497" s="14" t="n">
        <x:f>(G497-$H497)/$H497*100</x:f>
        <x:v>0</x:v>
      </x:c>
      <x:c r="N497" s="12" t="str">
        <x:f>IF(C497=$H497,"YES","NO")</x:f>
        <x:v>NO</x:v>
      </x:c>
      <x:c r="O497" s="12" t="str">
        <x:f>IF(D497=$H497,"YES","NO")</x:f>
        <x:v>NO</x:v>
      </x:c>
      <x:c r="P497" s="12" t="str">
        <x:f>IF(E497=$H497,"YES","NO")</x:f>
        <x:v>NO</x:v>
      </x:c>
      <x:c r="Q497" s="12" t="str">
        <x:f>IF(F497=$H497,"YES","NO")</x:f>
        <x:v>YES</x:v>
      </x:c>
      <x:c r="R497" s="12" t="str">
        <x:f>IF(G497=$H497,"YES","NO")</x:f>
        <x:v>YES</x:v>
      </x:c>
    </x:row>
    <x:row r="498">
      <x:c r="A498" s="44" t="str">
        <x:v>bpps_d200n25m10w2_60s2_40f0_seed0</x:v>
      </x:c>
      <x:c r="B498" s="12" t="n">
        <x:v>25</x:v>
      </x:c>
      <x:c r="C498" s="12" t="n">
        <x:v>6</x:v>
      </x:c>
      <x:c r="D498" s="12" t="n">
        <x:v>6</x:v>
      </x:c>
      <x:c r="E498" s="12" t="n">
        <x:v>6</x:v>
      </x:c>
      <x:c r="F498" s="12" t="n">
        <x:v>6</x:v>
      </x:c>
      <x:c r="G498" s="12" t="n">
        <x:v>5</x:v>
      </x:c>
      <x:c r="H498" s="12" t="n">
        <x:f>MIN(C498:G498)</x:f>
        <x:v>5</x:v>
      </x:c>
      <x:c r="I498" s="14" t="n">
        <x:f>(C498-$H498)/$H498*100</x:f>
        <x:v>20</x:v>
      </x:c>
      <x:c r="J498" s="14" t="n">
        <x:f>(D498-$H498)/$H498*100</x:f>
        <x:v>20</x:v>
      </x:c>
      <x:c r="K498" s="14" t="n">
        <x:f>(E498-$H498)/$H498*100</x:f>
        <x:v>20</x:v>
      </x:c>
      <x:c r="L498" s="14" t="n">
        <x:f>(F498-$H498)/$H498*100</x:f>
        <x:v>20</x:v>
      </x:c>
      <x:c r="M498" s="14" t="n">
        <x:f>(G498-$H498)/$H498*100</x:f>
        <x:v>0</x:v>
      </x:c>
      <x:c r="N498" s="12" t="str">
        <x:f>IF(C498=$H498,"YES","NO")</x:f>
        <x:v>NO</x:v>
      </x:c>
      <x:c r="O498" s="12" t="str">
        <x:f>IF(D498=$H498,"YES","NO")</x:f>
        <x:v>NO</x:v>
      </x:c>
      <x:c r="P498" s="12" t="str">
        <x:f>IF(E498=$H498,"YES","NO")</x:f>
        <x:v>NO</x:v>
      </x:c>
      <x:c r="Q498" s="12" t="str">
        <x:f>IF(F498=$H498,"YES","NO")</x:f>
        <x:v>NO</x:v>
      </x:c>
      <x:c r="R498" s="12" t="str">
        <x:f>IF(G498=$H498,"YES","NO")</x:f>
        <x:v>YES</x:v>
      </x:c>
    </x:row>
    <x:row r="499">
      <x:c r="A499" s="44" t="str">
        <x:v>bpps_d200n25m10w2_60s2_40f1_seed0</x:v>
      </x:c>
      <x:c r="B499" s="12" t="n">
        <x:v>25</x:v>
      </x:c>
      <x:c r="C499" s="12" t="n">
        <x:v>121</x:v>
      </x:c>
      <x:c r="D499" s="12" t="n">
        <x:v>121</x:v>
      </x:c>
      <x:c r="E499" s="12" t="n">
        <x:v>121</x:v>
      </x:c>
      <x:c r="F499" s="12" t="n">
        <x:v>110</x:v>
      </x:c>
      <x:c r="G499" s="12" t="n">
        <x:v>101</x:v>
      </x:c>
      <x:c r="H499" s="12" t="n">
        <x:f>MIN(C499:G499)</x:f>
        <x:v>101</x:v>
      </x:c>
      <x:c r="I499" s="14" t="n">
        <x:f>(C499-$H499)/$H499*100</x:f>
        <x:v>19.801980198019802</x:v>
      </x:c>
      <x:c r="J499" s="14" t="n">
        <x:f>(D499-$H499)/$H499*100</x:f>
        <x:v>19.801980198019802</x:v>
      </x:c>
      <x:c r="K499" s="14" t="n">
        <x:f>(E499-$H499)/$H499*100</x:f>
        <x:v>19.801980198019802</x:v>
      </x:c>
      <x:c r="L499" s="14" t="n">
        <x:f>(F499-$H499)/$H499*100</x:f>
        <x:v>8.91089108910891</x:v>
      </x:c>
      <x:c r="M499" s="14" t="n">
        <x:f>(G499-$H499)/$H499*100</x:f>
        <x:v>0</x:v>
      </x:c>
      <x:c r="N499" s="12" t="str">
        <x:f>IF(C499=$H499,"YES","NO")</x:f>
        <x:v>NO</x:v>
      </x:c>
      <x:c r="O499" s="12" t="str">
        <x:f>IF(D499=$H499,"YES","NO")</x:f>
        <x:v>NO</x:v>
      </x:c>
      <x:c r="P499" s="12" t="str">
        <x:f>IF(E499=$H499,"YES","NO")</x:f>
        <x:v>NO</x:v>
      </x:c>
      <x:c r="Q499" s="12" t="str">
        <x:f>IF(F499=$H499,"YES","NO")</x:f>
        <x:v>NO</x:v>
      </x:c>
      <x:c r="R499" s="12" t="str">
        <x:f>IF(G499=$H499,"YES","NO")</x:f>
        <x:v>YES</x:v>
      </x:c>
    </x:row>
    <x:row r="500">
      <x:c r="A500" s="44" t="str">
        <x:v>bpps_d200n25m10w40_60s20_40f0_seed0</x:v>
      </x:c>
      <x:c r="B500" s="12" t="n">
        <x:v>25</x:v>
      </x:c>
      <x:c r="C500" s="12" t="n">
        <x:v>10</x:v>
      </x:c>
      <x:c r="D500" s="12" t="n">
        <x:v>10</x:v>
      </x:c>
      <x:c r="E500" s="12" t="n">
        <x:v>10</x:v>
      </x:c>
      <x:c r="F500" s="12" t="n">
        <x:v>11</x:v>
      </x:c>
      <x:c r="G500" s="12" t="n">
        <x:v>9</x:v>
      </x:c>
      <x:c r="H500" s="12" t="n">
        <x:f>MIN(C500:G500)</x:f>
        <x:v>9</x:v>
      </x:c>
      <x:c r="I500" s="14" t="n">
        <x:f>(C500-$H500)/$H500*100</x:f>
        <x:v>11.11111111111111</x:v>
      </x:c>
      <x:c r="J500" s="14" t="n">
        <x:f>(D500-$H500)/$H500*100</x:f>
        <x:v>11.11111111111111</x:v>
      </x:c>
      <x:c r="K500" s="14" t="n">
        <x:f>(E500-$H500)/$H500*100</x:f>
        <x:v>11.11111111111111</x:v>
      </x:c>
      <x:c r="L500" s="14" t="n">
        <x:f>(F500-$H500)/$H500*100</x:f>
        <x:v>22.22222222222222</x:v>
      </x:c>
      <x:c r="M500" s="14" t="n">
        <x:f>(G500-$H500)/$H500*100</x:f>
        <x:v>0</x:v>
      </x:c>
      <x:c r="N500" s="12" t="str">
        <x:f>IF(C500=$H500,"YES","NO")</x:f>
        <x:v>NO</x:v>
      </x:c>
      <x:c r="O500" s="12" t="str">
        <x:f>IF(D500=$H500,"YES","NO")</x:f>
        <x:v>NO</x:v>
      </x:c>
      <x:c r="P500" s="12" t="str">
        <x:f>IF(E500=$H500,"YES","NO")</x:f>
        <x:v>NO</x:v>
      </x:c>
      <x:c r="Q500" s="12" t="str">
        <x:f>IF(F500=$H500,"YES","NO")</x:f>
        <x:v>NO</x:v>
      </x:c>
      <x:c r="R500" s="12" t="str">
        <x:f>IF(G500=$H500,"YES","NO")</x:f>
        <x:v>YES</x:v>
      </x:c>
    </x:row>
    <x:row r="501">
      <x:c r="A501" s="44" t="str">
        <x:v>bpps_d200n25m10w40_60s20_40f1_seed0</x:v>
      </x:c>
      <x:c r="B501" s="12" t="n">
        <x:v>25</x:v>
      </x:c>
      <x:c r="C501" s="12" t="n">
        <x:v>172</x:v>
      </x:c>
      <x:c r="D501" s="12" t="n">
        <x:v>170</x:v>
      </x:c>
      <x:c r="E501" s="12" t="n">
        <x:v>172</x:v>
      </x:c>
      <x:c r="F501" s="12" t="n">
        <x:v>146</x:v>
      </x:c>
      <x:c r="G501" s="12" t="n">
        <x:v>137</x:v>
      </x:c>
      <x:c r="H501" s="12" t="n">
        <x:f>MIN(C501:G501)</x:f>
        <x:v>137</x:v>
      </x:c>
      <x:c r="I501" s="14" t="n">
        <x:f>(C501-$H501)/$H501*100</x:f>
        <x:v>25.547445255474454</x:v>
      </x:c>
      <x:c r="J501" s="14" t="n">
        <x:f>(D501-$H501)/$H501*100</x:f>
        <x:v>24.087591240875913</x:v>
      </x:c>
      <x:c r="K501" s="14" t="n">
        <x:f>(E501-$H501)/$H501*100</x:f>
        <x:v>25.547445255474454</x:v>
      </x:c>
      <x:c r="L501" s="14" t="n">
        <x:f>(F501-$H501)/$H501*100</x:f>
        <x:v>6.569343065693431</x:v>
      </x:c>
      <x:c r="M501" s="14" t="n">
        <x:f>(G501-$H501)/$H501*100</x:f>
        <x:v>0</x:v>
      </x:c>
      <x:c r="N501" s="12" t="str">
        <x:f>IF(C501=$H501,"YES","NO")</x:f>
        <x:v>NO</x:v>
      </x:c>
      <x:c r="O501" s="12" t="str">
        <x:f>IF(D501=$H501,"YES","NO")</x:f>
        <x:v>NO</x:v>
      </x:c>
      <x:c r="P501" s="12" t="str">
        <x:f>IF(E501=$H501,"YES","NO")</x:f>
        <x:v>NO</x:v>
      </x:c>
      <x:c r="Q501" s="12" t="str">
        <x:f>IF(F501=$H501,"YES","NO")</x:f>
        <x:v>NO</x:v>
      </x:c>
      <x:c r="R501" s="12" t="str">
        <x:f>IF(G501=$H501,"YES","NO")</x:f>
        <x:v>YES</x:v>
      </x:c>
    </x:row>
    <x:row r="502">
      <x:c r="A502" s="44" t="str">
        <x:v>bpps_d200n25m10w40_60s2_20f0_seed0</x:v>
      </x:c>
      <x:c r="B502" s="12" t="n">
        <x:v>25</x:v>
      </x:c>
      <x:c r="C502" s="12" t="n">
        <x:v>8</x:v>
      </x:c>
      <x:c r="D502" s="12" t="n">
        <x:v>8</x:v>
      </x:c>
      <x:c r="E502" s="12" t="n">
        <x:v>8</x:v>
      </x:c>
      <x:c r="F502" s="12" t="n">
        <x:v>9</x:v>
      </x:c>
      <x:c r="G502" s="12" t="n">
        <x:v>8</x:v>
      </x:c>
      <x:c r="H502" s="12" t="n">
        <x:f>MIN(C502:G502)</x:f>
        <x:v>8</x:v>
      </x:c>
      <x:c r="I502" s="14" t="n">
        <x:f>(C502-$H502)/$H502*100</x:f>
        <x:v>0</x:v>
      </x:c>
      <x:c r="J502" s="14" t="n">
        <x:f>(D502-$H502)/$H502*100</x:f>
        <x:v>0</x:v>
      </x:c>
      <x:c r="K502" s="14" t="n">
        <x:f>(E502-$H502)/$H502*100</x:f>
        <x:v>0</x:v>
      </x:c>
      <x:c r="L502" s="14" t="n">
        <x:f>(F502-$H502)/$H502*100</x:f>
        <x:v>12.5</x:v>
      </x:c>
      <x:c r="M502" s="14" t="n">
        <x:f>(G502-$H502)/$H502*100</x:f>
        <x:v>0</x:v>
      </x:c>
      <x:c r="N502" s="12" t="str">
        <x:f>IF(C502=$H502,"YES","NO")</x:f>
        <x:v>YES</x:v>
      </x:c>
      <x:c r="O502" s="12" t="str">
        <x:f>IF(D502=$H502,"YES","NO")</x:f>
        <x:v>YES</x:v>
      </x:c>
      <x:c r="P502" s="12" t="str">
        <x:f>IF(E502=$H502,"YES","NO")</x:f>
        <x:v>YES</x:v>
      </x:c>
      <x:c r="Q502" s="12" t="str">
        <x:f>IF(F502=$H502,"YES","NO")</x:f>
        <x:v>NO</x:v>
      </x:c>
      <x:c r="R502" s="12" t="str">
        <x:f>IF(G502=$H502,"YES","NO")</x:f>
        <x:v>YES</x:v>
      </x:c>
    </x:row>
    <x:row r="503">
      <x:c r="A503" s="44" t="str">
        <x:v>bpps_d200n25m10w40_60s2_20f1_seed0</x:v>
      </x:c>
      <x:c r="B503" s="12" t="n">
        <x:v>25</x:v>
      </x:c>
      <x:c r="C503" s="12" t="n">
        <x:v>147</x:v>
      </x:c>
      <x:c r="D503" s="12" t="n">
        <x:v>147</x:v>
      </x:c>
      <x:c r="E503" s="12" t="n">
        <x:v>141</x:v>
      </x:c>
      <x:c r="F503" s="12" t="n">
        <x:v>131</x:v>
      </x:c>
      <x:c r="G503" s="12" t="n">
        <x:v>122</x:v>
      </x:c>
      <x:c r="H503" s="12" t="n">
        <x:f>MIN(C503:G503)</x:f>
        <x:v>122</x:v>
      </x:c>
      <x:c r="I503" s="14" t="n">
        <x:f>(C503-$H503)/$H503*100</x:f>
        <x:v>20.491803278688526</x:v>
      </x:c>
      <x:c r="J503" s="14" t="n">
        <x:f>(D503-$H503)/$H503*100</x:f>
        <x:v>20.491803278688526</x:v>
      </x:c>
      <x:c r="K503" s="14" t="n">
        <x:f>(E503-$H503)/$H503*100</x:f>
        <x:v>15.573770491803279</x:v>
      </x:c>
      <x:c r="L503" s="14" t="n">
        <x:f>(F503-$H503)/$H503*100</x:f>
        <x:v>7.377049180327869</x:v>
      </x:c>
      <x:c r="M503" s="14" t="n">
        <x:f>(G503-$H503)/$H503*100</x:f>
        <x:v>0</x:v>
      </x:c>
      <x:c r="N503" s="12" t="str">
        <x:f>IF(C503=$H503,"YES","NO")</x:f>
        <x:v>NO</x:v>
      </x:c>
      <x:c r="O503" s="12" t="str">
        <x:f>IF(D503=$H503,"YES","NO")</x:f>
        <x:v>NO</x:v>
      </x:c>
      <x:c r="P503" s="12" t="str">
        <x:f>IF(E503=$H503,"YES","NO")</x:f>
        <x:v>NO</x:v>
      </x:c>
      <x:c r="Q503" s="12" t="str">
        <x:f>IF(F503=$H503,"YES","NO")</x:f>
        <x:v>NO</x:v>
      </x:c>
      <x:c r="R503" s="12" t="str">
        <x:f>IF(G503=$H503,"YES","NO")</x:f>
        <x:v>YES</x:v>
      </x:c>
    </x:row>
    <x:row r="504">
      <x:c r="A504" s="44" t="str">
        <x:v>bpps_d200n25m10w40_60s2_40f0_seed0</x:v>
      </x:c>
      <x:c r="B504" s="12" t="n">
        <x:v>25</x:v>
      </x:c>
      <x:c r="C504" s="12" t="n">
        <x:v>9</x:v>
      </x:c>
      <x:c r="D504" s="12" t="n">
        <x:v>9</x:v>
      </x:c>
      <x:c r="E504" s="12" t="n">
        <x:v>9</x:v>
      </x:c>
      <x:c r="F504" s="12" t="n">
        <x:v>9</x:v>
      </x:c>
      <x:c r="G504" s="12" t="n">
        <x:v>9</x:v>
      </x:c>
      <x:c r="H504" s="12" t="n">
        <x:f>MIN(C504:G504)</x:f>
        <x:v>9</x:v>
      </x:c>
      <x:c r="I504" s="14" t="n">
        <x:f>(C504-$H504)/$H504*100</x:f>
        <x:v>0</x:v>
      </x:c>
      <x:c r="J504" s="14" t="n">
        <x:f>(D504-$H504)/$H504*100</x:f>
        <x:v>0</x:v>
      </x:c>
      <x:c r="K504" s="14" t="n">
        <x:f>(E504-$H504)/$H504*100</x:f>
        <x:v>0</x:v>
      </x:c>
      <x:c r="L504" s="14" t="n">
        <x:f>(F504-$H504)/$H504*100</x:f>
        <x:v>0</x:v>
      </x:c>
      <x:c r="M504" s="14" t="n">
        <x:f>(G504-$H504)/$H504*100</x:f>
        <x:v>0</x:v>
      </x:c>
      <x:c r="N504" s="12" t="str">
        <x:f>IF(C504=$H504,"YES","NO")</x:f>
        <x:v>YES</x:v>
      </x:c>
      <x:c r="O504" s="12" t="str">
        <x:f>IF(D504=$H504,"YES","NO")</x:f>
        <x:v>YES</x:v>
      </x:c>
      <x:c r="P504" s="12" t="str">
        <x:f>IF(E504=$H504,"YES","NO")</x:f>
        <x:v>YES</x:v>
      </x:c>
      <x:c r="Q504" s="12" t="str">
        <x:f>IF(F504=$H504,"YES","NO")</x:f>
        <x:v>YES</x:v>
      </x:c>
      <x:c r="R504" s="12" t="str">
        <x:f>IF(G504=$H504,"YES","NO")</x:f>
        <x:v>YES</x:v>
      </x:c>
    </x:row>
    <x:row r="505">
      <x:c r="A505" s="44" t="str">
        <x:v>bpps_d200n25m10w40_60s2_40f1_seed0</x:v>
      </x:c>
      <x:c r="B505" s="12" t="n">
        <x:v>25</x:v>
      </x:c>
      <x:c r="C505" s="12" t="n">
        <x:v>145</x:v>
      </x:c>
      <x:c r="D505" s="12" t="n">
        <x:v>145</x:v>
      </x:c>
      <x:c r="E505" s="12" t="n">
        <x:v>160</x:v>
      </x:c>
      <x:c r="F505" s="12" t="n">
        <x:v>131</x:v>
      </x:c>
      <x:c r="G505" s="12" t="n">
        <x:v>116</x:v>
      </x:c>
      <x:c r="H505" s="12" t="n">
        <x:f>MIN(C505:G505)</x:f>
        <x:v>116</x:v>
      </x:c>
      <x:c r="I505" s="14" t="n">
        <x:f>(C505-$H505)/$H505*100</x:f>
        <x:v>25</x:v>
      </x:c>
      <x:c r="J505" s="14" t="n">
        <x:f>(D505-$H505)/$H505*100</x:f>
        <x:v>25</x:v>
      </x:c>
      <x:c r="K505" s="14" t="n">
        <x:f>(E505-$H505)/$H505*100</x:f>
        <x:v>37.93103448275862</x:v>
      </x:c>
      <x:c r="L505" s="14" t="n">
        <x:f>(F505-$H505)/$H505*100</x:f>
        <x:v>12.931034482758621</x:v>
      </x:c>
      <x:c r="M505" s="14" t="n">
        <x:f>(G505-$H505)/$H505*100</x:f>
        <x:v>0</x:v>
      </x:c>
      <x:c r="N505" s="12" t="str">
        <x:f>IF(C505=$H505,"YES","NO")</x:f>
        <x:v>NO</x:v>
      </x:c>
      <x:c r="O505" s="12" t="str">
        <x:f>IF(D505=$H505,"YES","NO")</x:f>
        <x:v>NO</x:v>
      </x:c>
      <x:c r="P505" s="12" t="str">
        <x:f>IF(E505=$H505,"YES","NO")</x:f>
        <x:v>NO</x:v>
      </x:c>
      <x:c r="Q505" s="12" t="str">
        <x:f>IF(F505=$H505,"YES","NO")</x:f>
        <x:v>NO</x:v>
      </x:c>
      <x:c r="R505" s="12" t="str">
        <x:f>IF(G505=$H505,"YES","NO")</x:f>
        <x:v>YES</x:v>
      </x:c>
    </x:row>
    <x:row r="506">
      <x:c r="A506" s="44" t="str">
        <x:v>bpps_d200n25m5w20_40s20_40f0_seed0</x:v>
      </x:c>
      <x:c r="B506" s="12" t="n">
        <x:v>25</x:v>
      </x:c>
      <x:c r="C506" s="12" t="n">
        <x:v>6</x:v>
      </x:c>
      <x:c r="D506" s="12" t="n">
        <x:v>6</x:v>
      </x:c>
      <x:c r="E506" s="12" t="n">
        <x:v>6</x:v>
      </x:c>
      <x:c r="F506" s="12" t="n">
        <x:v>7</x:v>
      </x:c>
      <x:c r="G506" s="12" t="n">
        <x:v>6</x:v>
      </x:c>
      <x:c r="H506" s="12" t="n">
        <x:f>MIN(C506:G506)</x:f>
        <x:v>6</x:v>
      </x:c>
      <x:c r="I506" s="14" t="n">
        <x:f>(C506-$H506)/$H506*100</x:f>
        <x:v>0</x:v>
      </x:c>
      <x:c r="J506" s="14" t="n">
        <x:f>(D506-$H506)/$H506*100</x:f>
        <x:v>0</x:v>
      </x:c>
      <x:c r="K506" s="14" t="n">
        <x:f>(E506-$H506)/$H506*100</x:f>
        <x:v>0</x:v>
      </x:c>
      <x:c r="L506" s="14" t="n">
        <x:f>(F506-$H506)/$H506*100</x:f>
        <x:v>16.666666666666664</x:v>
      </x:c>
      <x:c r="M506" s="14" t="n">
        <x:f>(G506-$H506)/$H506*100</x:f>
        <x:v>0</x:v>
      </x:c>
      <x:c r="N506" s="12" t="str">
        <x:f>IF(C506=$H506,"YES","NO")</x:f>
        <x:v>YES</x:v>
      </x:c>
      <x:c r="O506" s="12" t="str">
        <x:f>IF(D506=$H506,"YES","NO")</x:f>
        <x:v>YES</x:v>
      </x:c>
      <x:c r="P506" s="12" t="str">
        <x:f>IF(E506=$H506,"YES","NO")</x:f>
        <x:v>YES</x:v>
      </x:c>
      <x:c r="Q506" s="12" t="str">
        <x:f>IF(F506=$H506,"YES","NO")</x:f>
        <x:v>NO</x:v>
      </x:c>
      <x:c r="R506" s="12" t="str">
        <x:f>IF(G506=$H506,"YES","NO")</x:f>
        <x:v>YES</x:v>
      </x:c>
    </x:row>
    <x:row r="507">
      <x:c r="A507" s="44" t="str">
        <x:v>bpps_d200n25m5w20_40s20_40f1_seed0</x:v>
      </x:c>
      <x:c r="B507" s="12" t="n">
        <x:v>25</x:v>
      </x:c>
      <x:c r="C507" s="12" t="n">
        <x:v>122</x:v>
      </x:c>
      <x:c r="D507" s="12" t="n">
        <x:v>121</x:v>
      </x:c>
      <x:c r="E507" s="12" t="n">
        <x:v>114</x:v>
      </x:c>
      <x:c r="F507" s="12" t="n">
        <x:v>104</x:v>
      </x:c>
      <x:c r="G507" s="12" t="n">
        <x:v>94</x:v>
      </x:c>
      <x:c r="H507" s="12" t="n">
        <x:f>MIN(C507:G507)</x:f>
        <x:v>94</x:v>
      </x:c>
      <x:c r="I507" s="14" t="n">
        <x:f>(C507-$H507)/$H507*100</x:f>
        <x:v>29.78723404255319</x:v>
      </x:c>
      <x:c r="J507" s="14" t="n">
        <x:f>(D507-$H507)/$H507*100</x:f>
        <x:v>28.723404255319153</x:v>
      </x:c>
      <x:c r="K507" s="14" t="n">
        <x:f>(E507-$H507)/$H507*100</x:f>
        <x:v>21.27659574468085</x:v>
      </x:c>
      <x:c r="L507" s="14" t="n">
        <x:f>(F507-$H507)/$H507*100</x:f>
        <x:v>10.638297872340425</x:v>
      </x:c>
      <x:c r="M507" s="14" t="n">
        <x:f>(G507-$H507)/$H507*100</x:f>
        <x:v>0</x:v>
      </x:c>
      <x:c r="N507" s="12" t="str">
        <x:f>IF(C507=$H507,"YES","NO")</x:f>
        <x:v>NO</x:v>
      </x:c>
      <x:c r="O507" s="12" t="str">
        <x:f>IF(D507=$H507,"YES","NO")</x:f>
        <x:v>NO</x:v>
      </x:c>
      <x:c r="P507" s="12" t="str">
        <x:f>IF(E507=$H507,"YES","NO")</x:f>
        <x:v>NO</x:v>
      </x:c>
      <x:c r="Q507" s="12" t="str">
        <x:f>IF(F507=$H507,"YES","NO")</x:f>
        <x:v>NO</x:v>
      </x:c>
      <x:c r="R507" s="12" t="str">
        <x:f>IF(G507=$H507,"YES","NO")</x:f>
        <x:v>YES</x:v>
      </x:c>
    </x:row>
    <x:row r="508">
      <x:c r="A508" s="44" t="str">
        <x:v>bpps_d200n25m5w20_40s2_20f0_seed0</x:v>
      </x:c>
      <x:c r="B508" s="12" t="n">
        <x:v>25</x:v>
      </x:c>
      <x:c r="C508" s="12" t="n">
        <x:v>5</x:v>
      </x:c>
      <x:c r="D508" s="12" t="n">
        <x:v>5</x:v>
      </x:c>
      <x:c r="E508" s="12" t="n">
        <x:v>5</x:v>
      </x:c>
      <x:c r="F508" s="12" t="n">
        <x:v>6</x:v>
      </x:c>
      <x:c r="G508" s="12" t="n">
        <x:v>5</x:v>
      </x:c>
      <x:c r="H508" s="12" t="n">
        <x:f>MIN(C508:G508)</x:f>
        <x:v>5</x:v>
      </x:c>
      <x:c r="I508" s="14" t="n">
        <x:f>(C508-$H508)/$H508*100</x:f>
        <x:v>0</x:v>
      </x:c>
      <x:c r="J508" s="14" t="n">
        <x:f>(D508-$H508)/$H508*100</x:f>
        <x:v>0</x:v>
      </x:c>
      <x:c r="K508" s="14" t="n">
        <x:f>(E508-$H508)/$H508*100</x:f>
        <x:v>0</x:v>
      </x:c>
      <x:c r="L508" s="14" t="n">
        <x:f>(F508-$H508)/$H508*100</x:f>
        <x:v>20</x:v>
      </x:c>
      <x:c r="M508" s="14" t="n">
        <x:f>(G508-$H508)/$H508*100</x:f>
        <x:v>0</x:v>
      </x:c>
      <x:c r="N508" s="12" t="str">
        <x:f>IF(C508=$H508,"YES","NO")</x:f>
        <x:v>YES</x:v>
      </x:c>
      <x:c r="O508" s="12" t="str">
        <x:f>IF(D508=$H508,"YES","NO")</x:f>
        <x:v>YES</x:v>
      </x:c>
      <x:c r="P508" s="12" t="str">
        <x:f>IF(E508=$H508,"YES","NO")</x:f>
        <x:v>YES</x:v>
      </x:c>
      <x:c r="Q508" s="12" t="str">
        <x:f>IF(F508=$H508,"YES","NO")</x:f>
        <x:v>NO</x:v>
      </x:c>
      <x:c r="R508" s="12" t="str">
        <x:f>IF(G508=$H508,"YES","NO")</x:f>
        <x:v>YES</x:v>
      </x:c>
    </x:row>
    <x:row r="509">
      <x:c r="A509" s="44" t="str">
        <x:v>bpps_d200n25m5w20_40s2_20f1_seed0</x:v>
      </x:c>
      <x:c r="B509" s="12" t="n">
        <x:v>25</x:v>
      </x:c>
      <x:c r="C509" s="12" t="n">
        <x:v>101</x:v>
      </x:c>
      <x:c r="D509" s="12" t="n">
        <x:v>101</x:v>
      </x:c>
      <x:c r="E509" s="12" t="n">
        <x:v>98</x:v>
      </x:c>
      <x:c r="F509" s="12" t="n">
        <x:v>87</x:v>
      </x:c>
      <x:c r="G509" s="12" t="n">
        <x:v>80</x:v>
      </x:c>
      <x:c r="H509" s="12" t="n">
        <x:f>MIN(C509:G509)</x:f>
        <x:v>80</x:v>
      </x:c>
      <x:c r="I509" s="14" t="n">
        <x:f>(C509-$H509)/$H509*100</x:f>
        <x:v>26.25</x:v>
      </x:c>
      <x:c r="J509" s="14" t="n">
        <x:f>(D509-$H509)/$H509*100</x:f>
        <x:v>26.25</x:v>
      </x:c>
      <x:c r="K509" s="14" t="n">
        <x:f>(E509-$H509)/$H509*100</x:f>
        <x:v>22.5</x:v>
      </x:c>
      <x:c r="L509" s="14" t="n">
        <x:f>(F509-$H509)/$H509*100</x:f>
        <x:v>8.75</x:v>
      </x:c>
      <x:c r="M509" s="14" t="n">
        <x:f>(G509-$H509)/$H509*100</x:f>
        <x:v>0</x:v>
      </x:c>
      <x:c r="N509" s="12" t="str">
        <x:f>IF(C509=$H509,"YES","NO")</x:f>
        <x:v>NO</x:v>
      </x:c>
      <x:c r="O509" s="12" t="str">
        <x:f>IF(D509=$H509,"YES","NO")</x:f>
        <x:v>NO</x:v>
      </x:c>
      <x:c r="P509" s="12" t="str">
        <x:f>IF(E509=$H509,"YES","NO")</x:f>
        <x:v>NO</x:v>
      </x:c>
      <x:c r="Q509" s="12" t="str">
        <x:f>IF(F509=$H509,"YES","NO")</x:f>
        <x:v>NO</x:v>
      </x:c>
      <x:c r="R509" s="12" t="str">
        <x:f>IF(G509=$H509,"YES","NO")</x:f>
        <x:v>YES</x:v>
      </x:c>
    </x:row>
    <x:row r="510">
      <x:c r="A510" s="44" t="str">
        <x:v>bpps_d200n25m5w20_40s2_40f0_seed0</x:v>
      </x:c>
      <x:c r="B510" s="12" t="n">
        <x:v>25</x:v>
      </x:c>
      <x:c r="C510" s="12" t="n">
        <x:v>6</x:v>
      </x:c>
      <x:c r="D510" s="12" t="n">
        <x:v>6</x:v>
      </x:c>
      <x:c r="E510" s="12" t="n">
        <x:v>6</x:v>
      </x:c>
      <x:c r="F510" s="12" t="n">
        <x:v>6</x:v>
      </x:c>
      <x:c r="G510" s="12" t="n">
        <x:v>6</x:v>
      </x:c>
      <x:c r="H510" s="12" t="n">
        <x:f>MIN(C510:G510)</x:f>
        <x:v>6</x:v>
      </x:c>
      <x:c r="I510" s="14" t="n">
        <x:f>(C510-$H510)/$H510*100</x:f>
        <x:v>0</x:v>
      </x:c>
      <x:c r="J510" s="14" t="n">
        <x:f>(D510-$H510)/$H510*100</x:f>
        <x:v>0</x:v>
      </x:c>
      <x:c r="K510" s="14" t="n">
        <x:f>(E510-$H510)/$H510*100</x:f>
        <x:v>0</x:v>
      </x:c>
      <x:c r="L510" s="14" t="n">
        <x:f>(F510-$H510)/$H510*100</x:f>
        <x:v>0</x:v>
      </x:c>
      <x:c r="M510" s="14" t="n">
        <x:f>(G510-$H510)/$H510*100</x:f>
        <x:v>0</x:v>
      </x:c>
      <x:c r="N510" s="12" t="str">
        <x:f>IF(C510=$H510,"YES","NO")</x:f>
        <x:v>YES</x:v>
      </x:c>
      <x:c r="O510" s="12" t="str">
        <x:f>IF(D510=$H510,"YES","NO")</x:f>
        <x:v>YES</x:v>
      </x:c>
      <x:c r="P510" s="12" t="str">
        <x:f>IF(E510=$H510,"YES","NO")</x:f>
        <x:v>YES</x:v>
      </x:c>
      <x:c r="Q510" s="12" t="str">
        <x:f>IF(F510=$H510,"YES","NO")</x:f>
        <x:v>YES</x:v>
      </x:c>
      <x:c r="R510" s="12" t="str">
        <x:f>IF(G510=$H510,"YES","NO")</x:f>
        <x:v>YES</x:v>
      </x:c>
    </x:row>
    <x:row r="511">
      <x:c r="A511" s="44" t="str">
        <x:v>bpps_d200n25m5w20_40s2_40f1_seed0</x:v>
      </x:c>
      <x:c r="B511" s="12" t="n">
        <x:v>25</x:v>
      </x:c>
      <x:c r="C511" s="12" t="n">
        <x:v>111</x:v>
      </x:c>
      <x:c r="D511" s="12" t="n">
        <x:v>111</x:v>
      </x:c>
      <x:c r="E511" s="12" t="n">
        <x:v>116</x:v>
      </x:c>
      <x:c r="F511" s="12" t="n">
        <x:v>104</x:v>
      </x:c>
      <x:c r="G511" s="12" t="n">
        <x:v>94</x:v>
      </x:c>
      <x:c r="H511" s="12" t="n">
        <x:f>MIN(C511:G511)</x:f>
        <x:v>94</x:v>
      </x:c>
      <x:c r="I511" s="14" t="n">
        <x:f>(C511-$H511)/$H511*100</x:f>
        <x:v>18.085106382978726</x:v>
      </x:c>
      <x:c r="J511" s="14" t="n">
        <x:f>(D511-$H511)/$H511*100</x:f>
        <x:v>18.085106382978726</x:v>
      </x:c>
      <x:c r="K511" s="14" t="n">
        <x:f>(E511-$H511)/$H511*100</x:f>
        <x:v>23.404255319148938</x:v>
      </x:c>
      <x:c r="L511" s="14" t="n">
        <x:f>(F511-$H511)/$H511*100</x:f>
        <x:v>10.638297872340425</x:v>
      </x:c>
      <x:c r="M511" s="14" t="n">
        <x:f>(G511-$H511)/$H511*100</x:f>
        <x:v>0</x:v>
      </x:c>
      <x:c r="N511" s="12" t="str">
        <x:f>IF(C511=$H511,"YES","NO")</x:f>
        <x:v>NO</x:v>
      </x:c>
      <x:c r="O511" s="12" t="str">
        <x:f>IF(D511=$H511,"YES","NO")</x:f>
        <x:v>NO</x:v>
      </x:c>
      <x:c r="P511" s="12" t="str">
        <x:f>IF(E511=$H511,"YES","NO")</x:f>
        <x:v>NO</x:v>
      </x:c>
      <x:c r="Q511" s="12" t="str">
        <x:f>IF(F511=$H511,"YES","NO")</x:f>
        <x:v>NO</x:v>
      </x:c>
      <x:c r="R511" s="12" t="str">
        <x:f>IF(G511=$H511,"YES","NO")</x:f>
        <x:v>YES</x:v>
      </x:c>
    </x:row>
    <x:row r="512">
      <x:c r="A512" s="44" t="str">
        <x:v>bpps_d200n25m5w2_20s20_40f0_seed0</x:v>
      </x:c>
      <x:c r="B512" s="12" t="n">
        <x:v>25</x:v>
      </x:c>
      <x:c r="C512" s="12" t="n">
        <x:v>4</x:v>
      </x:c>
      <x:c r="D512" s="12" t="n">
        <x:v>4</x:v>
      </x:c>
      <x:c r="E512" s="12" t="n">
        <x:v>4</x:v>
      </x:c>
      <x:c r="F512" s="12" t="n">
        <x:v>4</x:v>
      </x:c>
      <x:c r="G512" s="12" t="n">
        <x:v>4</x:v>
      </x:c>
      <x:c r="H512" s="12" t="n">
        <x:f>MIN(C512:G512)</x:f>
        <x:v>4</x:v>
      </x:c>
      <x:c r="I512" s="14" t="n">
        <x:f>(C512-$H512)/$H512*100</x:f>
        <x:v>0</x:v>
      </x:c>
      <x:c r="J512" s="14" t="n">
        <x:f>(D512-$H512)/$H512*100</x:f>
        <x:v>0</x:v>
      </x:c>
      <x:c r="K512" s="14" t="n">
        <x:f>(E512-$H512)/$H512*100</x:f>
        <x:v>0</x:v>
      </x:c>
      <x:c r="L512" s="14" t="n">
        <x:f>(F512-$H512)/$H512*100</x:f>
        <x:v>0</x:v>
      </x:c>
      <x:c r="M512" s="14" t="n">
        <x:f>(G512-$H512)/$H512*100</x:f>
        <x:v>0</x:v>
      </x:c>
      <x:c r="N512" s="12" t="str">
        <x:f>IF(C512=$H512,"YES","NO")</x:f>
        <x:v>YES</x:v>
      </x:c>
      <x:c r="O512" s="12" t="str">
        <x:f>IF(D512=$H512,"YES","NO")</x:f>
        <x:v>YES</x:v>
      </x:c>
      <x:c r="P512" s="12" t="str">
        <x:f>IF(E512=$H512,"YES","NO")</x:f>
        <x:v>YES</x:v>
      </x:c>
      <x:c r="Q512" s="12" t="str">
        <x:f>IF(F512=$H512,"YES","NO")</x:f>
        <x:v>YES</x:v>
      </x:c>
      <x:c r="R512" s="12" t="str">
        <x:f>IF(G512=$H512,"YES","NO")</x:f>
        <x:v>YES</x:v>
      </x:c>
    </x:row>
    <x:row r="513">
      <x:c r="A513" s="44" t="str">
        <x:v>bpps_d200n25m5w2_20s20_40f1_seed0</x:v>
      </x:c>
      <x:c r="B513" s="12" t="n">
        <x:v>25</x:v>
      </x:c>
      <x:c r="C513" s="12" t="n">
        <x:v>57</x:v>
      </x:c>
      <x:c r="D513" s="12" t="n">
        <x:v>57</x:v>
      </x:c>
      <x:c r="E513" s="12" t="n">
        <x:v>75</x:v>
      </x:c>
      <x:c r="F513" s="12" t="n">
        <x:v>67</x:v>
      </x:c>
      <x:c r="G513" s="12" t="n">
        <x:v>57</x:v>
      </x:c>
      <x:c r="H513" s="12" t="n">
        <x:f>MIN(C513:G513)</x:f>
        <x:v>57</x:v>
      </x:c>
      <x:c r="I513" s="14" t="n">
        <x:f>(C513-$H513)/$H513*100</x:f>
        <x:v>0</x:v>
      </x:c>
      <x:c r="J513" s="14" t="n">
        <x:f>(D513-$H513)/$H513*100</x:f>
        <x:v>0</x:v>
      </x:c>
      <x:c r="K513" s="14" t="n">
        <x:f>(E513-$H513)/$H513*100</x:f>
        <x:v>31.57894736842105</x:v>
      </x:c>
      <x:c r="L513" s="14" t="n">
        <x:f>(F513-$H513)/$H513*100</x:f>
        <x:v>17.543859649122805</x:v>
      </x:c>
      <x:c r="M513" s="14" t="n">
        <x:f>(G513-$H513)/$H513*100</x:f>
        <x:v>0</x:v>
      </x:c>
      <x:c r="N513" s="12" t="str">
        <x:f>IF(C513=$H513,"YES","NO")</x:f>
        <x:v>YES</x:v>
      </x:c>
      <x:c r="O513" s="12" t="str">
        <x:f>IF(D513=$H513,"YES","NO")</x:f>
        <x:v>YES</x:v>
      </x:c>
      <x:c r="P513" s="12" t="str">
        <x:f>IF(E513=$H513,"YES","NO")</x:f>
        <x:v>NO</x:v>
      </x:c>
      <x:c r="Q513" s="12" t="str">
        <x:f>IF(F513=$H513,"YES","NO")</x:f>
        <x:v>NO</x:v>
      </x:c>
      <x:c r="R513" s="12" t="str">
        <x:f>IF(G513=$H513,"YES","NO")</x:f>
        <x:v>YES</x:v>
      </x:c>
    </x:row>
    <x:row r="514">
      <x:c r="A514" s="44" t="str">
        <x:v>bpps_d200n25m5w2_20s2_20f0_seed0</x:v>
      </x:c>
      <x:c r="B514" s="12" t="n">
        <x:v>25</x:v>
      </x:c>
      <x:c r="C514" s="12" t="n">
        <x:v>3</x:v>
      </x:c>
      <x:c r="D514" s="12" t="n">
        <x:v>3</x:v>
      </x:c>
      <x:c r="E514" s="12" t="n">
        <x:v>4</x:v>
      </x:c>
      <x:c r="F514" s="12" t="n">
        <x:v>5</x:v>
      </x:c>
      <x:c r="G514" s="12" t="n">
        <x:v>3</x:v>
      </x:c>
      <x:c r="H514" s="12" t="n">
        <x:f>MIN(C514:G514)</x:f>
        <x:v>3</x:v>
      </x:c>
      <x:c r="I514" s="14" t="n">
        <x:f>(C514-$H514)/$H514*100</x:f>
        <x:v>0</x:v>
      </x:c>
      <x:c r="J514" s="14" t="n">
        <x:f>(D514-$H514)/$H514*100</x:f>
        <x:v>0</x:v>
      </x:c>
      <x:c r="K514" s="14" t="n">
        <x:f>(E514-$H514)/$H514*100</x:f>
        <x:v>33.33333333333333</x:v>
      </x:c>
      <x:c r="L514" s="14" t="n">
        <x:f>(F514-$H514)/$H514*100</x:f>
        <x:v>66.66666666666666</x:v>
      </x:c>
      <x:c r="M514" s="14" t="n">
        <x:f>(G514-$H514)/$H514*100</x:f>
        <x:v>0</x:v>
      </x:c>
      <x:c r="N514" s="12" t="str">
        <x:f>IF(C514=$H514,"YES","NO")</x:f>
        <x:v>YES</x:v>
      </x:c>
      <x:c r="O514" s="12" t="str">
        <x:f>IF(D514=$H514,"YES","NO")</x:f>
        <x:v>YES</x:v>
      </x:c>
      <x:c r="P514" s="12" t="str">
        <x:f>IF(E514=$H514,"YES","NO")</x:f>
        <x:v>NO</x:v>
      </x:c>
      <x:c r="Q514" s="12" t="str">
        <x:f>IF(F514=$H514,"YES","NO")</x:f>
        <x:v>NO</x:v>
      </x:c>
      <x:c r="R514" s="12" t="str">
        <x:f>IF(G514=$H514,"YES","NO")</x:f>
        <x:v>YES</x:v>
      </x:c>
    </x:row>
    <x:row r="515">
      <x:c r="A515" s="44" t="str">
        <x:v>bpps_d200n25m5w2_20s2_20f1_seed0</x:v>
      </x:c>
      <x:c r="B515" s="12" t="n">
        <x:v>25</x:v>
      </x:c>
      <x:c r="C515" s="12" t="n">
        <x:v>58</x:v>
      </x:c>
      <x:c r="D515" s="12" t="n">
        <x:v>58</x:v>
      </x:c>
      <x:c r="E515" s="12" t="n">
        <x:v>58</x:v>
      </x:c>
      <x:c r="F515" s="12" t="n">
        <x:v>77</x:v>
      </x:c>
      <x:c r="G515" s="12" t="n">
        <x:v>58</x:v>
      </x:c>
      <x:c r="H515" s="12" t="n">
        <x:f>MIN(C515:G515)</x:f>
        <x:v>58</x:v>
      </x:c>
      <x:c r="I515" s="14" t="n">
        <x:f>(C515-$H515)/$H515*100</x:f>
        <x:v>0</x:v>
      </x:c>
      <x:c r="J515" s="14" t="n">
        <x:f>(D515-$H515)/$H515*100</x:f>
        <x:v>0</x:v>
      </x:c>
      <x:c r="K515" s="14" t="n">
        <x:f>(E515-$H515)/$H515*100</x:f>
        <x:v>0</x:v>
      </x:c>
      <x:c r="L515" s="14" t="n">
        <x:f>(F515-$H515)/$H515*100</x:f>
        <x:v>32.758620689655174</x:v>
      </x:c>
      <x:c r="M515" s="14" t="n">
        <x:f>(G515-$H515)/$H515*100</x:f>
        <x:v>0</x:v>
      </x:c>
      <x:c r="N515" s="12" t="str">
        <x:f>IF(C515=$H515,"YES","NO")</x:f>
        <x:v>YES</x:v>
      </x:c>
      <x:c r="O515" s="12" t="str">
        <x:f>IF(D515=$H515,"YES","NO")</x:f>
        <x:v>YES</x:v>
      </x:c>
      <x:c r="P515" s="12" t="str">
        <x:f>IF(E515=$H515,"YES","NO")</x:f>
        <x:v>YES</x:v>
      </x:c>
      <x:c r="Q515" s="12" t="str">
        <x:f>IF(F515=$H515,"YES","NO")</x:f>
        <x:v>NO</x:v>
      </x:c>
      <x:c r="R515" s="12" t="str">
        <x:f>IF(G515=$H515,"YES","NO")</x:f>
        <x:v>YES</x:v>
      </x:c>
    </x:row>
    <x:row r="516">
      <x:c r="A516" s="44" t="str">
        <x:v>bpps_d200n25m5w2_20s2_40f0_seed0</x:v>
      </x:c>
      <x:c r="B516" s="12" t="n">
        <x:v>25</x:v>
      </x:c>
      <x:c r="C516" s="12" t="n">
        <x:v>3</x:v>
      </x:c>
      <x:c r="D516" s="12" t="n">
        <x:v>3</x:v>
      </x:c>
      <x:c r="E516" s="12" t="n">
        <x:v>3</x:v>
      </x:c>
      <x:c r="F516" s="12" t="n">
        <x:v>4</x:v>
      </x:c>
      <x:c r="G516" s="12" t="n">
        <x:v>3</x:v>
      </x:c>
      <x:c r="H516" s="12" t="n">
        <x:f>MIN(C516:G516)</x:f>
        <x:v>3</x:v>
      </x:c>
      <x:c r="I516" s="14" t="n">
        <x:f>(C516-$H516)/$H516*100</x:f>
        <x:v>0</x:v>
      </x:c>
      <x:c r="J516" s="14" t="n">
        <x:f>(D516-$H516)/$H516*100</x:f>
        <x:v>0</x:v>
      </x:c>
      <x:c r="K516" s="14" t="n">
        <x:f>(E516-$H516)/$H516*100</x:f>
        <x:v>0</x:v>
      </x:c>
      <x:c r="L516" s="14" t="n">
        <x:f>(F516-$H516)/$H516*100</x:f>
        <x:v>33.33333333333333</x:v>
      </x:c>
      <x:c r="M516" s="14" t="n">
        <x:f>(G516-$H516)/$H516*100</x:f>
        <x:v>0</x:v>
      </x:c>
      <x:c r="N516" s="12" t="str">
        <x:f>IF(C516=$H516,"YES","NO")</x:f>
        <x:v>YES</x:v>
      </x:c>
      <x:c r="O516" s="12" t="str">
        <x:f>IF(D516=$H516,"YES","NO")</x:f>
        <x:v>YES</x:v>
      </x:c>
      <x:c r="P516" s="12" t="str">
        <x:f>IF(E516=$H516,"YES","NO")</x:f>
        <x:v>YES</x:v>
      </x:c>
      <x:c r="Q516" s="12" t="str">
        <x:f>IF(F516=$H516,"YES","NO")</x:f>
        <x:v>NO</x:v>
      </x:c>
      <x:c r="R516" s="12" t="str">
        <x:f>IF(G516=$H516,"YES","NO")</x:f>
        <x:v>YES</x:v>
      </x:c>
    </x:row>
    <x:row r="517">
      <x:c r="A517" s="44" t="str">
        <x:v>bpps_d200n25m5w2_20s2_40f1_seed0</x:v>
      </x:c>
      <x:c r="B517" s="12" t="n">
        <x:v>25</x:v>
      </x:c>
      <x:c r="C517" s="12" t="n">
        <x:v>64</x:v>
      </x:c>
      <x:c r="D517" s="12" t="n">
        <x:v>68</x:v>
      </x:c>
      <x:c r="E517" s="12" t="n">
        <x:v>60</x:v>
      </x:c>
      <x:c r="F517" s="12" t="n">
        <x:v>70</x:v>
      </x:c>
      <x:c r="G517" s="12" t="n">
        <x:v>64</x:v>
      </x:c>
      <x:c r="H517" s="12" t="n">
        <x:f>MIN(C517:G517)</x:f>
        <x:v>60</x:v>
      </x:c>
      <x:c r="I517" s="14" t="n">
        <x:f>(C517-$H517)/$H517*100</x:f>
        <x:v>6.666666666666667</x:v>
      </x:c>
      <x:c r="J517" s="14" t="n">
        <x:f>(D517-$H517)/$H517*100</x:f>
        <x:v>13.333333333333334</x:v>
      </x:c>
      <x:c r="K517" s="14" t="n">
        <x:f>(E517-$H517)/$H517*100</x:f>
        <x:v>0</x:v>
      </x:c>
      <x:c r="L517" s="14" t="n">
        <x:f>(F517-$H517)/$H517*100</x:f>
        <x:v>16.666666666666664</x:v>
      </x:c>
      <x:c r="M517" s="14" t="n">
        <x:f>(G517-$H517)/$H517*100</x:f>
        <x:v>6.666666666666667</x:v>
      </x:c>
      <x:c r="N517" s="12" t="str">
        <x:f>IF(C517=$H517,"YES","NO")</x:f>
        <x:v>NO</x:v>
      </x:c>
      <x:c r="O517" s="12" t="str">
        <x:f>IF(D517=$H517,"YES","NO")</x:f>
        <x:v>NO</x:v>
      </x:c>
      <x:c r="P517" s="12" t="str">
        <x:f>IF(E517=$H517,"YES","NO")</x:f>
        <x:v>YES</x:v>
      </x:c>
      <x:c r="Q517" s="12" t="str">
        <x:f>IF(F517=$H517,"YES","NO")</x:f>
        <x:v>NO</x:v>
      </x:c>
      <x:c r="R517" s="12" t="str">
        <x:f>IF(G517=$H517,"YES","NO")</x:f>
        <x:v>NO</x:v>
      </x:c>
    </x:row>
    <x:row r="518">
      <x:c r="A518" s="44" t="str">
        <x:v>bpps_d200n25m5w2_60s20_40f0_seed0</x:v>
      </x:c>
      <x:c r="B518" s="12" t="n">
        <x:v>25</x:v>
      </x:c>
      <x:c r="C518" s="12" t="n">
        <x:v>7</x:v>
      </x:c>
      <x:c r="D518" s="12" t="n">
        <x:v>7</x:v>
      </x:c>
      <x:c r="E518" s="12" t="n">
        <x:v>7</x:v>
      </x:c>
      <x:c r="F518" s="12" t="n">
        <x:v>7</x:v>
      </x:c>
      <x:c r="G518" s="12" t="n">
        <x:v>7</x:v>
      </x:c>
      <x:c r="H518" s="12" t="n">
        <x:f>MIN(C518:G518)</x:f>
        <x:v>7</x:v>
      </x:c>
      <x:c r="I518" s="14" t="n">
        <x:f>(C518-$H518)/$H518*100</x:f>
        <x:v>0</x:v>
      </x:c>
      <x:c r="J518" s="14" t="n">
        <x:f>(D518-$H518)/$H518*100</x:f>
        <x:v>0</x:v>
      </x:c>
      <x:c r="K518" s="14" t="n">
        <x:f>(E518-$H518)/$H518*100</x:f>
        <x:v>0</x:v>
      </x:c>
      <x:c r="L518" s="14" t="n">
        <x:f>(F518-$H518)/$H518*100</x:f>
        <x:v>0</x:v>
      </x:c>
      <x:c r="M518" s="14" t="n">
        <x:f>(G518-$H518)/$H518*100</x:f>
        <x:v>0</x:v>
      </x:c>
      <x:c r="N518" s="12" t="str">
        <x:f>IF(C518=$H518,"YES","NO")</x:f>
        <x:v>YES</x:v>
      </x:c>
      <x:c r="O518" s="12" t="str">
        <x:f>IF(D518=$H518,"YES","NO")</x:f>
        <x:v>YES</x:v>
      </x:c>
      <x:c r="P518" s="12" t="str">
        <x:f>IF(E518=$H518,"YES","NO")</x:f>
        <x:v>YES</x:v>
      </x:c>
      <x:c r="Q518" s="12" t="str">
        <x:f>IF(F518=$H518,"YES","NO")</x:f>
        <x:v>YES</x:v>
      </x:c>
      <x:c r="R518" s="12" t="str">
        <x:f>IF(G518=$H518,"YES","NO")</x:f>
        <x:v>YES</x:v>
      </x:c>
    </x:row>
    <x:row r="519">
      <x:c r="A519" s="44" t="str">
        <x:v>bpps_d200n25m5w2_60s20_40f1_seed0</x:v>
      </x:c>
      <x:c r="B519" s="12" t="n">
        <x:v>25</x:v>
      </x:c>
      <x:c r="C519" s="12" t="n">
        <x:v>118</x:v>
      </x:c>
      <x:c r="D519" s="12" t="n">
        <x:v>118</x:v>
      </x:c>
      <x:c r="E519" s="12" t="n">
        <x:v>118</x:v>
      </x:c>
      <x:c r="F519" s="12" t="n">
        <x:v>102</x:v>
      </x:c>
      <x:c r="G519" s="12" t="n">
        <x:v>101</x:v>
      </x:c>
      <x:c r="H519" s="12" t="n">
        <x:f>MIN(C519:G519)</x:f>
        <x:v>101</x:v>
      </x:c>
      <x:c r="I519" s="14" t="n">
        <x:f>(C519-$H519)/$H519*100</x:f>
        <x:v>16.831683168316832</x:v>
      </x:c>
      <x:c r="J519" s="14" t="n">
        <x:f>(D519-$H519)/$H519*100</x:f>
        <x:v>16.831683168316832</x:v>
      </x:c>
      <x:c r="K519" s="14" t="n">
        <x:f>(E519-$H519)/$H519*100</x:f>
        <x:v>16.831683168316832</x:v>
      </x:c>
      <x:c r="L519" s="14" t="n">
        <x:f>(F519-$H519)/$H519*100</x:f>
        <x:v>0.9900990099009901</x:v>
      </x:c>
      <x:c r="M519" s="14" t="n">
        <x:f>(G519-$H519)/$H519*100</x:f>
        <x:v>0</x:v>
      </x:c>
      <x:c r="N519" s="12" t="str">
        <x:f>IF(C519=$H519,"YES","NO")</x:f>
        <x:v>NO</x:v>
      </x:c>
      <x:c r="O519" s="12" t="str">
        <x:f>IF(D519=$H519,"YES","NO")</x:f>
        <x:v>NO</x:v>
      </x:c>
      <x:c r="P519" s="12" t="str">
        <x:f>IF(E519=$H519,"YES","NO")</x:f>
        <x:v>NO</x:v>
      </x:c>
      <x:c r="Q519" s="12" t="str">
        <x:f>IF(F519=$H519,"YES","NO")</x:f>
        <x:v>NO</x:v>
      </x:c>
      <x:c r="R519" s="12" t="str">
        <x:f>IF(G519=$H519,"YES","NO")</x:f>
        <x:v>YES</x:v>
      </x:c>
    </x:row>
    <x:row r="520">
      <x:c r="A520" s="44" t="str">
        <x:v>bpps_d200n25m5w2_60s2_20f0_seed0</x:v>
      </x:c>
      <x:c r="B520" s="12" t="n">
        <x:v>25</x:v>
      </x:c>
      <x:c r="C520" s="12" t="n">
        <x:v>6</x:v>
      </x:c>
      <x:c r="D520" s="12" t="n">
        <x:v>6</x:v>
      </x:c>
      <x:c r="E520" s="12" t="n">
        <x:v>6</x:v>
      </x:c>
      <x:c r="F520" s="12" t="n">
        <x:v>6</x:v>
      </x:c>
      <x:c r="G520" s="12" t="n">
        <x:v>6</x:v>
      </x:c>
      <x:c r="H520" s="12" t="n">
        <x:f>MIN(C520:G520)</x:f>
        <x:v>6</x:v>
      </x:c>
      <x:c r="I520" s="14" t="n">
        <x:f>(C520-$H520)/$H520*100</x:f>
        <x:v>0</x:v>
      </x:c>
      <x:c r="J520" s="14" t="n">
        <x:f>(D520-$H520)/$H520*100</x:f>
        <x:v>0</x:v>
      </x:c>
      <x:c r="K520" s="14" t="n">
        <x:f>(E520-$H520)/$H520*100</x:f>
        <x:v>0</x:v>
      </x:c>
      <x:c r="L520" s="14" t="n">
        <x:f>(F520-$H520)/$H520*100</x:f>
        <x:v>0</x:v>
      </x:c>
      <x:c r="M520" s="14" t="n">
        <x:f>(G520-$H520)/$H520*100</x:f>
        <x:v>0</x:v>
      </x:c>
      <x:c r="N520" s="12" t="str">
        <x:f>IF(C520=$H520,"YES","NO")</x:f>
        <x:v>YES</x:v>
      </x:c>
      <x:c r="O520" s="12" t="str">
        <x:f>IF(D520=$H520,"YES","NO")</x:f>
        <x:v>YES</x:v>
      </x:c>
      <x:c r="P520" s="12" t="str">
        <x:f>IF(E520=$H520,"YES","NO")</x:f>
        <x:v>YES</x:v>
      </x:c>
      <x:c r="Q520" s="12" t="str">
        <x:f>IF(F520=$H520,"YES","NO")</x:f>
        <x:v>YES</x:v>
      </x:c>
      <x:c r="R520" s="12" t="str">
        <x:f>IF(G520=$H520,"YES","NO")</x:f>
        <x:v>YES</x:v>
      </x:c>
    </x:row>
    <x:row r="521">
      <x:c r="A521" s="44" t="str">
        <x:v>bpps_d200n25m5w2_60s2_20f1_seed0</x:v>
      </x:c>
      <x:c r="B521" s="12" t="n">
        <x:v>25</x:v>
      </x:c>
      <x:c r="C521" s="12" t="n">
        <x:v>109</x:v>
      </x:c>
      <x:c r="D521" s="12" t="n">
        <x:v>109</x:v>
      </x:c>
      <x:c r="E521" s="12" t="n">
        <x:v>108</x:v>
      </x:c>
      <x:c r="F521" s="12" t="n">
        <x:v>94</x:v>
      </x:c>
      <x:c r="G521" s="12" t="n">
        <x:v>94</x:v>
      </x:c>
      <x:c r="H521" s="12" t="n">
        <x:f>MIN(C521:G521)</x:f>
        <x:v>94</x:v>
      </x:c>
      <x:c r="I521" s="14" t="n">
        <x:f>(C521-$H521)/$H521*100</x:f>
        <x:v>15.957446808510639</x:v>
      </x:c>
      <x:c r="J521" s="14" t="n">
        <x:f>(D521-$H521)/$H521*100</x:f>
        <x:v>15.957446808510639</x:v>
      </x:c>
      <x:c r="K521" s="14" t="n">
        <x:f>(E521-$H521)/$H521*100</x:f>
        <x:v>14.893617021276595</x:v>
      </x:c>
      <x:c r="L521" s="14" t="n">
        <x:f>(F521-$H521)/$H521*100</x:f>
        <x:v>0</x:v>
      </x:c>
      <x:c r="M521" s="14" t="n">
        <x:f>(G521-$H521)/$H521*100</x:f>
        <x:v>0</x:v>
      </x:c>
      <x:c r="N521" s="12" t="str">
        <x:f>IF(C521=$H521,"YES","NO")</x:f>
        <x:v>NO</x:v>
      </x:c>
      <x:c r="O521" s="12" t="str">
        <x:f>IF(D521=$H521,"YES","NO")</x:f>
        <x:v>NO</x:v>
      </x:c>
      <x:c r="P521" s="12" t="str">
        <x:f>IF(E521=$H521,"YES","NO")</x:f>
        <x:v>NO</x:v>
      </x:c>
      <x:c r="Q521" s="12" t="str">
        <x:f>IF(F521=$H521,"YES","NO")</x:f>
        <x:v>YES</x:v>
      </x:c>
      <x:c r="R521" s="12" t="str">
        <x:f>IF(G521=$H521,"YES","NO")</x:f>
        <x:v>YES</x:v>
      </x:c>
    </x:row>
    <x:row r="522">
      <x:c r="A522" s="44" t="str">
        <x:v>bpps_d200n25m5w2_60s2_40f0_seed0</x:v>
      </x:c>
      <x:c r="B522" s="12" t="n">
        <x:v>25</x:v>
      </x:c>
      <x:c r="C522" s="12" t="n">
        <x:v>7</x:v>
      </x:c>
      <x:c r="D522" s="12" t="n">
        <x:v>7</x:v>
      </x:c>
      <x:c r="E522" s="12" t="n">
        <x:v>7</x:v>
      </x:c>
      <x:c r="F522" s="12" t="n">
        <x:v>7</x:v>
      </x:c>
      <x:c r="G522" s="12" t="n">
        <x:v>6</x:v>
      </x:c>
      <x:c r="H522" s="12" t="n">
        <x:f>MIN(C522:G522)</x:f>
        <x:v>6</x:v>
      </x:c>
      <x:c r="I522" s="14" t="n">
        <x:f>(C522-$H522)/$H522*100</x:f>
        <x:v>16.666666666666664</x:v>
      </x:c>
      <x:c r="J522" s="14" t="n">
        <x:f>(D522-$H522)/$H522*100</x:f>
        <x:v>16.666666666666664</x:v>
      </x:c>
      <x:c r="K522" s="14" t="n">
        <x:f>(E522-$H522)/$H522*100</x:f>
        <x:v>16.666666666666664</x:v>
      </x:c>
      <x:c r="L522" s="14" t="n">
        <x:f>(F522-$H522)/$H522*100</x:f>
        <x:v>16.666666666666664</x:v>
      </x:c>
      <x:c r="M522" s="14" t="n">
        <x:f>(G522-$H522)/$H522*100</x:f>
        <x:v>0</x:v>
      </x:c>
      <x:c r="N522" s="12" t="str">
        <x:f>IF(C522=$H522,"YES","NO")</x:f>
        <x:v>NO</x:v>
      </x:c>
      <x:c r="O522" s="12" t="str">
        <x:f>IF(D522=$H522,"YES","NO")</x:f>
        <x:v>NO</x:v>
      </x:c>
      <x:c r="P522" s="12" t="str">
        <x:f>IF(E522=$H522,"YES","NO")</x:f>
        <x:v>NO</x:v>
      </x:c>
      <x:c r="Q522" s="12" t="str">
        <x:f>IF(F522=$H522,"YES","NO")</x:f>
        <x:v>NO</x:v>
      </x:c>
      <x:c r="R522" s="12" t="str">
        <x:f>IF(G522=$H522,"YES","NO")</x:f>
        <x:v>YES</x:v>
      </x:c>
    </x:row>
    <x:row r="523">
      <x:c r="A523" s="44" t="str">
        <x:v>bpps_d200n25m5w2_60s2_40f1_seed0</x:v>
      </x:c>
      <x:c r="B523" s="12" t="n">
        <x:v>25</x:v>
      </x:c>
      <x:c r="C523" s="12" t="n">
        <x:v>116</x:v>
      </x:c>
      <x:c r="D523" s="12" t="n">
        <x:v>114</x:v>
      </x:c>
      <x:c r="E523" s="12" t="n">
        <x:v>101</x:v>
      </x:c>
      <x:c r="F523" s="12" t="n">
        <x:v>96</x:v>
      </x:c>
      <x:c r="G523" s="12" t="n">
        <x:v>87</x:v>
      </x:c>
      <x:c r="H523" s="12" t="n">
        <x:f>MIN(C523:G523)</x:f>
        <x:v>87</x:v>
      </x:c>
      <x:c r="I523" s="14" t="n">
        <x:f>(C523-$H523)/$H523*100</x:f>
        <x:v>33.33333333333333</x:v>
      </x:c>
      <x:c r="J523" s="14" t="n">
        <x:f>(D523-$H523)/$H523*100</x:f>
        <x:v>31.03448275862069</x:v>
      </x:c>
      <x:c r="K523" s="14" t="n">
        <x:f>(E523-$H523)/$H523*100</x:f>
        <x:v>16.091954022988507</x:v>
      </x:c>
      <x:c r="L523" s="14" t="n">
        <x:f>(F523-$H523)/$H523*100</x:f>
        <x:v>10.344827586206897</x:v>
      </x:c>
      <x:c r="M523" s="14" t="n">
        <x:f>(G523-$H523)/$H523*100</x:f>
        <x:v>0</x:v>
      </x:c>
      <x:c r="N523" s="12" t="str">
        <x:f>IF(C523=$H523,"YES","NO")</x:f>
        <x:v>NO</x:v>
      </x:c>
      <x:c r="O523" s="12" t="str">
        <x:f>IF(D523=$H523,"YES","NO")</x:f>
        <x:v>NO</x:v>
      </x:c>
      <x:c r="P523" s="12" t="str">
        <x:f>IF(E523=$H523,"YES","NO")</x:f>
        <x:v>NO</x:v>
      </x:c>
      <x:c r="Q523" s="12" t="str">
        <x:f>IF(F523=$H523,"YES","NO")</x:f>
        <x:v>NO</x:v>
      </x:c>
      <x:c r="R523" s="12" t="str">
        <x:f>IF(G523=$H523,"YES","NO")</x:f>
        <x:v>YES</x:v>
      </x:c>
    </x:row>
    <x:row r="524">
      <x:c r="A524" s="44" t="str">
        <x:v>bpps_d200n25m5w40_60s20_40f0_seed0</x:v>
      </x:c>
      <x:c r="B524" s="12" t="n">
        <x:v>25</x:v>
      </x:c>
      <x:c r="C524" s="12" t="n">
        <x:v>10</x:v>
      </x:c>
      <x:c r="D524" s="12" t="n">
        <x:v>10</x:v>
      </x:c>
      <x:c r="E524" s="12" t="n">
        <x:v>10</x:v>
      </x:c>
      <x:c r="F524" s="12" t="n">
        <x:v>10</x:v>
      </x:c>
      <x:c r="G524" s="12" t="n">
        <x:v>9</x:v>
      </x:c>
      <x:c r="H524" s="12" t="n">
        <x:f>MIN(C524:G524)</x:f>
        <x:v>9</x:v>
      </x:c>
      <x:c r="I524" s="14" t="n">
        <x:f>(C524-$H524)/$H524*100</x:f>
        <x:v>11.11111111111111</x:v>
      </x:c>
      <x:c r="J524" s="14" t="n">
        <x:f>(D524-$H524)/$H524*100</x:f>
        <x:v>11.11111111111111</x:v>
      </x:c>
      <x:c r="K524" s="14" t="n">
        <x:f>(E524-$H524)/$H524*100</x:f>
        <x:v>11.11111111111111</x:v>
      </x:c>
      <x:c r="L524" s="14" t="n">
        <x:f>(F524-$H524)/$H524*100</x:f>
        <x:v>11.11111111111111</x:v>
      </x:c>
      <x:c r="M524" s="14" t="n">
        <x:f>(G524-$H524)/$H524*100</x:f>
        <x:v>0</x:v>
      </x:c>
      <x:c r="N524" s="12" t="str">
        <x:f>IF(C524=$H524,"YES","NO")</x:f>
        <x:v>NO</x:v>
      </x:c>
      <x:c r="O524" s="12" t="str">
        <x:f>IF(D524=$H524,"YES","NO")</x:f>
        <x:v>NO</x:v>
      </x:c>
      <x:c r="P524" s="12" t="str">
        <x:f>IF(E524=$H524,"YES","NO")</x:f>
        <x:v>NO</x:v>
      </x:c>
      <x:c r="Q524" s="12" t="str">
        <x:f>IF(F524=$H524,"YES","NO")</x:f>
        <x:v>NO</x:v>
      </x:c>
      <x:c r="R524" s="12" t="str">
        <x:f>IF(G524=$H524,"YES","NO")</x:f>
        <x:v>YES</x:v>
      </x:c>
    </x:row>
    <x:row r="525">
      <x:c r="A525" s="44" t="str">
        <x:v>bpps_d200n25m5w40_60s20_40f1_seed0</x:v>
      </x:c>
      <x:c r="B525" s="12" t="n">
        <x:v>25</x:v>
      </x:c>
      <x:c r="C525" s="12" t="n">
        <x:v>156</x:v>
      </x:c>
      <x:c r="D525" s="12" t="n">
        <x:v>156</x:v>
      </x:c>
      <x:c r="E525" s="12" t="n">
        <x:v>156</x:v>
      </x:c>
      <x:c r="F525" s="12" t="n">
        <x:v>124</x:v>
      </x:c>
      <x:c r="G525" s="12" t="n">
        <x:v>124</x:v>
      </x:c>
      <x:c r="H525" s="12" t="n">
        <x:f>MIN(C525:G525)</x:f>
        <x:v>124</x:v>
      </x:c>
      <x:c r="I525" s="14" t="n">
        <x:f>(C525-$H525)/$H525*100</x:f>
        <x:v>25.806451612903224</x:v>
      </x:c>
      <x:c r="J525" s="14" t="n">
        <x:f>(D525-$H525)/$H525*100</x:f>
        <x:v>25.806451612903224</x:v>
      </x:c>
      <x:c r="K525" s="14" t="n">
        <x:f>(E525-$H525)/$H525*100</x:f>
        <x:v>25.806451612903224</x:v>
      </x:c>
      <x:c r="L525" s="14" t="n">
        <x:f>(F525-$H525)/$H525*100</x:f>
        <x:v>0</x:v>
      </x:c>
      <x:c r="M525" s="14" t="n">
        <x:f>(G525-$H525)/$H525*100</x:f>
        <x:v>0</x:v>
      </x:c>
      <x:c r="N525" s="12" t="str">
        <x:f>IF(C525=$H525,"YES","NO")</x:f>
        <x:v>NO</x:v>
      </x:c>
      <x:c r="O525" s="12" t="str">
        <x:f>IF(D525=$H525,"YES","NO")</x:f>
        <x:v>NO</x:v>
      </x:c>
      <x:c r="P525" s="12" t="str">
        <x:f>IF(E525=$H525,"YES","NO")</x:f>
        <x:v>NO</x:v>
      </x:c>
      <x:c r="Q525" s="12" t="str">
        <x:f>IF(F525=$H525,"YES","NO")</x:f>
        <x:v>YES</x:v>
      </x:c>
      <x:c r="R525" s="12" t="str">
        <x:f>IF(G525=$H525,"YES","NO")</x:f>
        <x:v>YES</x:v>
      </x:c>
    </x:row>
    <x:row r="526">
      <x:c r="A526" s="44" t="str">
        <x:v>bpps_d200n25m5w40_60s2_20f0_seed0</x:v>
      </x:c>
      <x:c r="B526" s="12" t="n">
        <x:v>25</x:v>
      </x:c>
      <x:c r="C526" s="12" t="n">
        <x:v>8</x:v>
      </x:c>
      <x:c r="D526" s="12" t="n">
        <x:v>8</x:v>
      </x:c>
      <x:c r="E526" s="12" t="n">
        <x:v>8</x:v>
      </x:c>
      <x:c r="F526" s="12" t="n">
        <x:v>9</x:v>
      </x:c>
      <x:c r="G526" s="12" t="n">
        <x:v>8</x:v>
      </x:c>
      <x:c r="H526" s="12" t="n">
        <x:f>MIN(C526:G526)</x:f>
        <x:v>8</x:v>
      </x:c>
      <x:c r="I526" s="14" t="n">
        <x:f>(C526-$H526)/$H526*100</x:f>
        <x:v>0</x:v>
      </x:c>
      <x:c r="J526" s="14" t="n">
        <x:f>(D526-$H526)/$H526*100</x:f>
        <x:v>0</x:v>
      </x:c>
      <x:c r="K526" s="14" t="n">
        <x:f>(E526-$H526)/$H526*100</x:f>
        <x:v>0</x:v>
      </x:c>
      <x:c r="L526" s="14" t="n">
        <x:f>(F526-$H526)/$H526*100</x:f>
        <x:v>12.5</x:v>
      </x:c>
      <x:c r="M526" s="14" t="n">
        <x:f>(G526-$H526)/$H526*100</x:f>
        <x:v>0</x:v>
      </x:c>
      <x:c r="N526" s="12" t="str">
        <x:f>IF(C526=$H526,"YES","NO")</x:f>
        <x:v>YES</x:v>
      </x:c>
      <x:c r="O526" s="12" t="str">
        <x:f>IF(D526=$H526,"YES","NO")</x:f>
        <x:v>YES</x:v>
      </x:c>
      <x:c r="P526" s="12" t="str">
        <x:f>IF(E526=$H526,"YES","NO")</x:f>
        <x:v>YES</x:v>
      </x:c>
      <x:c r="Q526" s="12" t="str">
        <x:f>IF(F526=$H526,"YES","NO")</x:f>
        <x:v>NO</x:v>
      </x:c>
      <x:c r="R526" s="12" t="str">
        <x:f>IF(G526=$H526,"YES","NO")</x:f>
        <x:v>YES</x:v>
      </x:c>
    </x:row>
    <x:row r="527">
      <x:c r="A527" s="44" t="str">
        <x:v>bpps_d200n25m5w40_60s2_20f1_seed0</x:v>
      </x:c>
      <x:c r="B527" s="12" t="n">
        <x:v>25</x:v>
      </x:c>
      <x:c r="C527" s="12" t="n">
        <x:v>136</x:v>
      </x:c>
      <x:c r="D527" s="12" t="n">
        <x:v>139</x:v>
      </x:c>
      <x:c r="E527" s="12" t="n">
        <x:v>133</x:v>
      </x:c>
      <x:c r="F527" s="12" t="n">
        <x:v>119</x:v>
      </x:c>
      <x:c r="G527" s="12" t="n">
        <x:v>114</x:v>
      </x:c>
      <x:c r="H527" s="12" t="n">
        <x:f>MIN(C527:G527)</x:f>
        <x:v>114</x:v>
      </x:c>
      <x:c r="I527" s="14" t="n">
        <x:f>(C527-$H527)/$H527*100</x:f>
        <x:v>19.298245614035086</x:v>
      </x:c>
      <x:c r="J527" s="14" t="n">
        <x:f>(D527-$H527)/$H527*100</x:f>
        <x:v>21.929824561403507</x:v>
      </x:c>
      <x:c r="K527" s="14" t="n">
        <x:f>(E527-$H527)/$H527*100</x:f>
        <x:v>16.666666666666664</x:v>
      </x:c>
      <x:c r="L527" s="14" t="n">
        <x:f>(F527-$H527)/$H527*100</x:f>
        <x:v>4.385964912280701</x:v>
      </x:c>
      <x:c r="M527" s="14" t="n">
        <x:f>(G527-$H527)/$H527*100</x:f>
        <x:v>0</x:v>
      </x:c>
      <x:c r="N527" s="12" t="str">
        <x:f>IF(C527=$H527,"YES","NO")</x:f>
        <x:v>NO</x:v>
      </x:c>
      <x:c r="O527" s="12" t="str">
        <x:f>IF(D527=$H527,"YES","NO")</x:f>
        <x:v>NO</x:v>
      </x:c>
      <x:c r="P527" s="12" t="str">
        <x:f>IF(E527=$H527,"YES","NO")</x:f>
        <x:v>NO</x:v>
      </x:c>
      <x:c r="Q527" s="12" t="str">
        <x:f>IF(F527=$H527,"YES","NO")</x:f>
        <x:v>NO</x:v>
      </x:c>
      <x:c r="R527" s="12" t="str">
        <x:f>IF(G527=$H527,"YES","NO")</x:f>
        <x:v>YES</x:v>
      </x:c>
    </x:row>
    <x:row r="528">
      <x:c r="A528" s="44" t="str">
        <x:v>bpps_d200n25m5w40_60s2_40f0_seed0</x:v>
      </x:c>
      <x:c r="B528" s="12" t="n">
        <x:v>25</x:v>
      </x:c>
      <x:c r="C528" s="12" t="n">
        <x:v>9</x:v>
      </x:c>
      <x:c r="D528" s="12" t="n">
        <x:v>9</x:v>
      </x:c>
      <x:c r="E528" s="12" t="n">
        <x:v>9</x:v>
      </x:c>
      <x:c r="F528" s="12" t="n">
        <x:v>9</x:v>
      </x:c>
      <x:c r="G528" s="12" t="n">
        <x:v>8</x:v>
      </x:c>
      <x:c r="H528" s="12" t="n">
        <x:f>MIN(C528:G528)</x:f>
        <x:v>8</x:v>
      </x:c>
      <x:c r="I528" s="14" t="n">
        <x:f>(C528-$H528)/$H528*100</x:f>
        <x:v>12.5</x:v>
      </x:c>
      <x:c r="J528" s="14" t="n">
        <x:f>(D528-$H528)/$H528*100</x:f>
        <x:v>12.5</x:v>
      </x:c>
      <x:c r="K528" s="14" t="n">
        <x:f>(E528-$H528)/$H528*100</x:f>
        <x:v>12.5</x:v>
      </x:c>
      <x:c r="L528" s="14" t="n">
        <x:f>(F528-$H528)/$H528*100</x:f>
        <x:v>12.5</x:v>
      </x:c>
      <x:c r="M528" s="14" t="n">
        <x:f>(G528-$H528)/$H528*100</x:f>
        <x:v>0</x:v>
      </x:c>
      <x:c r="N528" s="12" t="str">
        <x:f>IF(C528=$H528,"YES","NO")</x:f>
        <x:v>NO</x:v>
      </x:c>
      <x:c r="O528" s="12" t="str">
        <x:f>IF(D528=$H528,"YES","NO")</x:f>
        <x:v>NO</x:v>
      </x:c>
      <x:c r="P528" s="12" t="str">
        <x:f>IF(E528=$H528,"YES","NO")</x:f>
        <x:v>NO</x:v>
      </x:c>
      <x:c r="Q528" s="12" t="str">
        <x:f>IF(F528=$H528,"YES","NO")</x:f>
        <x:v>NO</x:v>
      </x:c>
      <x:c r="R528" s="12" t="str">
        <x:f>IF(G528=$H528,"YES","NO")</x:f>
        <x:v>YES</x:v>
      </x:c>
    </x:row>
    <x:row r="529">
      <x:c r="A529" s="44" t="str">
        <x:v>bpps_d200n25m5w40_60s2_40f1_seed0</x:v>
      </x:c>
      <x:c r="B529" s="12" t="n">
        <x:v>25</x:v>
      </x:c>
      <x:c r="C529" s="12" t="n">
        <x:v>136</x:v>
      </x:c>
      <x:c r="D529" s="12" t="n">
        <x:v>136</x:v>
      </x:c>
      <x:c r="E529" s="12" t="n">
        <x:v>140</x:v>
      </x:c>
      <x:c r="F529" s="12" t="n">
        <x:v>134</x:v>
      </x:c>
      <x:c r="G529" s="12" t="n">
        <x:v>124</x:v>
      </x:c>
      <x:c r="H529" s="12" t="n">
        <x:f>MIN(C529:G529)</x:f>
        <x:v>124</x:v>
      </x:c>
      <x:c r="I529" s="14" t="n">
        <x:f>(C529-$H529)/$H529*100</x:f>
        <x:v>9.67741935483871</x:v>
      </x:c>
      <x:c r="J529" s="14" t="n">
        <x:f>(D529-$H529)/$H529*100</x:f>
        <x:v>9.67741935483871</x:v>
      </x:c>
      <x:c r="K529" s="14" t="n">
        <x:f>(E529-$H529)/$H529*100</x:f>
        <x:v>12.903225806451612</x:v>
      </x:c>
      <x:c r="L529" s="14" t="n">
        <x:f>(F529-$H529)/$H529*100</x:f>
        <x:v>8.064516129032258</x:v>
      </x:c>
      <x:c r="M529" s="14" t="n">
        <x:f>(G529-$H529)/$H529*100</x:f>
        <x:v>0</x:v>
      </x:c>
      <x:c r="N529" s="12" t="str">
        <x:f>IF(C529=$H529,"YES","NO")</x:f>
        <x:v>NO</x:v>
      </x:c>
      <x:c r="O529" s="12" t="str">
        <x:f>IF(D529=$H529,"YES","NO")</x:f>
        <x:v>NO</x:v>
      </x:c>
      <x:c r="P529" s="12" t="str">
        <x:f>IF(E529=$H529,"YES","NO")</x:f>
        <x:v>NO</x:v>
      </x:c>
      <x:c r="Q529" s="12" t="str">
        <x:f>IF(F529=$H529,"YES","NO")</x:f>
        <x:v>NO</x:v>
      </x:c>
      <x:c r="R529" s="12" t="str">
        <x:f>IF(G529=$H529,"YES","NO")</x:f>
        <x:v>YES</x:v>
      </x:c>
    </x:row>
    <x:row r="530">
      <x:c r="A530" s="44" t="str">
        <x:v>bpps_d200n50m10w20_40s20_40f0_seed0</x:v>
      </x:c>
      <x:c r="B530" s="12" t="n">
        <x:v>50</x:v>
      </x:c>
      <x:c r="C530" s="12" t="n">
        <x:v>14</x:v>
      </x:c>
      <x:c r="D530" s="12" t="n">
        <x:v>13</x:v>
      </x:c>
      <x:c r="E530" s="12" t="n">
        <x:v>13</x:v>
      </x:c>
      <x:c r="F530" s="12" t="n">
        <x:v>12</x:v>
      </x:c>
      <x:c r="G530" s="12" t="n">
        <x:v>12</x:v>
      </x:c>
      <x:c r="H530" s="12" t="n">
        <x:f>MIN(C530:G530)</x:f>
        <x:v>12</x:v>
      </x:c>
      <x:c r="I530" s="14" t="n">
        <x:f>(C530-$H530)/$H530*100</x:f>
        <x:v>16.666666666666664</x:v>
      </x:c>
      <x:c r="J530" s="14" t="n">
        <x:f>(D530-$H530)/$H530*100</x:f>
        <x:v>8.333333333333332</x:v>
      </x:c>
      <x:c r="K530" s="14" t="n">
        <x:f>(E530-$H530)/$H530*100</x:f>
        <x:v>8.333333333333332</x:v>
      </x:c>
      <x:c r="L530" s="14" t="n">
        <x:f>(F530-$H530)/$H530*100</x:f>
        <x:v>0</x:v>
      </x:c>
      <x:c r="M530" s="14" t="n">
        <x:f>(G530-$H530)/$H530*100</x:f>
        <x:v>0</x:v>
      </x:c>
      <x:c r="N530" s="12" t="str">
        <x:f>IF(C530=$H530,"YES","NO")</x:f>
        <x:v>NO</x:v>
      </x:c>
      <x:c r="O530" s="12" t="str">
        <x:f>IF(D530=$H530,"YES","NO")</x:f>
        <x:v>NO</x:v>
      </x:c>
      <x:c r="P530" s="12" t="str">
        <x:f>IF(E530=$H530,"YES","NO")</x:f>
        <x:v>NO</x:v>
      </x:c>
      <x:c r="Q530" s="12" t="str">
        <x:f>IF(F530=$H530,"YES","NO")</x:f>
        <x:v>YES</x:v>
      </x:c>
      <x:c r="R530" s="12" t="str">
        <x:f>IF(G530=$H530,"YES","NO")</x:f>
        <x:v>YES</x:v>
      </x:c>
    </x:row>
    <x:row r="531">
      <x:c r="A531" s="44" t="str">
        <x:v>bpps_d200n50m10w20_40s20_40f1_seed0</x:v>
      </x:c>
      <x:c r="B531" s="12" t="n">
        <x:v>50</x:v>
      </x:c>
      <x:c r="C531" s="12" t="n">
        <x:v>237</x:v>
      </x:c>
      <x:c r="D531" s="12" t="n">
        <x:v>237</x:v>
      </x:c>
      <x:c r="E531" s="12" t="n">
        <x:v>248</x:v>
      </x:c>
      <x:c r="F531" s="12" t="n">
        <x:v>168</x:v>
      </x:c>
      <x:c r="G531" s="12" t="n">
        <x:v>168</x:v>
      </x:c>
      <x:c r="H531" s="12" t="n">
        <x:f>MIN(C531:G531)</x:f>
        <x:v>168</x:v>
      </x:c>
      <x:c r="I531" s="14" t="n">
        <x:f>(C531-$H531)/$H531*100</x:f>
        <x:v>41.07142857142857</x:v>
      </x:c>
      <x:c r="J531" s="14" t="n">
        <x:f>(D531-$H531)/$H531*100</x:f>
        <x:v>41.07142857142857</x:v>
      </x:c>
      <x:c r="K531" s="14" t="n">
        <x:f>(E531-$H531)/$H531*100</x:f>
        <x:v>47.61904761904761</x:v>
      </x:c>
      <x:c r="L531" s="14" t="n">
        <x:f>(F531-$H531)/$H531*100</x:f>
        <x:v>0</x:v>
      </x:c>
      <x:c r="M531" s="14" t="n">
        <x:f>(G531-$H531)/$H531*100</x:f>
        <x:v>0</x:v>
      </x:c>
      <x:c r="N531" s="12" t="str">
        <x:f>IF(C531=$H531,"YES","NO")</x:f>
        <x:v>NO</x:v>
      </x:c>
      <x:c r="O531" s="12" t="str">
        <x:f>IF(D531=$H531,"YES","NO")</x:f>
        <x:v>NO</x:v>
      </x:c>
      <x:c r="P531" s="12" t="str">
        <x:f>IF(E531=$H531,"YES","NO")</x:f>
        <x:v>NO</x:v>
      </x:c>
      <x:c r="Q531" s="12" t="str">
        <x:f>IF(F531=$H531,"YES","NO")</x:f>
        <x:v>YES</x:v>
      </x:c>
      <x:c r="R531" s="12" t="str">
        <x:f>IF(G531=$H531,"YES","NO")</x:f>
        <x:v>YES</x:v>
      </x:c>
    </x:row>
    <x:row r="532">
      <x:c r="A532" s="44" t="str">
        <x:v>bpps_d200n50m10w20_40s2_20f0_seed0</x:v>
      </x:c>
      <x:c r="B532" s="12" t="n">
        <x:v>50</x:v>
      </x:c>
      <x:c r="C532" s="12" t="n">
        <x:v>11</x:v>
      </x:c>
      <x:c r="D532" s="12" t="n">
        <x:v>11</x:v>
      </x:c>
      <x:c r="E532" s="12" t="n">
        <x:v>11</x:v>
      </x:c>
      <x:c r="F532" s="12" t="n">
        <x:v>11</x:v>
      </x:c>
      <x:c r="G532" s="12" t="n">
        <x:v>10</x:v>
      </x:c>
      <x:c r="H532" s="12" t="n">
        <x:f>MIN(C532:G532)</x:f>
        <x:v>10</x:v>
      </x:c>
      <x:c r="I532" s="14" t="n">
        <x:f>(C532-$H532)/$H532*100</x:f>
        <x:v>10</x:v>
      </x:c>
      <x:c r="J532" s="14" t="n">
        <x:f>(D532-$H532)/$H532*100</x:f>
        <x:v>10</x:v>
      </x:c>
      <x:c r="K532" s="14" t="n">
        <x:f>(E532-$H532)/$H532*100</x:f>
        <x:v>10</x:v>
      </x:c>
      <x:c r="L532" s="14" t="n">
        <x:f>(F532-$H532)/$H532*100</x:f>
        <x:v>10</x:v>
      </x:c>
      <x:c r="M532" s="14" t="n">
        <x:f>(G532-$H532)/$H532*100</x:f>
        <x:v>0</x:v>
      </x:c>
      <x:c r="N532" s="12" t="str">
        <x:f>IF(C532=$H532,"YES","NO")</x:f>
        <x:v>NO</x:v>
      </x:c>
      <x:c r="O532" s="12" t="str">
        <x:f>IF(D532=$H532,"YES","NO")</x:f>
        <x:v>NO</x:v>
      </x:c>
      <x:c r="P532" s="12" t="str">
        <x:f>IF(E532=$H532,"YES","NO")</x:f>
        <x:v>NO</x:v>
      </x:c>
      <x:c r="Q532" s="12" t="str">
        <x:f>IF(F532=$H532,"YES","NO")</x:f>
        <x:v>NO</x:v>
      </x:c>
      <x:c r="R532" s="12" t="str">
        <x:f>IF(G532=$H532,"YES","NO")</x:f>
        <x:v>YES</x:v>
      </x:c>
    </x:row>
    <x:row r="533">
      <x:c r="A533" s="44" t="str">
        <x:v>bpps_d200n50m10w20_40s2_20f1_seed0</x:v>
      </x:c>
      <x:c r="B533" s="12" t="n">
        <x:v>50</x:v>
      </x:c>
      <x:c r="C533" s="12" t="n">
        <x:v>234</x:v>
      </x:c>
      <x:c r="D533" s="12" t="n">
        <x:v>234</x:v>
      </x:c>
      <x:c r="E533" s="12" t="n">
        <x:v>211</x:v>
      </x:c>
      <x:c r="F533" s="12" t="n">
        <x:v>168</x:v>
      </x:c>
      <x:c r="G533" s="12" t="n">
        <x:v>155</x:v>
      </x:c>
      <x:c r="H533" s="12" t="n">
        <x:f>MIN(C533:G533)</x:f>
        <x:v>155</x:v>
      </x:c>
      <x:c r="I533" s="14" t="n">
        <x:f>(C533-$H533)/$H533*100</x:f>
        <x:v>50.967741935483865</x:v>
      </x:c>
      <x:c r="J533" s="14" t="n">
        <x:f>(D533-$H533)/$H533*100</x:f>
        <x:v>50.967741935483865</x:v>
      </x:c>
      <x:c r="K533" s="14" t="n">
        <x:f>(E533-$H533)/$H533*100</x:f>
        <x:v>36.12903225806451</x:v>
      </x:c>
      <x:c r="L533" s="14" t="n">
        <x:f>(F533-$H533)/$H533*100</x:f>
        <x:v>8.38709677419355</x:v>
      </x:c>
      <x:c r="M533" s="14" t="n">
        <x:f>(G533-$H533)/$H533*100</x:f>
        <x:v>0</x:v>
      </x:c>
      <x:c r="N533" s="12" t="str">
        <x:f>IF(C533=$H533,"YES","NO")</x:f>
        <x:v>NO</x:v>
      </x:c>
      <x:c r="O533" s="12" t="str">
        <x:f>IF(D533=$H533,"YES","NO")</x:f>
        <x:v>NO</x:v>
      </x:c>
      <x:c r="P533" s="12" t="str">
        <x:f>IF(E533=$H533,"YES","NO")</x:f>
        <x:v>NO</x:v>
      </x:c>
      <x:c r="Q533" s="12" t="str">
        <x:f>IF(F533=$H533,"YES","NO")</x:f>
        <x:v>NO</x:v>
      </x:c>
      <x:c r="R533" s="12" t="str">
        <x:f>IF(G533=$H533,"YES","NO")</x:f>
        <x:v>YES</x:v>
      </x:c>
    </x:row>
    <x:row r="534">
      <x:c r="A534" s="44" t="str">
        <x:v>bpps_d200n50m10w20_40s2_40f0_seed0</x:v>
      </x:c>
      <x:c r="B534" s="12" t="n">
        <x:v>50</x:v>
      </x:c>
      <x:c r="C534" s="12" t="n">
        <x:v>13</x:v>
      </x:c>
      <x:c r="D534" s="12" t="n">
        <x:v>14</x:v>
      </x:c>
      <x:c r="E534" s="12" t="n">
        <x:v>13</x:v>
      </x:c>
      <x:c r="F534" s="12" t="n">
        <x:v>12</x:v>
      </x:c>
      <x:c r="G534" s="12" t="n">
        <x:v>11</x:v>
      </x:c>
      <x:c r="H534" s="12" t="n">
        <x:f>MIN(C534:G534)</x:f>
        <x:v>11</x:v>
      </x:c>
      <x:c r="I534" s="14" t="n">
        <x:f>(C534-$H534)/$H534*100</x:f>
        <x:v>18.181818181818183</x:v>
      </x:c>
      <x:c r="J534" s="14" t="n">
        <x:f>(D534-$H534)/$H534*100</x:f>
        <x:v>27.27272727272727</x:v>
      </x:c>
      <x:c r="K534" s="14" t="n">
        <x:f>(E534-$H534)/$H534*100</x:f>
        <x:v>18.181818181818183</x:v>
      </x:c>
      <x:c r="L534" s="14" t="n">
        <x:f>(F534-$H534)/$H534*100</x:f>
        <x:v>9.090909090909092</x:v>
      </x:c>
      <x:c r="M534" s="14" t="n">
        <x:f>(G534-$H534)/$H534*100</x:f>
        <x:v>0</x:v>
      </x:c>
      <x:c r="N534" s="12" t="str">
        <x:f>IF(C534=$H534,"YES","NO")</x:f>
        <x:v>NO</x:v>
      </x:c>
      <x:c r="O534" s="12" t="str">
        <x:f>IF(D534=$H534,"YES","NO")</x:f>
        <x:v>NO</x:v>
      </x:c>
      <x:c r="P534" s="12" t="str">
        <x:f>IF(E534=$H534,"YES","NO")</x:f>
        <x:v>NO</x:v>
      </x:c>
      <x:c r="Q534" s="12" t="str">
        <x:f>IF(F534=$H534,"YES","NO")</x:f>
        <x:v>NO</x:v>
      </x:c>
      <x:c r="R534" s="12" t="str">
        <x:f>IF(G534=$H534,"YES","NO")</x:f>
        <x:v>YES</x:v>
      </x:c>
    </x:row>
    <x:row r="535">
      <x:c r="A535" s="44" t="str">
        <x:v>bpps_d200n50m10w20_40s2_40f1_seed0</x:v>
      </x:c>
      <x:c r="B535" s="12" t="n">
        <x:v>50</x:v>
      </x:c>
      <x:c r="C535" s="12" t="n">
        <x:v>254</x:v>
      </x:c>
      <x:c r="D535" s="12" t="n">
        <x:v>241</x:v>
      </x:c>
      <x:c r="E535" s="12" t="n">
        <x:v>231</x:v>
      </x:c>
      <x:c r="F535" s="12" t="n">
        <x:v>167</x:v>
      </x:c>
      <x:c r="G535" s="12" t="n">
        <x:v>158</x:v>
      </x:c>
      <x:c r="H535" s="12" t="n">
        <x:f>MIN(C535:G535)</x:f>
        <x:v>158</x:v>
      </x:c>
      <x:c r="I535" s="14" t="n">
        <x:f>(C535-$H535)/$H535*100</x:f>
        <x:v>60.75949367088608</x:v>
      </x:c>
      <x:c r="J535" s="14" t="n">
        <x:f>(D535-$H535)/$H535*100</x:f>
        <x:v>52.53164556962025</x:v>
      </x:c>
      <x:c r="K535" s="14" t="n">
        <x:f>(E535-$H535)/$H535*100</x:f>
        <x:v>46.20253164556962</x:v>
      </x:c>
      <x:c r="L535" s="14" t="n">
        <x:f>(F535-$H535)/$H535*100</x:f>
        <x:v>5.69620253164557</x:v>
      </x:c>
      <x:c r="M535" s="14" t="n">
        <x:f>(G535-$H535)/$H535*100</x:f>
        <x:v>0</x:v>
      </x:c>
      <x:c r="N535" s="12" t="str">
        <x:f>IF(C535=$H535,"YES","NO")</x:f>
        <x:v>NO</x:v>
      </x:c>
      <x:c r="O535" s="12" t="str">
        <x:f>IF(D535=$H535,"YES","NO")</x:f>
        <x:v>NO</x:v>
      </x:c>
      <x:c r="P535" s="12" t="str">
        <x:f>IF(E535=$H535,"YES","NO")</x:f>
        <x:v>NO</x:v>
      </x:c>
      <x:c r="Q535" s="12" t="str">
        <x:f>IF(F535=$H535,"YES","NO")</x:f>
        <x:v>NO</x:v>
      </x:c>
      <x:c r="R535" s="12" t="str">
        <x:f>IF(G535=$H535,"YES","NO")</x:f>
        <x:v>YES</x:v>
      </x:c>
    </x:row>
    <x:row r="536">
      <x:c r="A536" s="44" t="str">
        <x:v>bpps_d200n50m10w2_20s20_40f0_seed0</x:v>
      </x:c>
      <x:c r="B536" s="12" t="n">
        <x:v>50</x:v>
      </x:c>
      <x:c r="C536" s="12" t="n">
        <x:v>8</x:v>
      </x:c>
      <x:c r="D536" s="12" t="n">
        <x:v>8</x:v>
      </x:c>
      <x:c r="E536" s="12" t="n">
        <x:v>7</x:v>
      </x:c>
      <x:c r="F536" s="12" t="n">
        <x:v>8</x:v>
      </x:c>
      <x:c r="G536" s="12" t="n">
        <x:v>7</x:v>
      </x:c>
      <x:c r="H536" s="12" t="n">
        <x:f>MIN(C536:G536)</x:f>
        <x:v>7</x:v>
      </x:c>
      <x:c r="I536" s="14" t="n">
        <x:f>(C536-$H536)/$H536*100</x:f>
        <x:v>14.285714285714285</x:v>
      </x:c>
      <x:c r="J536" s="14" t="n">
        <x:f>(D536-$H536)/$H536*100</x:f>
        <x:v>14.285714285714285</x:v>
      </x:c>
      <x:c r="K536" s="14" t="n">
        <x:f>(E536-$H536)/$H536*100</x:f>
        <x:v>0</x:v>
      </x:c>
      <x:c r="L536" s="14" t="n">
        <x:f>(F536-$H536)/$H536*100</x:f>
        <x:v>14.285714285714285</x:v>
      </x:c>
      <x:c r="M536" s="14" t="n">
        <x:f>(G536-$H536)/$H536*100</x:f>
        <x:v>0</x:v>
      </x:c>
      <x:c r="N536" s="12" t="str">
        <x:f>IF(C536=$H536,"YES","NO")</x:f>
        <x:v>NO</x:v>
      </x:c>
      <x:c r="O536" s="12" t="str">
        <x:f>IF(D536=$H536,"YES","NO")</x:f>
        <x:v>NO</x:v>
      </x:c>
      <x:c r="P536" s="12" t="str">
        <x:f>IF(E536=$H536,"YES","NO")</x:f>
        <x:v>YES</x:v>
      </x:c>
      <x:c r="Q536" s="12" t="str">
        <x:f>IF(F536=$H536,"YES","NO")</x:f>
        <x:v>NO</x:v>
      </x:c>
      <x:c r="R536" s="12" t="str">
        <x:f>IF(G536=$H536,"YES","NO")</x:f>
        <x:v>YES</x:v>
      </x:c>
    </x:row>
    <x:row r="537">
      <x:c r="A537" s="44" t="str">
        <x:v>bpps_d200n50m10w2_20s20_40f1_seed0</x:v>
      </x:c>
      <x:c r="B537" s="12" t="n">
        <x:v>50</x:v>
      </x:c>
      <x:c r="C537" s="12" t="n">
        <x:v>181</x:v>
      </x:c>
      <x:c r="D537" s="12" t="n">
        <x:v>181</x:v>
      </x:c>
      <x:c r="E537" s="12" t="n">
        <x:v>152</x:v>
      </x:c>
      <x:c r="F537" s="12" t="n">
        <x:v>133</x:v>
      </x:c>
      <x:c r="G537" s="12" t="n">
        <x:v>123</x:v>
      </x:c>
      <x:c r="H537" s="12" t="n">
        <x:f>MIN(C537:G537)</x:f>
        <x:v>123</x:v>
      </x:c>
      <x:c r="I537" s="14" t="n">
        <x:f>(C537-$H537)/$H537*100</x:f>
        <x:v>47.15447154471545</x:v>
      </x:c>
      <x:c r="J537" s="14" t="n">
        <x:f>(D537-$H537)/$H537*100</x:f>
        <x:v>47.15447154471545</x:v>
      </x:c>
      <x:c r="K537" s="14" t="n">
        <x:f>(E537-$H537)/$H537*100</x:f>
        <x:v>23.577235772357724</x:v>
      </x:c>
      <x:c r="L537" s="14" t="n">
        <x:f>(F537-$H537)/$H537*100</x:f>
        <x:v>8.130081300813007</x:v>
      </x:c>
      <x:c r="M537" s="14" t="n">
        <x:f>(G537-$H537)/$H537*100</x:f>
        <x:v>0</x:v>
      </x:c>
      <x:c r="N537" s="12" t="str">
        <x:f>IF(C537=$H537,"YES","NO")</x:f>
        <x:v>NO</x:v>
      </x:c>
      <x:c r="O537" s="12" t="str">
        <x:f>IF(D537=$H537,"YES","NO")</x:f>
        <x:v>NO</x:v>
      </x:c>
      <x:c r="P537" s="12" t="str">
        <x:f>IF(E537=$H537,"YES","NO")</x:f>
        <x:v>NO</x:v>
      </x:c>
      <x:c r="Q537" s="12" t="str">
        <x:f>IF(F537=$H537,"YES","NO")</x:f>
        <x:v>NO</x:v>
      </x:c>
      <x:c r="R537" s="12" t="str">
        <x:f>IF(G537=$H537,"YES","NO")</x:f>
        <x:v>YES</x:v>
      </x:c>
    </x:row>
    <x:row r="538">
      <x:c r="A538" s="44" t="str">
        <x:v>bpps_d200n50m10w2_20s2_20f0_seed0</x:v>
      </x:c>
      <x:c r="B538" s="12" t="n">
        <x:v>50</x:v>
      </x:c>
      <x:c r="C538" s="12" t="n">
        <x:v>5</x:v>
      </x:c>
      <x:c r="D538" s="12" t="n">
        <x:v>5</x:v>
      </x:c>
      <x:c r="E538" s="12" t="n">
        <x:v>5</x:v>
      </x:c>
      <x:c r="F538" s="12" t="n">
        <x:v>7</x:v>
      </x:c>
      <x:c r="G538" s="12" t="n">
        <x:v>5</x:v>
      </x:c>
      <x:c r="H538" s="12" t="n">
        <x:f>MIN(C538:G538)</x:f>
        <x:v>5</x:v>
      </x:c>
      <x:c r="I538" s="14" t="n">
        <x:f>(C538-$H538)/$H538*100</x:f>
        <x:v>0</x:v>
      </x:c>
      <x:c r="J538" s="14" t="n">
        <x:f>(D538-$H538)/$H538*100</x:f>
        <x:v>0</x:v>
      </x:c>
      <x:c r="K538" s="14" t="n">
        <x:f>(E538-$H538)/$H538*100</x:f>
        <x:v>0</x:v>
      </x:c>
      <x:c r="L538" s="14" t="n">
        <x:f>(F538-$H538)/$H538*100</x:f>
        <x:v>40</x:v>
      </x:c>
      <x:c r="M538" s="14" t="n">
        <x:f>(G538-$H538)/$H538*100</x:f>
        <x:v>0</x:v>
      </x:c>
      <x:c r="N538" s="12" t="str">
        <x:f>IF(C538=$H538,"YES","NO")</x:f>
        <x:v>YES</x:v>
      </x:c>
      <x:c r="O538" s="12" t="str">
        <x:f>IF(D538=$H538,"YES","NO")</x:f>
        <x:v>YES</x:v>
      </x:c>
      <x:c r="P538" s="12" t="str">
        <x:f>IF(E538=$H538,"YES","NO")</x:f>
        <x:v>YES</x:v>
      </x:c>
      <x:c r="Q538" s="12" t="str">
        <x:f>IF(F538=$H538,"YES","NO")</x:f>
        <x:v>NO</x:v>
      </x:c>
      <x:c r="R538" s="12" t="str">
        <x:f>IF(G538=$H538,"YES","NO")</x:f>
        <x:v>YES</x:v>
      </x:c>
    </x:row>
    <x:row r="539">
      <x:c r="A539" s="44" t="str">
        <x:v>bpps_d200n50m10w2_20s2_20f1_seed0</x:v>
      </x:c>
      <x:c r="B539" s="12" t="n">
        <x:v>50</x:v>
      </x:c>
      <x:c r="C539" s="12" t="n">
        <x:v>170</x:v>
      </x:c>
      <x:c r="D539" s="12" t="n">
        <x:v>170</x:v>
      </x:c>
      <x:c r="E539" s="12" t="n">
        <x:v>153</x:v>
      </x:c>
      <x:c r="F539" s="12" t="n">
        <x:v>127</x:v>
      </x:c>
      <x:c r="G539" s="12" t="n">
        <x:v>117</x:v>
      </x:c>
      <x:c r="H539" s="12" t="n">
        <x:f>MIN(C539:G539)</x:f>
        <x:v>117</x:v>
      </x:c>
      <x:c r="I539" s="14" t="n">
        <x:f>(C539-$H539)/$H539*100</x:f>
        <x:v>45.2991452991453</x:v>
      </x:c>
      <x:c r="J539" s="14" t="n">
        <x:f>(D539-$H539)/$H539*100</x:f>
        <x:v>45.2991452991453</x:v>
      </x:c>
      <x:c r="K539" s="14" t="n">
        <x:f>(E539-$H539)/$H539*100</x:f>
        <x:v>30.76923076923077</x:v>
      </x:c>
      <x:c r="L539" s="14" t="n">
        <x:f>(F539-$H539)/$H539*100</x:f>
        <x:v>8.547008547008547</x:v>
      </x:c>
      <x:c r="M539" s="14" t="n">
        <x:f>(G539-$H539)/$H539*100</x:f>
        <x:v>0</x:v>
      </x:c>
      <x:c r="N539" s="12" t="str">
        <x:f>IF(C539=$H539,"YES","NO")</x:f>
        <x:v>NO</x:v>
      </x:c>
      <x:c r="O539" s="12" t="str">
        <x:f>IF(D539=$H539,"YES","NO")</x:f>
        <x:v>NO</x:v>
      </x:c>
      <x:c r="P539" s="12" t="str">
        <x:f>IF(E539=$H539,"YES","NO")</x:f>
        <x:v>NO</x:v>
      </x:c>
      <x:c r="Q539" s="12" t="str">
        <x:f>IF(F539=$H539,"YES","NO")</x:f>
        <x:v>NO</x:v>
      </x:c>
      <x:c r="R539" s="12" t="str">
        <x:f>IF(G539=$H539,"YES","NO")</x:f>
        <x:v>YES</x:v>
      </x:c>
    </x:row>
    <x:row r="540">
      <x:c r="A540" s="44" t="str">
        <x:v>bpps_d200n50m10w2_20s2_40f0_seed0</x:v>
      </x:c>
      <x:c r="B540" s="12" t="n">
        <x:v>50</x:v>
      </x:c>
      <x:c r="C540" s="12" t="n">
        <x:v>7</x:v>
      </x:c>
      <x:c r="D540" s="12" t="n">
        <x:v>7</x:v>
      </x:c>
      <x:c r="E540" s="12" t="n">
        <x:v>6</x:v>
      </x:c>
      <x:c r="F540" s="12" t="n">
        <x:v>7</x:v>
      </x:c>
      <x:c r="G540" s="12" t="n">
        <x:v>6</x:v>
      </x:c>
      <x:c r="H540" s="12" t="n">
        <x:f>MIN(C540:G540)</x:f>
        <x:v>6</x:v>
      </x:c>
      <x:c r="I540" s="14" t="n">
        <x:f>(C540-$H540)/$H540*100</x:f>
        <x:v>16.666666666666664</x:v>
      </x:c>
      <x:c r="J540" s="14" t="n">
        <x:f>(D540-$H540)/$H540*100</x:f>
        <x:v>16.666666666666664</x:v>
      </x:c>
      <x:c r="K540" s="14" t="n">
        <x:f>(E540-$H540)/$H540*100</x:f>
        <x:v>0</x:v>
      </x:c>
      <x:c r="L540" s="14" t="n">
        <x:f>(F540-$H540)/$H540*100</x:f>
        <x:v>16.666666666666664</x:v>
      </x:c>
      <x:c r="M540" s="14" t="n">
        <x:f>(G540-$H540)/$H540*100</x:f>
        <x:v>0</x:v>
      </x:c>
      <x:c r="N540" s="12" t="str">
        <x:f>IF(C540=$H540,"YES","NO")</x:f>
        <x:v>NO</x:v>
      </x:c>
      <x:c r="O540" s="12" t="str">
        <x:f>IF(D540=$H540,"YES","NO")</x:f>
        <x:v>NO</x:v>
      </x:c>
      <x:c r="P540" s="12" t="str">
        <x:f>IF(E540=$H540,"YES","NO")</x:f>
        <x:v>YES</x:v>
      </x:c>
      <x:c r="Q540" s="12" t="str">
        <x:f>IF(F540=$H540,"YES","NO")</x:f>
        <x:v>NO</x:v>
      </x:c>
      <x:c r="R540" s="12" t="str">
        <x:f>IF(G540=$H540,"YES","NO")</x:f>
        <x:v>YES</x:v>
      </x:c>
    </x:row>
    <x:row r="541">
      <x:c r="A541" s="44" t="str">
        <x:v>bpps_d200n50m10w2_20s2_40f1_seed0</x:v>
      </x:c>
      <x:c r="B541" s="12" t="n">
        <x:v>50</x:v>
      </x:c>
      <x:c r="C541" s="12" t="n">
        <x:v>160</x:v>
      </x:c>
      <x:c r="D541" s="12" t="n">
        <x:v>151</x:v>
      </x:c>
      <x:c r="E541" s="12" t="n">
        <x:v>147</x:v>
      </x:c>
      <x:c r="F541" s="12" t="n">
        <x:v>133</x:v>
      </x:c>
      <x:c r="G541" s="12" t="n">
        <x:v>113</x:v>
      </x:c>
      <x:c r="H541" s="12" t="n">
        <x:f>MIN(C541:G541)</x:f>
        <x:v>113</x:v>
      </x:c>
      <x:c r="I541" s="14" t="n">
        <x:f>(C541-$H541)/$H541*100</x:f>
        <x:v>41.5929203539823</x:v>
      </x:c>
      <x:c r="J541" s="14" t="n">
        <x:f>(D541-$H541)/$H541*100</x:f>
        <x:v>33.6283185840708</x:v>
      </x:c>
      <x:c r="K541" s="14" t="n">
        <x:f>(E541-$H541)/$H541*100</x:f>
        <x:v>30.08849557522124</x:v>
      </x:c>
      <x:c r="L541" s="14" t="n">
        <x:f>(F541-$H541)/$H541*100</x:f>
        <x:v>17.699115044247787</x:v>
      </x:c>
      <x:c r="M541" s="14" t="n">
        <x:f>(G541-$H541)/$H541*100</x:f>
        <x:v>0</x:v>
      </x:c>
      <x:c r="N541" s="12" t="str">
        <x:f>IF(C541=$H541,"YES","NO")</x:f>
        <x:v>NO</x:v>
      </x:c>
      <x:c r="O541" s="12" t="str">
        <x:f>IF(D541=$H541,"YES","NO")</x:f>
        <x:v>NO</x:v>
      </x:c>
      <x:c r="P541" s="12" t="str">
        <x:f>IF(E541=$H541,"YES","NO")</x:f>
        <x:v>NO</x:v>
      </x:c>
      <x:c r="Q541" s="12" t="str">
        <x:f>IF(F541=$H541,"YES","NO")</x:f>
        <x:v>NO</x:v>
      </x:c>
      <x:c r="R541" s="12" t="str">
        <x:f>IF(G541=$H541,"YES","NO")</x:f>
        <x:v>YES</x:v>
      </x:c>
    </x:row>
    <x:row r="542">
      <x:c r="A542" s="44" t="str">
        <x:v>bpps_d200n50m10w2_60s20_40f0_seed0</x:v>
      </x:c>
      <x:c r="B542" s="12" t="n">
        <x:v>50</x:v>
      </x:c>
      <x:c r="C542" s="12" t="n">
        <x:v>14</x:v>
      </x:c>
      <x:c r="D542" s="12" t="n">
        <x:v>13</x:v>
      </x:c>
      <x:c r="E542" s="12" t="n">
        <x:v>13</x:v>
      </x:c>
      <x:c r="F542" s="12" t="n">
        <x:v>13</x:v>
      </x:c>
      <x:c r="G542" s="12" t="n">
        <x:v>12</x:v>
      </x:c>
      <x:c r="H542" s="12" t="n">
        <x:f>MIN(C542:G542)</x:f>
        <x:v>12</x:v>
      </x:c>
      <x:c r="I542" s="14" t="n">
        <x:f>(C542-$H542)/$H542*100</x:f>
        <x:v>16.666666666666664</x:v>
      </x:c>
      <x:c r="J542" s="14" t="n">
        <x:f>(D542-$H542)/$H542*100</x:f>
        <x:v>8.333333333333332</x:v>
      </x:c>
      <x:c r="K542" s="14" t="n">
        <x:f>(E542-$H542)/$H542*100</x:f>
        <x:v>8.333333333333332</x:v>
      </x:c>
      <x:c r="L542" s="14" t="n">
        <x:f>(F542-$H542)/$H542*100</x:f>
        <x:v>8.333333333333332</x:v>
      </x:c>
      <x:c r="M542" s="14" t="n">
        <x:f>(G542-$H542)/$H542*100</x:f>
        <x:v>0</x:v>
      </x:c>
      <x:c r="N542" s="12" t="str">
        <x:f>IF(C542=$H542,"YES","NO")</x:f>
        <x:v>NO</x:v>
      </x:c>
      <x:c r="O542" s="12" t="str">
        <x:f>IF(D542=$H542,"YES","NO")</x:f>
        <x:v>NO</x:v>
      </x:c>
      <x:c r="P542" s="12" t="str">
        <x:f>IF(E542=$H542,"YES","NO")</x:f>
        <x:v>NO</x:v>
      </x:c>
      <x:c r="Q542" s="12" t="str">
        <x:f>IF(F542=$H542,"YES","NO")</x:f>
        <x:v>NO</x:v>
      </x:c>
      <x:c r="R542" s="12" t="str">
        <x:f>IF(G542=$H542,"YES","NO")</x:f>
        <x:v>YES</x:v>
      </x:c>
    </x:row>
    <x:row r="543">
      <x:c r="A543" s="44" t="str">
        <x:v>bpps_d200n50m10w2_60s20_40f1_seed0</x:v>
      </x:c>
      <x:c r="B543" s="12" t="n">
        <x:v>50</x:v>
      </x:c>
      <x:c r="C543" s="12" t="n">
        <x:v>231</x:v>
      </x:c>
      <x:c r="D543" s="12" t="n">
        <x:v>240</x:v>
      </x:c>
      <x:c r="E543" s="12" t="n">
        <x:v>226</x:v>
      </x:c>
      <x:c r="F543" s="12" t="n">
        <x:v>191</x:v>
      </x:c>
      <x:c r="G543" s="12" t="n">
        <x:v>179</x:v>
      </x:c>
      <x:c r="H543" s="12" t="n">
        <x:f>MIN(C543:G543)</x:f>
        <x:v>179</x:v>
      </x:c>
      <x:c r="I543" s="14" t="n">
        <x:f>(C543-$H543)/$H543*100</x:f>
        <x:v>29.05027932960894</x:v>
      </x:c>
      <x:c r="J543" s="14" t="n">
        <x:f>(D543-$H543)/$H543*100</x:f>
        <x:v>34.07821229050279</x:v>
      </x:c>
      <x:c r="K543" s="14" t="n">
        <x:f>(E543-$H543)/$H543*100</x:f>
        <x:v>26.256983240223462</x:v>
      </x:c>
      <x:c r="L543" s="14" t="n">
        <x:f>(F543-$H543)/$H543*100</x:f>
        <x:v>6.70391061452514</x:v>
      </x:c>
      <x:c r="M543" s="14" t="n">
        <x:f>(G543-$H543)/$H543*100</x:f>
        <x:v>0</x:v>
      </x:c>
      <x:c r="N543" s="12" t="str">
        <x:f>IF(C543=$H543,"YES","NO")</x:f>
        <x:v>NO</x:v>
      </x:c>
      <x:c r="O543" s="12" t="str">
        <x:f>IF(D543=$H543,"YES","NO")</x:f>
        <x:v>NO</x:v>
      </x:c>
      <x:c r="P543" s="12" t="str">
        <x:f>IF(E543=$H543,"YES","NO")</x:f>
        <x:v>NO</x:v>
      </x:c>
      <x:c r="Q543" s="12" t="str">
        <x:f>IF(F543=$H543,"YES","NO")</x:f>
        <x:v>NO</x:v>
      </x:c>
      <x:c r="R543" s="12" t="str">
        <x:f>IF(G543=$H543,"YES","NO")</x:f>
        <x:v>YES</x:v>
      </x:c>
    </x:row>
    <x:row r="544">
      <x:c r="A544" s="44" t="str">
        <x:v>bpps_d200n50m10w2_60s2_20f0_seed0</x:v>
      </x:c>
      <x:c r="B544" s="12" t="n">
        <x:v>50</x:v>
      </x:c>
      <x:c r="C544" s="12" t="n">
        <x:v>11</x:v>
      </x:c>
      <x:c r="D544" s="12" t="n">
        <x:v>11</x:v>
      </x:c>
      <x:c r="E544" s="12" t="n">
        <x:v>11</x:v>
      </x:c>
      <x:c r="F544" s="12" t="n">
        <x:v>11</x:v>
      </x:c>
      <x:c r="G544" s="12" t="n">
        <x:v>10</x:v>
      </x:c>
      <x:c r="H544" s="12" t="n">
        <x:f>MIN(C544:G544)</x:f>
        <x:v>10</x:v>
      </x:c>
      <x:c r="I544" s="14" t="n">
        <x:f>(C544-$H544)/$H544*100</x:f>
        <x:v>10</x:v>
      </x:c>
      <x:c r="J544" s="14" t="n">
        <x:f>(D544-$H544)/$H544*100</x:f>
        <x:v>10</x:v>
      </x:c>
      <x:c r="K544" s="14" t="n">
        <x:f>(E544-$H544)/$H544*100</x:f>
        <x:v>10</x:v>
      </x:c>
      <x:c r="L544" s="14" t="n">
        <x:f>(F544-$H544)/$H544*100</x:f>
        <x:v>10</x:v>
      </x:c>
      <x:c r="M544" s="14" t="n">
        <x:f>(G544-$H544)/$H544*100</x:f>
        <x:v>0</x:v>
      </x:c>
      <x:c r="N544" s="12" t="str">
        <x:f>IF(C544=$H544,"YES","NO")</x:f>
        <x:v>NO</x:v>
      </x:c>
      <x:c r="O544" s="12" t="str">
        <x:f>IF(D544=$H544,"YES","NO")</x:f>
        <x:v>NO</x:v>
      </x:c>
      <x:c r="P544" s="12" t="str">
        <x:f>IF(E544=$H544,"YES","NO")</x:f>
        <x:v>NO</x:v>
      </x:c>
      <x:c r="Q544" s="12" t="str">
        <x:f>IF(F544=$H544,"YES","NO")</x:f>
        <x:v>NO</x:v>
      </x:c>
      <x:c r="R544" s="12" t="str">
        <x:f>IF(G544=$H544,"YES","NO")</x:f>
        <x:v>YES</x:v>
      </x:c>
    </x:row>
    <x:row r="545">
      <x:c r="A545" s="44" t="str">
        <x:v>bpps_d200n50m10w2_60s2_20f1_seed0</x:v>
      </x:c>
      <x:c r="B545" s="12" t="n">
        <x:v>50</x:v>
      </x:c>
      <x:c r="C545" s="12" t="n">
        <x:v>230</x:v>
      </x:c>
      <x:c r="D545" s="12" t="n">
        <x:v>219</x:v>
      </x:c>
      <x:c r="E545" s="12" t="n">
        <x:v>218</x:v>
      </x:c>
      <x:c r="F545" s="12" t="n">
        <x:v>176</x:v>
      </x:c>
      <x:c r="G545" s="12" t="n">
        <x:v>159</x:v>
      </x:c>
      <x:c r="H545" s="12" t="n">
        <x:f>MIN(C545:G545)</x:f>
        <x:v>159</x:v>
      </x:c>
      <x:c r="I545" s="14" t="n">
        <x:f>(C545-$H545)/$H545*100</x:f>
        <x:v>44.65408805031446</x:v>
      </x:c>
      <x:c r="J545" s="14" t="n">
        <x:f>(D545-$H545)/$H545*100</x:f>
        <x:v>37.735849056603776</x:v>
      </x:c>
      <x:c r="K545" s="14" t="n">
        <x:f>(E545-$H545)/$H545*100</x:f>
        <x:v>37.10691823899371</x:v>
      </x:c>
      <x:c r="L545" s="14" t="n">
        <x:f>(F545-$H545)/$H545*100</x:f>
        <x:v>10.69182389937107</x:v>
      </x:c>
      <x:c r="M545" s="14" t="n">
        <x:f>(G545-$H545)/$H545*100</x:f>
        <x:v>0</x:v>
      </x:c>
      <x:c r="N545" s="12" t="str">
        <x:f>IF(C545=$H545,"YES","NO")</x:f>
        <x:v>NO</x:v>
      </x:c>
      <x:c r="O545" s="12" t="str">
        <x:f>IF(D545=$H545,"YES","NO")</x:f>
        <x:v>NO</x:v>
      </x:c>
      <x:c r="P545" s="12" t="str">
        <x:f>IF(E545=$H545,"YES","NO")</x:f>
        <x:v>NO</x:v>
      </x:c>
      <x:c r="Q545" s="12" t="str">
        <x:f>IF(F545=$H545,"YES","NO")</x:f>
        <x:v>NO</x:v>
      </x:c>
      <x:c r="R545" s="12" t="str">
        <x:f>IF(G545=$H545,"YES","NO")</x:f>
        <x:v>YES</x:v>
      </x:c>
    </x:row>
    <x:row r="546">
      <x:c r="A546" s="44" t="str">
        <x:v>bpps_d200n50m10w2_60s2_40f0_seed0</x:v>
      </x:c>
      <x:c r="B546" s="12" t="n">
        <x:v>50</x:v>
      </x:c>
      <x:c r="C546" s="12" t="n">
        <x:v>12</x:v>
      </x:c>
      <x:c r="D546" s="12" t="n">
        <x:v>12</x:v>
      </x:c>
      <x:c r="E546" s="12" t="n">
        <x:v>11</x:v>
      </x:c>
      <x:c r="F546" s="12" t="n">
        <x:v>12</x:v>
      </x:c>
      <x:c r="G546" s="12" t="n">
        <x:v>11</x:v>
      </x:c>
      <x:c r="H546" s="12" t="n">
        <x:f>MIN(C546:G546)</x:f>
        <x:v>11</x:v>
      </x:c>
      <x:c r="I546" s="14" t="n">
        <x:f>(C546-$H546)/$H546*100</x:f>
        <x:v>9.090909090909092</x:v>
      </x:c>
      <x:c r="J546" s="14" t="n">
        <x:f>(D546-$H546)/$H546*100</x:f>
        <x:v>9.090909090909092</x:v>
      </x:c>
      <x:c r="K546" s="14" t="n">
        <x:f>(E546-$H546)/$H546*100</x:f>
        <x:v>0</x:v>
      </x:c>
      <x:c r="L546" s="14" t="n">
        <x:f>(F546-$H546)/$H546*100</x:f>
        <x:v>9.090909090909092</x:v>
      </x:c>
      <x:c r="M546" s="14" t="n">
        <x:f>(G546-$H546)/$H546*100</x:f>
        <x:v>0</x:v>
      </x:c>
      <x:c r="N546" s="12" t="str">
        <x:f>IF(C546=$H546,"YES","NO")</x:f>
        <x:v>NO</x:v>
      </x:c>
      <x:c r="O546" s="12" t="str">
        <x:f>IF(D546=$H546,"YES","NO")</x:f>
        <x:v>NO</x:v>
      </x:c>
      <x:c r="P546" s="12" t="str">
        <x:f>IF(E546=$H546,"YES","NO")</x:f>
        <x:v>YES</x:v>
      </x:c>
      <x:c r="Q546" s="12" t="str">
        <x:f>IF(F546=$H546,"YES","NO")</x:f>
        <x:v>NO</x:v>
      </x:c>
      <x:c r="R546" s="12" t="str">
        <x:f>IF(G546=$H546,"YES","NO")</x:f>
        <x:v>YES</x:v>
      </x:c>
    </x:row>
    <x:row r="547">
      <x:c r="A547" s="44" t="str">
        <x:v>bpps_d200n50m10w2_60s2_40f1_seed0</x:v>
      </x:c>
      <x:c r="B547" s="12" t="n">
        <x:v>50</x:v>
      </x:c>
      <x:c r="C547" s="12" t="n">
        <x:v>233</x:v>
      </x:c>
      <x:c r="D547" s="12" t="n">
        <x:v>245</x:v>
      </x:c>
      <x:c r="E547" s="12" t="n">
        <x:v>222</x:v>
      </x:c>
      <x:c r="F547" s="12" t="n">
        <x:v>174</x:v>
      </x:c>
      <x:c r="G547" s="12" t="n">
        <x:v>167</x:v>
      </x:c>
      <x:c r="H547" s="12" t="n">
        <x:f>MIN(C547:G547)</x:f>
        <x:v>167</x:v>
      </x:c>
      <x:c r="I547" s="14" t="n">
        <x:f>(C547-$H547)/$H547*100</x:f>
        <x:v>39.52095808383233</x:v>
      </x:c>
      <x:c r="J547" s="14" t="n">
        <x:f>(D547-$H547)/$H547*100</x:f>
        <x:v>46.706586826347305</x:v>
      </x:c>
      <x:c r="K547" s="14" t="n">
        <x:f>(E547-$H547)/$H547*100</x:f>
        <x:v>32.93413173652694</x:v>
      </x:c>
      <x:c r="L547" s="14" t="n">
        <x:f>(F547-$H547)/$H547*100</x:f>
        <x:v>4.191616766467066</x:v>
      </x:c>
      <x:c r="M547" s="14" t="n">
        <x:f>(G547-$H547)/$H547*100</x:f>
        <x:v>0</x:v>
      </x:c>
      <x:c r="N547" s="12" t="str">
        <x:f>IF(C547=$H547,"YES","NO")</x:f>
        <x:v>NO</x:v>
      </x:c>
      <x:c r="O547" s="12" t="str">
        <x:f>IF(D547=$H547,"YES","NO")</x:f>
        <x:v>NO</x:v>
      </x:c>
      <x:c r="P547" s="12" t="str">
        <x:f>IF(E547=$H547,"YES","NO")</x:f>
        <x:v>NO</x:v>
      </x:c>
      <x:c r="Q547" s="12" t="str">
        <x:f>IF(F547=$H547,"YES","NO")</x:f>
        <x:v>NO</x:v>
      </x:c>
      <x:c r="R547" s="12" t="str">
        <x:f>IF(G547=$H547,"YES","NO")</x:f>
        <x:v>YES</x:v>
      </x:c>
    </x:row>
    <x:row r="548">
      <x:c r="A548" s="44" t="str">
        <x:v>bpps_d200n50m10w40_60s20_40f0_seed0</x:v>
      </x:c>
      <x:c r="B548" s="12" t="n">
        <x:v>50</x:v>
      </x:c>
      <x:c r="C548" s="12" t="n">
        <x:v>22</x:v>
      </x:c>
      <x:c r="D548" s="12" t="n">
        <x:v>22</x:v>
      </x:c>
      <x:c r="E548" s="12" t="n">
        <x:v>22</x:v>
      </x:c>
      <x:c r="F548" s="12" t="n">
        <x:v>19</x:v>
      </x:c>
      <x:c r="G548" s="12" t="n">
        <x:v>18</x:v>
      </x:c>
      <x:c r="H548" s="12" t="n">
        <x:f>MIN(C548:G548)</x:f>
        <x:v>18</x:v>
      </x:c>
      <x:c r="I548" s="14" t="n">
        <x:f>(C548-$H548)/$H548*100</x:f>
        <x:v>22.22222222222222</x:v>
      </x:c>
      <x:c r="J548" s="14" t="n">
        <x:f>(D548-$H548)/$H548*100</x:f>
        <x:v>22.22222222222222</x:v>
      </x:c>
      <x:c r="K548" s="14" t="n">
        <x:f>(E548-$H548)/$H548*100</x:f>
        <x:v>22.22222222222222</x:v>
      </x:c>
      <x:c r="L548" s="14" t="n">
        <x:f>(F548-$H548)/$H548*100</x:f>
        <x:v>5.555555555555555</x:v>
      </x:c>
      <x:c r="M548" s="14" t="n">
        <x:f>(G548-$H548)/$H548*100</x:f>
        <x:v>0</x:v>
      </x:c>
      <x:c r="N548" s="12" t="str">
        <x:f>IF(C548=$H548,"YES","NO")</x:f>
        <x:v>NO</x:v>
      </x:c>
      <x:c r="O548" s="12" t="str">
        <x:f>IF(D548=$H548,"YES","NO")</x:f>
        <x:v>NO</x:v>
      </x:c>
      <x:c r="P548" s="12" t="str">
        <x:f>IF(E548=$H548,"YES","NO")</x:f>
        <x:v>NO</x:v>
      </x:c>
      <x:c r="Q548" s="12" t="str">
        <x:f>IF(F548=$H548,"YES","NO")</x:f>
        <x:v>NO</x:v>
      </x:c>
      <x:c r="R548" s="12" t="str">
        <x:f>IF(G548=$H548,"YES","NO")</x:f>
        <x:v>YES</x:v>
      </x:c>
    </x:row>
    <x:row r="549">
      <x:c r="A549" s="44" t="str">
        <x:v>bpps_d200n50m10w40_60s20_40f1_seed0</x:v>
      </x:c>
      <x:c r="B549" s="12" t="n">
        <x:v>50</x:v>
      </x:c>
      <x:c r="C549" s="12" t="n">
        <x:v>361</x:v>
      </x:c>
      <x:c r="D549" s="12" t="n">
        <x:v>345</x:v>
      </x:c>
      <x:c r="E549" s="12" t="n">
        <x:v>358</x:v>
      </x:c>
      <x:c r="F549" s="12" t="n">
        <x:v>267</x:v>
      </x:c>
      <x:c r="G549" s="12" t="n">
        <x:v>255</x:v>
      </x:c>
      <x:c r="H549" s="12" t="n">
        <x:f>MIN(C549:G549)</x:f>
        <x:v>255</x:v>
      </x:c>
      <x:c r="I549" s="14" t="n">
        <x:f>(C549-$H549)/$H549*100</x:f>
        <x:v>41.568627450980394</x:v>
      </x:c>
      <x:c r="J549" s="14" t="n">
        <x:f>(D549-$H549)/$H549*100</x:f>
        <x:v>35.294117647058826</x:v>
      </x:c>
      <x:c r="K549" s="14" t="n">
        <x:f>(E549-$H549)/$H549*100</x:f>
        <x:v>40.3921568627451</x:v>
      </x:c>
      <x:c r="L549" s="14" t="n">
        <x:f>(F549-$H549)/$H549*100</x:f>
        <x:v>4.705882352941177</x:v>
      </x:c>
      <x:c r="M549" s="14" t="n">
        <x:f>(G549-$H549)/$H549*100</x:f>
        <x:v>0</x:v>
      </x:c>
      <x:c r="N549" s="12" t="str">
        <x:f>IF(C549=$H549,"YES","NO")</x:f>
        <x:v>NO</x:v>
      </x:c>
      <x:c r="O549" s="12" t="str">
        <x:f>IF(D549=$H549,"YES","NO")</x:f>
        <x:v>NO</x:v>
      </x:c>
      <x:c r="P549" s="12" t="str">
        <x:f>IF(E549=$H549,"YES","NO")</x:f>
        <x:v>NO</x:v>
      </x:c>
      <x:c r="Q549" s="12" t="str">
        <x:f>IF(F549=$H549,"YES","NO")</x:f>
        <x:v>NO</x:v>
      </x:c>
      <x:c r="R549" s="12" t="str">
        <x:f>IF(G549=$H549,"YES","NO")</x:f>
        <x:v>YES</x:v>
      </x:c>
    </x:row>
    <x:row r="550">
      <x:c r="A550" s="44" t="str">
        <x:v>bpps_d200n50m10w40_60s2_20f0_seed0</x:v>
      </x:c>
      <x:c r="B550" s="12" t="n">
        <x:v>50</x:v>
      </x:c>
      <x:c r="C550" s="12" t="n">
        <x:v>16</x:v>
      </x:c>
      <x:c r="D550" s="12" t="n">
        <x:v>16</x:v>
      </x:c>
      <x:c r="E550" s="12" t="n">
        <x:v>16</x:v>
      </x:c>
      <x:c r="F550" s="12" t="n">
        <x:v>16</x:v>
      </x:c>
      <x:c r="G550" s="12" t="n">
        <x:v>16</x:v>
      </x:c>
      <x:c r="H550" s="12" t="n">
        <x:f>MIN(C550:G550)</x:f>
        <x:v>16</x:v>
      </x:c>
      <x:c r="I550" s="14" t="n">
        <x:f>(C550-$H550)/$H550*100</x:f>
        <x:v>0</x:v>
      </x:c>
      <x:c r="J550" s="14" t="n">
        <x:f>(D550-$H550)/$H550*100</x:f>
        <x:v>0</x:v>
      </x:c>
      <x:c r="K550" s="14" t="n">
        <x:f>(E550-$H550)/$H550*100</x:f>
        <x:v>0</x:v>
      </x:c>
      <x:c r="L550" s="14" t="n">
        <x:f>(F550-$H550)/$H550*100</x:f>
        <x:v>0</x:v>
      </x:c>
      <x:c r="M550" s="14" t="n">
        <x:f>(G550-$H550)/$H550*100</x:f>
        <x:v>0</x:v>
      </x:c>
      <x:c r="N550" s="12" t="str">
        <x:f>IF(C550=$H550,"YES","NO")</x:f>
        <x:v>YES</x:v>
      </x:c>
      <x:c r="O550" s="12" t="str">
        <x:f>IF(D550=$H550,"YES","NO")</x:f>
        <x:v>YES</x:v>
      </x:c>
      <x:c r="P550" s="12" t="str">
        <x:f>IF(E550=$H550,"YES","NO")</x:f>
        <x:v>YES</x:v>
      </x:c>
      <x:c r="Q550" s="12" t="str">
        <x:f>IF(F550=$H550,"YES","NO")</x:f>
        <x:v>YES</x:v>
      </x:c>
      <x:c r="R550" s="12" t="str">
        <x:f>IF(G550=$H550,"YES","NO")</x:f>
        <x:v>YES</x:v>
      </x:c>
    </x:row>
    <x:row r="551">
      <x:c r="A551" s="44" t="str">
        <x:v>bpps_d200n50m10w40_60s2_20f1_seed0</x:v>
      </x:c>
      <x:c r="B551" s="12" t="n">
        <x:v>50</x:v>
      </x:c>
      <x:c r="C551" s="12" t="n">
        <x:v>287</x:v>
      </x:c>
      <x:c r="D551" s="12" t="n">
        <x:v>285</x:v>
      </x:c>
      <x:c r="E551" s="12" t="n">
        <x:v>286</x:v>
      </x:c>
      <x:c r="F551" s="12" t="n">
        <x:v>236</x:v>
      </x:c>
      <x:c r="G551" s="12" t="n">
        <x:v>211</x:v>
      </x:c>
      <x:c r="H551" s="12" t="n">
        <x:f>MIN(C551:G551)</x:f>
        <x:v>211</x:v>
      </x:c>
      <x:c r="I551" s="14" t="n">
        <x:f>(C551-$H551)/$H551*100</x:f>
        <x:v>36.018957345971565</x:v>
      </x:c>
      <x:c r="J551" s="14" t="n">
        <x:f>(D551-$H551)/$H551*100</x:f>
        <x:v>35.07109004739337</x:v>
      </x:c>
      <x:c r="K551" s="14" t="n">
        <x:f>(E551-$H551)/$H551*100</x:f>
        <x:v>35.54502369668246</x:v>
      </x:c>
      <x:c r="L551" s="14" t="n">
        <x:f>(F551-$H551)/$H551*100</x:f>
        <x:v>11.848341232227488</x:v>
      </x:c>
      <x:c r="M551" s="14" t="n">
        <x:f>(G551-$H551)/$H551*100</x:f>
        <x:v>0</x:v>
      </x:c>
      <x:c r="N551" s="12" t="str">
        <x:f>IF(C551=$H551,"YES","NO")</x:f>
        <x:v>NO</x:v>
      </x:c>
      <x:c r="O551" s="12" t="str">
        <x:f>IF(D551=$H551,"YES","NO")</x:f>
        <x:v>NO</x:v>
      </x:c>
      <x:c r="P551" s="12" t="str">
        <x:f>IF(E551=$H551,"YES","NO")</x:f>
        <x:v>NO</x:v>
      </x:c>
      <x:c r="Q551" s="12" t="str">
        <x:f>IF(F551=$H551,"YES","NO")</x:f>
        <x:v>NO</x:v>
      </x:c>
      <x:c r="R551" s="12" t="str">
        <x:f>IF(G551=$H551,"YES","NO")</x:f>
        <x:v>YES</x:v>
      </x:c>
    </x:row>
    <x:row r="552">
      <x:c r="A552" s="44" t="str">
        <x:v>bpps_d200n50m10w40_60s2_40f0_seed0</x:v>
      </x:c>
      <x:c r="B552" s="12" t="n">
        <x:v>50</x:v>
      </x:c>
      <x:c r="C552" s="12" t="n">
        <x:v>21</x:v>
      </x:c>
      <x:c r="D552" s="12" t="n">
        <x:v>20</x:v>
      </x:c>
      <x:c r="E552" s="12" t="n">
        <x:v>20</x:v>
      </x:c>
      <x:c r="F552" s="12" t="n">
        <x:v>18</x:v>
      </x:c>
      <x:c r="G552" s="12" t="n">
        <x:v>17</x:v>
      </x:c>
      <x:c r="H552" s="12" t="n">
        <x:f>MIN(C552:G552)</x:f>
        <x:v>17</x:v>
      </x:c>
      <x:c r="I552" s="14" t="n">
        <x:f>(C552-$H552)/$H552*100</x:f>
        <x:v>23.52941176470588</x:v>
      </x:c>
      <x:c r="J552" s="14" t="n">
        <x:f>(D552-$H552)/$H552*100</x:f>
        <x:v>17.647058823529413</x:v>
      </x:c>
      <x:c r="K552" s="14" t="n">
        <x:f>(E552-$H552)/$H552*100</x:f>
        <x:v>17.647058823529413</x:v>
      </x:c>
      <x:c r="L552" s="14" t="n">
        <x:f>(F552-$H552)/$H552*100</x:f>
        <x:v>5.88235294117647</x:v>
      </x:c>
      <x:c r="M552" s="14" t="n">
        <x:f>(G552-$H552)/$H552*100</x:f>
        <x:v>0</x:v>
      </x:c>
      <x:c r="N552" s="12" t="str">
        <x:f>IF(C552=$H552,"YES","NO")</x:f>
        <x:v>NO</x:v>
      </x:c>
      <x:c r="O552" s="12" t="str">
        <x:f>IF(D552=$H552,"YES","NO")</x:f>
        <x:v>NO</x:v>
      </x:c>
      <x:c r="P552" s="12" t="str">
        <x:f>IF(E552=$H552,"YES","NO")</x:f>
        <x:v>NO</x:v>
      </x:c>
      <x:c r="Q552" s="12" t="str">
        <x:f>IF(F552=$H552,"YES","NO")</x:f>
        <x:v>NO</x:v>
      </x:c>
      <x:c r="R552" s="12" t="str">
        <x:f>IF(G552=$H552,"YES","NO")</x:f>
        <x:v>YES</x:v>
      </x:c>
    </x:row>
    <x:row r="553">
      <x:c r="A553" s="44" t="str">
        <x:v>bpps_d200n50m10w40_60s2_40f1_seed0</x:v>
      </x:c>
      <x:c r="B553" s="12" t="n">
        <x:v>50</x:v>
      </x:c>
      <x:c r="C553" s="12" t="n">
        <x:v>319</x:v>
      </x:c>
      <x:c r="D553" s="12" t="n">
        <x:v>321</x:v>
      </x:c>
      <x:c r="E553" s="12" t="n">
        <x:v>321</x:v>
      </x:c>
      <x:c r="F553" s="12" t="n">
        <x:v>234</x:v>
      </x:c>
      <x:c r="G553" s="12" t="n">
        <x:v>234</x:v>
      </x:c>
      <x:c r="H553" s="12" t="n">
        <x:f>MIN(C553:G553)</x:f>
        <x:v>234</x:v>
      </x:c>
      <x:c r="I553" s="14" t="n">
        <x:f>(C553-$H553)/$H553*100</x:f>
        <x:v>36.324786324786324</x:v>
      </x:c>
      <x:c r="J553" s="14" t="n">
        <x:f>(D553-$H553)/$H553*100</x:f>
        <x:v>37.17948717948718</x:v>
      </x:c>
      <x:c r="K553" s="14" t="n">
        <x:f>(E553-$H553)/$H553*100</x:f>
        <x:v>37.17948717948718</x:v>
      </x:c>
      <x:c r="L553" s="14" t="n">
        <x:f>(F553-$H553)/$H553*100</x:f>
        <x:v>0</x:v>
      </x:c>
      <x:c r="M553" s="14" t="n">
        <x:f>(G553-$H553)/$H553*100</x:f>
        <x:v>0</x:v>
      </x:c>
      <x:c r="N553" s="12" t="str">
        <x:f>IF(C553=$H553,"YES","NO")</x:f>
        <x:v>NO</x:v>
      </x:c>
      <x:c r="O553" s="12" t="str">
        <x:f>IF(D553=$H553,"YES","NO")</x:f>
        <x:v>NO</x:v>
      </x:c>
      <x:c r="P553" s="12" t="str">
        <x:f>IF(E553=$H553,"YES","NO")</x:f>
        <x:v>NO</x:v>
      </x:c>
      <x:c r="Q553" s="12" t="str">
        <x:f>IF(F553=$H553,"YES","NO")</x:f>
        <x:v>YES</x:v>
      </x:c>
      <x:c r="R553" s="12" t="str">
        <x:f>IF(G553=$H553,"YES","NO")</x:f>
        <x:v>YES</x:v>
      </x:c>
    </x:row>
    <x:row r="554">
      <x:c r="A554" s="44" t="str">
        <x:v>bpps_d200n50m5w20_40s20_40f0_seed0</x:v>
      </x:c>
      <x:c r="B554" s="12" t="n">
        <x:v>50</x:v>
      </x:c>
      <x:c r="C554" s="12" t="n">
        <x:v>13</x:v>
      </x:c>
      <x:c r="D554" s="12" t="n">
        <x:v>13</x:v>
      </x:c>
      <x:c r="E554" s="12" t="n">
        <x:v>13</x:v>
      </x:c>
      <x:c r="F554" s="12" t="n">
        <x:v>10</x:v>
      </x:c>
      <x:c r="G554" s="12" t="n">
        <x:v>11</x:v>
      </x:c>
      <x:c r="H554" s="12" t="n">
        <x:f>MIN(C554:G554)</x:f>
        <x:v>10</x:v>
      </x:c>
      <x:c r="I554" s="14" t="n">
        <x:f>(C554-$H554)/$H554*100</x:f>
        <x:v>30</x:v>
      </x:c>
      <x:c r="J554" s="14" t="n">
        <x:f>(D554-$H554)/$H554*100</x:f>
        <x:v>30</x:v>
      </x:c>
      <x:c r="K554" s="14" t="n">
        <x:f>(E554-$H554)/$H554*100</x:f>
        <x:v>30</x:v>
      </x:c>
      <x:c r="L554" s="14" t="n">
        <x:f>(F554-$H554)/$H554*100</x:f>
        <x:v>0</x:v>
      </x:c>
      <x:c r="M554" s="14" t="n">
        <x:f>(G554-$H554)/$H554*100</x:f>
        <x:v>10</x:v>
      </x:c>
      <x:c r="N554" s="12" t="str">
        <x:f>IF(C554=$H554,"YES","NO")</x:f>
        <x:v>NO</x:v>
      </x:c>
      <x:c r="O554" s="12" t="str">
        <x:f>IF(D554=$H554,"YES","NO")</x:f>
        <x:v>NO</x:v>
      </x:c>
      <x:c r="P554" s="12" t="str">
        <x:f>IF(E554=$H554,"YES","NO")</x:f>
        <x:v>NO</x:v>
      </x:c>
      <x:c r="Q554" s="12" t="str">
        <x:f>IF(F554=$H554,"YES","NO")</x:f>
        <x:v>YES</x:v>
      </x:c>
      <x:c r="R554" s="12" t="str">
        <x:f>IF(G554=$H554,"YES","NO")</x:f>
        <x:v>NO</x:v>
      </x:c>
    </x:row>
    <x:row r="555">
      <x:c r="A555" s="44" t="str">
        <x:v>bpps_d200n50m5w20_40s20_40f1_seed0</x:v>
      </x:c>
      <x:c r="B555" s="12" t="n">
        <x:v>50</x:v>
      </x:c>
      <x:c r="C555" s="12" t="n">
        <x:v>196</x:v>
      </x:c>
      <x:c r="D555" s="12" t="n">
        <x:v>196</x:v>
      </x:c>
      <x:c r="E555" s="12" t="n">
        <x:v>192</x:v>
      </x:c>
      <x:c r="F555" s="12" t="n">
        <x:v>183</x:v>
      </x:c>
      <x:c r="G555" s="12" t="n">
        <x:v>150</x:v>
      </x:c>
      <x:c r="H555" s="12" t="n">
        <x:f>MIN(C555:G555)</x:f>
        <x:v>150</x:v>
      </x:c>
      <x:c r="I555" s="14" t="n">
        <x:f>(C555-$H555)/$H555*100</x:f>
        <x:v>30.666666666666664</x:v>
      </x:c>
      <x:c r="J555" s="14" t="n">
        <x:f>(D555-$H555)/$H555*100</x:f>
        <x:v>30.666666666666664</x:v>
      </x:c>
      <x:c r="K555" s="14" t="n">
        <x:f>(E555-$H555)/$H555*100</x:f>
        <x:v>28.000000000000004</x:v>
      </x:c>
      <x:c r="L555" s="14" t="n">
        <x:f>(F555-$H555)/$H555*100</x:f>
        <x:v>22</x:v>
      </x:c>
      <x:c r="M555" s="14" t="n">
        <x:f>(G555-$H555)/$H555*100</x:f>
        <x:v>0</x:v>
      </x:c>
      <x:c r="N555" s="12" t="str">
        <x:f>IF(C555=$H555,"YES","NO")</x:f>
        <x:v>NO</x:v>
      </x:c>
      <x:c r="O555" s="12" t="str">
        <x:f>IF(D555=$H555,"YES","NO")</x:f>
        <x:v>NO</x:v>
      </x:c>
      <x:c r="P555" s="12" t="str">
        <x:f>IF(E555=$H555,"YES","NO")</x:f>
        <x:v>NO</x:v>
      </x:c>
      <x:c r="Q555" s="12" t="str">
        <x:f>IF(F555=$H555,"YES","NO")</x:f>
        <x:v>NO</x:v>
      </x:c>
      <x:c r="R555" s="12" t="str">
        <x:f>IF(G555=$H555,"YES","NO")</x:f>
        <x:v>YES</x:v>
      </x:c>
    </x:row>
    <x:row r="556">
      <x:c r="A556" s="44" t="str">
        <x:v>bpps_d200n50m5w20_40s2_20f0_seed0</x:v>
      </x:c>
      <x:c r="B556" s="12" t="n">
        <x:v>50</x:v>
      </x:c>
      <x:c r="C556" s="12" t="n">
        <x:v>10</x:v>
      </x:c>
      <x:c r="D556" s="12" t="n">
        <x:v>10</x:v>
      </x:c>
      <x:c r="E556" s="12" t="n">
        <x:v>10</x:v>
      </x:c>
      <x:c r="F556" s="12" t="n">
        <x:v>10</x:v>
      </x:c>
      <x:c r="G556" s="12" t="n">
        <x:v>9</x:v>
      </x:c>
      <x:c r="H556" s="12" t="n">
        <x:f>MIN(C556:G556)</x:f>
        <x:v>9</x:v>
      </x:c>
      <x:c r="I556" s="14" t="n">
        <x:f>(C556-$H556)/$H556*100</x:f>
        <x:v>11.11111111111111</x:v>
      </x:c>
      <x:c r="J556" s="14" t="n">
        <x:f>(D556-$H556)/$H556*100</x:f>
        <x:v>11.11111111111111</x:v>
      </x:c>
      <x:c r="K556" s="14" t="n">
        <x:f>(E556-$H556)/$H556*100</x:f>
        <x:v>11.11111111111111</x:v>
      </x:c>
      <x:c r="L556" s="14" t="n">
        <x:f>(F556-$H556)/$H556*100</x:f>
        <x:v>11.11111111111111</x:v>
      </x:c>
      <x:c r="M556" s="14" t="n">
        <x:f>(G556-$H556)/$H556*100</x:f>
        <x:v>0</x:v>
      </x:c>
      <x:c r="N556" s="12" t="str">
        <x:f>IF(C556=$H556,"YES","NO")</x:f>
        <x:v>NO</x:v>
      </x:c>
      <x:c r="O556" s="12" t="str">
        <x:f>IF(D556=$H556,"YES","NO")</x:f>
        <x:v>NO</x:v>
      </x:c>
      <x:c r="P556" s="12" t="str">
        <x:f>IF(E556=$H556,"YES","NO")</x:f>
        <x:v>NO</x:v>
      </x:c>
      <x:c r="Q556" s="12" t="str">
        <x:f>IF(F556=$H556,"YES","NO")</x:f>
        <x:v>NO</x:v>
      </x:c>
      <x:c r="R556" s="12" t="str">
        <x:f>IF(G556=$H556,"YES","NO")</x:f>
        <x:v>YES</x:v>
      </x:c>
    </x:row>
    <x:row r="557">
      <x:c r="A557" s="44" t="str">
        <x:v>bpps_d200n50m5w20_40s2_20f1_seed0</x:v>
      </x:c>
      <x:c r="B557" s="12" t="n">
        <x:v>50</x:v>
      </x:c>
      <x:c r="C557" s="12" t="n">
        <x:v>198</x:v>
      </x:c>
      <x:c r="D557" s="12" t="n">
        <x:v>199</x:v>
      </x:c>
      <x:c r="E557" s="12" t="n">
        <x:v>181</x:v>
      </x:c>
      <x:c r="F557" s="12" t="n">
        <x:v>144</x:v>
      </x:c>
      <x:c r="G557" s="12" t="n">
        <x:v>124</x:v>
      </x:c>
      <x:c r="H557" s="12" t="n">
        <x:f>MIN(C557:G557)</x:f>
        <x:v>124</x:v>
      </x:c>
      <x:c r="I557" s="14" t="n">
        <x:f>(C557-$H557)/$H557*100</x:f>
        <x:v>59.67741935483871</x:v>
      </x:c>
      <x:c r="J557" s="14" t="n">
        <x:f>(D557-$H557)/$H557*100</x:f>
        <x:v>60.483870967741936</x:v>
      </x:c>
      <x:c r="K557" s="14" t="n">
        <x:f>(E557-$H557)/$H557*100</x:f>
        <x:v>45.96774193548387</x:v>
      </x:c>
      <x:c r="L557" s="14" t="n">
        <x:f>(F557-$H557)/$H557*100</x:f>
        <x:v>16.129032258064516</x:v>
      </x:c>
      <x:c r="M557" s="14" t="n">
        <x:f>(G557-$H557)/$H557*100</x:f>
        <x:v>0</x:v>
      </x:c>
      <x:c r="N557" s="12" t="str">
        <x:f>IF(C557=$H557,"YES","NO")</x:f>
        <x:v>NO</x:v>
      </x:c>
      <x:c r="O557" s="12" t="str">
        <x:f>IF(D557=$H557,"YES","NO")</x:f>
        <x:v>NO</x:v>
      </x:c>
      <x:c r="P557" s="12" t="str">
        <x:f>IF(E557=$H557,"YES","NO")</x:f>
        <x:v>NO</x:v>
      </x:c>
      <x:c r="Q557" s="12" t="str">
        <x:f>IF(F557=$H557,"YES","NO")</x:f>
        <x:v>NO</x:v>
      </x:c>
      <x:c r="R557" s="12" t="str">
        <x:f>IF(G557=$H557,"YES","NO")</x:f>
        <x:v>YES</x:v>
      </x:c>
    </x:row>
    <x:row r="558">
      <x:c r="A558" s="44" t="str">
        <x:v>bpps_d200n50m5w20_40s2_40f0_seed0</x:v>
      </x:c>
      <x:c r="B558" s="12" t="n">
        <x:v>50</x:v>
      </x:c>
      <x:c r="C558" s="12" t="n">
        <x:v>12</x:v>
      </x:c>
      <x:c r="D558" s="12" t="n">
        <x:v>12</x:v>
      </x:c>
      <x:c r="E558" s="12" t="n">
        <x:v>12</x:v>
      </x:c>
      <x:c r="F558" s="12" t="n">
        <x:v>11</x:v>
      </x:c>
      <x:c r="G558" s="12" t="n">
        <x:v>10</x:v>
      </x:c>
      <x:c r="H558" s="12" t="n">
        <x:f>MIN(C558:G558)</x:f>
        <x:v>10</x:v>
      </x:c>
      <x:c r="I558" s="14" t="n">
        <x:f>(C558-$H558)/$H558*100</x:f>
        <x:v>20</x:v>
      </x:c>
      <x:c r="J558" s="14" t="n">
        <x:f>(D558-$H558)/$H558*100</x:f>
        <x:v>20</x:v>
      </x:c>
      <x:c r="K558" s="14" t="n">
        <x:f>(E558-$H558)/$H558*100</x:f>
        <x:v>20</x:v>
      </x:c>
      <x:c r="L558" s="14" t="n">
        <x:f>(F558-$H558)/$H558*100</x:f>
        <x:v>10</x:v>
      </x:c>
      <x:c r="M558" s="14" t="n">
        <x:f>(G558-$H558)/$H558*100</x:f>
        <x:v>0</x:v>
      </x:c>
      <x:c r="N558" s="12" t="str">
        <x:f>IF(C558=$H558,"YES","NO")</x:f>
        <x:v>NO</x:v>
      </x:c>
      <x:c r="O558" s="12" t="str">
        <x:f>IF(D558=$H558,"YES","NO")</x:f>
        <x:v>NO</x:v>
      </x:c>
      <x:c r="P558" s="12" t="str">
        <x:f>IF(E558=$H558,"YES","NO")</x:f>
        <x:v>NO</x:v>
      </x:c>
      <x:c r="Q558" s="12" t="str">
        <x:f>IF(F558=$H558,"YES","NO")</x:f>
        <x:v>NO</x:v>
      </x:c>
      <x:c r="R558" s="12" t="str">
        <x:f>IF(G558=$H558,"YES","NO")</x:f>
        <x:v>YES</x:v>
      </x:c>
    </x:row>
    <x:row r="559">
      <x:c r="A559" s="44" t="str">
        <x:v>bpps_d200n50m5w20_40s2_40f1_seed0</x:v>
      </x:c>
      <x:c r="B559" s="12" t="n">
        <x:v>50</x:v>
      </x:c>
      <x:c r="C559" s="12" t="n">
        <x:v>212</x:v>
      </x:c>
      <x:c r="D559" s="12" t="n">
        <x:v>205</x:v>
      </x:c>
      <x:c r="E559" s="12" t="n">
        <x:v>193</x:v>
      </x:c>
      <x:c r="F559" s="12" t="n">
        <x:v>158</x:v>
      </x:c>
      <x:c r="G559" s="12" t="n">
        <x:v>144</x:v>
      </x:c>
      <x:c r="H559" s="12" t="n">
        <x:f>MIN(C559:G559)</x:f>
        <x:v>144</x:v>
      </x:c>
      <x:c r="I559" s="14" t="n">
        <x:f>(C559-$H559)/$H559*100</x:f>
        <x:v>47.22222222222222</x:v>
      </x:c>
      <x:c r="J559" s="14" t="n">
        <x:f>(D559-$H559)/$H559*100</x:f>
        <x:v>42.36111111111111</x:v>
      </x:c>
      <x:c r="K559" s="14" t="n">
        <x:f>(E559-$H559)/$H559*100</x:f>
        <x:v>34.02777777777778</x:v>
      </x:c>
      <x:c r="L559" s="14" t="n">
        <x:f>(F559-$H559)/$H559*100</x:f>
        <x:v>9.722222222222223</x:v>
      </x:c>
      <x:c r="M559" s="14" t="n">
        <x:f>(G559-$H559)/$H559*100</x:f>
        <x:v>0</x:v>
      </x:c>
      <x:c r="N559" s="12" t="str">
        <x:f>IF(C559=$H559,"YES","NO")</x:f>
        <x:v>NO</x:v>
      </x:c>
      <x:c r="O559" s="12" t="str">
        <x:f>IF(D559=$H559,"YES","NO")</x:f>
        <x:v>NO</x:v>
      </x:c>
      <x:c r="P559" s="12" t="str">
        <x:f>IF(E559=$H559,"YES","NO")</x:f>
        <x:v>NO</x:v>
      </x:c>
      <x:c r="Q559" s="12" t="str">
        <x:f>IF(F559=$H559,"YES","NO")</x:f>
        <x:v>NO</x:v>
      </x:c>
      <x:c r="R559" s="12" t="str">
        <x:f>IF(G559=$H559,"YES","NO")</x:f>
        <x:v>YES</x:v>
      </x:c>
    </x:row>
    <x:row r="560">
      <x:c r="A560" s="44" t="str">
        <x:v>bpps_d200n50m5w2_20s20_40f0_seed0</x:v>
      </x:c>
      <x:c r="B560" s="12" t="n">
        <x:v>50</x:v>
      </x:c>
      <x:c r="C560" s="12" t="n">
        <x:v>7</x:v>
      </x:c>
      <x:c r="D560" s="12" t="n">
        <x:v>6</x:v>
      </x:c>
      <x:c r="E560" s="12" t="n">
        <x:v>7</x:v>
      </x:c>
      <x:c r="F560" s="12" t="n">
        <x:v>8</x:v>
      </x:c>
      <x:c r="G560" s="12" t="n">
        <x:v>6</x:v>
      </x:c>
      <x:c r="H560" s="12" t="n">
        <x:f>MIN(C560:G560)</x:f>
        <x:v>6</x:v>
      </x:c>
      <x:c r="I560" s="14" t="n">
        <x:f>(C560-$H560)/$H560*100</x:f>
        <x:v>16.666666666666664</x:v>
      </x:c>
      <x:c r="J560" s="14" t="n">
        <x:f>(D560-$H560)/$H560*100</x:f>
        <x:v>0</x:v>
      </x:c>
      <x:c r="K560" s="14" t="n">
        <x:f>(E560-$H560)/$H560*100</x:f>
        <x:v>16.666666666666664</x:v>
      </x:c>
      <x:c r="L560" s="14" t="n">
        <x:f>(F560-$H560)/$H560*100</x:f>
        <x:v>33.33333333333333</x:v>
      </x:c>
      <x:c r="M560" s="14" t="n">
        <x:f>(G560-$H560)/$H560*100</x:f>
        <x:v>0</x:v>
      </x:c>
      <x:c r="N560" s="12" t="str">
        <x:f>IF(C560=$H560,"YES","NO")</x:f>
        <x:v>NO</x:v>
      </x:c>
      <x:c r="O560" s="12" t="str">
        <x:f>IF(D560=$H560,"YES","NO")</x:f>
        <x:v>YES</x:v>
      </x:c>
      <x:c r="P560" s="12" t="str">
        <x:f>IF(E560=$H560,"YES","NO")</x:f>
        <x:v>NO</x:v>
      </x:c>
      <x:c r="Q560" s="12" t="str">
        <x:f>IF(F560=$H560,"YES","NO")</x:f>
        <x:v>NO</x:v>
      </x:c>
      <x:c r="R560" s="12" t="str">
        <x:f>IF(G560=$H560,"YES","NO")</x:f>
        <x:v>YES</x:v>
      </x:c>
    </x:row>
    <x:row r="561">
      <x:c r="A561" s="44" t="str">
        <x:v>bpps_d200n50m5w2_20s20_40f1_seed0</x:v>
      </x:c>
      <x:c r="B561" s="12" t="n">
        <x:v>50</x:v>
      </x:c>
      <x:c r="C561" s="12" t="n">
        <x:v>133</x:v>
      </x:c>
      <x:c r="D561" s="12" t="n">
        <x:v>131</x:v>
      </x:c>
      <x:c r="E561" s="12" t="n">
        <x:v>115</x:v>
      </x:c>
      <x:c r="F561" s="12" t="n">
        <x:v>108</x:v>
      </x:c>
      <x:c r="G561" s="12" t="n">
        <x:v>98</x:v>
      </x:c>
      <x:c r="H561" s="12" t="n">
        <x:f>MIN(C561:G561)</x:f>
        <x:v>98</x:v>
      </x:c>
      <x:c r="I561" s="14" t="n">
        <x:f>(C561-$H561)/$H561*100</x:f>
        <x:v>35.714285714285715</x:v>
      </x:c>
      <x:c r="J561" s="14" t="n">
        <x:f>(D561-$H561)/$H561*100</x:f>
        <x:v>33.6734693877551</x:v>
      </x:c>
      <x:c r="K561" s="14" t="n">
        <x:f>(E561-$H561)/$H561*100</x:f>
        <x:v>17.346938775510203</x:v>
      </x:c>
      <x:c r="L561" s="14" t="n">
        <x:f>(F561-$H561)/$H561*100</x:f>
        <x:v>10.204081632653061</x:v>
      </x:c>
      <x:c r="M561" s="14" t="n">
        <x:f>(G561-$H561)/$H561*100</x:f>
        <x:v>0</x:v>
      </x:c>
      <x:c r="N561" s="12" t="str">
        <x:f>IF(C561=$H561,"YES","NO")</x:f>
        <x:v>NO</x:v>
      </x:c>
      <x:c r="O561" s="12" t="str">
        <x:f>IF(D561=$H561,"YES","NO")</x:f>
        <x:v>NO</x:v>
      </x:c>
      <x:c r="P561" s="12" t="str">
        <x:f>IF(E561=$H561,"YES","NO")</x:f>
        <x:v>NO</x:v>
      </x:c>
      <x:c r="Q561" s="12" t="str">
        <x:f>IF(F561=$H561,"YES","NO")</x:f>
        <x:v>NO</x:v>
      </x:c>
      <x:c r="R561" s="12" t="str">
        <x:f>IF(G561=$H561,"YES","NO")</x:f>
        <x:v>YES</x:v>
      </x:c>
    </x:row>
    <x:row r="562">
      <x:c r="A562" s="44" t="str">
        <x:v>bpps_d200n50m5w2_20s2_20f0_seed0</x:v>
      </x:c>
      <x:c r="B562" s="12" t="n">
        <x:v>50</x:v>
      </x:c>
      <x:c r="C562" s="12" t="n">
        <x:v>5</x:v>
      </x:c>
      <x:c r="D562" s="12" t="n">
        <x:v>5</x:v>
      </x:c>
      <x:c r="E562" s="12" t="n">
        <x:v>5</x:v>
      </x:c>
      <x:c r="F562" s="12" t="n">
        <x:v>7</x:v>
      </x:c>
      <x:c r="G562" s="12" t="n">
        <x:v>5</x:v>
      </x:c>
      <x:c r="H562" s="12" t="n">
        <x:f>MIN(C562:G562)</x:f>
        <x:v>5</x:v>
      </x:c>
      <x:c r="I562" s="14" t="n">
        <x:f>(C562-$H562)/$H562*100</x:f>
        <x:v>0</x:v>
      </x:c>
      <x:c r="J562" s="14" t="n">
        <x:f>(D562-$H562)/$H562*100</x:f>
        <x:v>0</x:v>
      </x:c>
      <x:c r="K562" s="14" t="n">
        <x:f>(E562-$H562)/$H562*100</x:f>
        <x:v>0</x:v>
      </x:c>
      <x:c r="L562" s="14" t="n">
        <x:f>(F562-$H562)/$H562*100</x:f>
        <x:v>40</x:v>
      </x:c>
      <x:c r="M562" s="14" t="n">
        <x:f>(G562-$H562)/$H562*100</x:f>
        <x:v>0</x:v>
      </x:c>
      <x:c r="N562" s="12" t="str">
        <x:f>IF(C562=$H562,"YES","NO")</x:f>
        <x:v>YES</x:v>
      </x:c>
      <x:c r="O562" s="12" t="str">
        <x:f>IF(D562=$H562,"YES","NO")</x:f>
        <x:v>YES</x:v>
      </x:c>
      <x:c r="P562" s="12" t="str">
        <x:f>IF(E562=$H562,"YES","NO")</x:f>
        <x:v>YES</x:v>
      </x:c>
      <x:c r="Q562" s="12" t="str">
        <x:f>IF(F562=$H562,"YES","NO")</x:f>
        <x:v>NO</x:v>
      </x:c>
      <x:c r="R562" s="12" t="str">
        <x:f>IF(G562=$H562,"YES","NO")</x:f>
        <x:v>YES</x:v>
      </x:c>
    </x:row>
    <x:row r="563">
      <x:c r="A563" s="44" t="str">
        <x:v>bpps_d200n50m5w2_20s2_20f1_seed0</x:v>
      </x:c>
      <x:c r="B563" s="12" t="n">
        <x:v>50</x:v>
      </x:c>
      <x:c r="C563" s="12" t="n">
        <x:v>112</x:v>
      </x:c>
      <x:c r="D563" s="12" t="n">
        <x:v>112</x:v>
      </x:c>
      <x:c r="E563" s="12" t="n">
        <x:v>102</x:v>
      </x:c>
      <x:c r="F563" s="12" t="n">
        <x:v>113</x:v>
      </x:c>
      <x:c r="G563" s="12" t="n">
        <x:v>83</x:v>
      </x:c>
      <x:c r="H563" s="12" t="n">
        <x:f>MIN(C563:G563)</x:f>
        <x:v>83</x:v>
      </x:c>
      <x:c r="I563" s="14" t="n">
        <x:f>(C563-$H563)/$H563*100</x:f>
        <x:v>34.93975903614458</x:v>
      </x:c>
      <x:c r="J563" s="14" t="n">
        <x:f>(D563-$H563)/$H563*100</x:f>
        <x:v>34.93975903614458</x:v>
      </x:c>
      <x:c r="K563" s="14" t="n">
        <x:f>(E563-$H563)/$H563*100</x:f>
        <x:v>22.89156626506024</x:v>
      </x:c>
      <x:c r="L563" s="14" t="n">
        <x:f>(F563-$H563)/$H563*100</x:f>
        <x:v>36.144578313253014</x:v>
      </x:c>
      <x:c r="M563" s="14" t="n">
        <x:f>(G563-$H563)/$H563*100</x:f>
        <x:v>0</x:v>
      </x:c>
      <x:c r="N563" s="12" t="str">
        <x:f>IF(C563=$H563,"YES","NO")</x:f>
        <x:v>NO</x:v>
      </x:c>
      <x:c r="O563" s="12" t="str">
        <x:f>IF(D563=$H563,"YES","NO")</x:f>
        <x:v>NO</x:v>
      </x:c>
      <x:c r="P563" s="12" t="str">
        <x:f>IF(E563=$H563,"YES","NO")</x:f>
        <x:v>NO</x:v>
      </x:c>
      <x:c r="Q563" s="12" t="str">
        <x:f>IF(F563=$H563,"YES","NO")</x:f>
        <x:v>NO</x:v>
      </x:c>
      <x:c r="R563" s="12" t="str">
        <x:f>IF(G563=$H563,"YES","NO")</x:f>
        <x:v>YES</x:v>
      </x:c>
    </x:row>
    <x:row r="564">
      <x:c r="A564" s="44" t="str">
        <x:v>bpps_d200n50m5w2_20s2_40f0_seed0</x:v>
      </x:c>
      <x:c r="B564" s="12" t="n">
        <x:v>50</x:v>
      </x:c>
      <x:c r="C564" s="12" t="n">
        <x:v>6</x:v>
      </x:c>
      <x:c r="D564" s="12" t="n">
        <x:v>7</x:v>
      </x:c>
      <x:c r="E564" s="12" t="n">
        <x:v>6</x:v>
      </x:c>
      <x:c r="F564" s="12" t="n">
        <x:v>8</x:v>
      </x:c>
      <x:c r="G564" s="12" t="n">
        <x:v>6</x:v>
      </x:c>
      <x:c r="H564" s="12" t="n">
        <x:f>MIN(C564:G564)</x:f>
        <x:v>6</x:v>
      </x:c>
      <x:c r="I564" s="14" t="n">
        <x:f>(C564-$H564)/$H564*100</x:f>
        <x:v>0</x:v>
      </x:c>
      <x:c r="J564" s="14" t="n">
        <x:f>(D564-$H564)/$H564*100</x:f>
        <x:v>16.666666666666664</x:v>
      </x:c>
      <x:c r="K564" s="14" t="n">
        <x:f>(E564-$H564)/$H564*100</x:f>
        <x:v>0</x:v>
      </x:c>
      <x:c r="L564" s="14" t="n">
        <x:f>(F564-$H564)/$H564*100</x:f>
        <x:v>33.33333333333333</x:v>
      </x:c>
      <x:c r="M564" s="14" t="n">
        <x:f>(G564-$H564)/$H564*100</x:f>
        <x:v>0</x:v>
      </x:c>
      <x:c r="N564" s="12" t="str">
        <x:f>IF(C564=$H564,"YES","NO")</x:f>
        <x:v>YES</x:v>
      </x:c>
      <x:c r="O564" s="12" t="str">
        <x:f>IF(D564=$H564,"YES","NO")</x:f>
        <x:v>NO</x:v>
      </x:c>
      <x:c r="P564" s="12" t="str">
        <x:f>IF(E564=$H564,"YES","NO")</x:f>
        <x:v>YES</x:v>
      </x:c>
      <x:c r="Q564" s="12" t="str">
        <x:f>IF(F564=$H564,"YES","NO")</x:f>
        <x:v>NO</x:v>
      </x:c>
      <x:c r="R564" s="12" t="str">
        <x:f>IF(G564=$H564,"YES","NO")</x:f>
        <x:v>YES</x:v>
      </x:c>
    </x:row>
    <x:row r="565">
      <x:c r="A565" s="44" t="str">
        <x:v>bpps_d200n50m5w2_20s2_40f1_seed0</x:v>
      </x:c>
      <x:c r="B565" s="12" t="n">
        <x:v>50</x:v>
      </x:c>
      <x:c r="C565" s="12" t="n">
        <x:v>125</x:v>
      </x:c>
      <x:c r="D565" s="12" t="n">
        <x:v>121</x:v>
      </x:c>
      <x:c r="E565" s="12" t="n">
        <x:v>121</x:v>
      </x:c>
      <x:c r="F565" s="12" t="n">
        <x:v>98</x:v>
      </x:c>
      <x:c r="G565" s="12" t="n">
        <x:v>89</x:v>
      </x:c>
      <x:c r="H565" s="12" t="n">
        <x:f>MIN(C565:G565)</x:f>
        <x:v>89</x:v>
      </x:c>
      <x:c r="I565" s="14" t="n">
        <x:f>(C565-$H565)/$H565*100</x:f>
        <x:v>40.44943820224719</x:v>
      </x:c>
      <x:c r="J565" s="14" t="n">
        <x:f>(D565-$H565)/$H565*100</x:f>
        <x:v>35.95505617977528</x:v>
      </x:c>
      <x:c r="K565" s="14" t="n">
        <x:f>(E565-$H565)/$H565*100</x:f>
        <x:v>35.95505617977528</x:v>
      </x:c>
      <x:c r="L565" s="14" t="n">
        <x:f>(F565-$H565)/$H565*100</x:f>
        <x:v>10.112359550561797</x:v>
      </x:c>
      <x:c r="M565" s="14" t="n">
        <x:f>(G565-$H565)/$H565*100</x:f>
        <x:v>0</x:v>
      </x:c>
      <x:c r="N565" s="12" t="str">
        <x:f>IF(C565=$H565,"YES","NO")</x:f>
        <x:v>NO</x:v>
      </x:c>
      <x:c r="O565" s="12" t="str">
        <x:f>IF(D565=$H565,"YES","NO")</x:f>
        <x:v>NO</x:v>
      </x:c>
      <x:c r="P565" s="12" t="str">
        <x:f>IF(E565=$H565,"YES","NO")</x:f>
        <x:v>NO</x:v>
      </x:c>
      <x:c r="Q565" s="12" t="str">
        <x:f>IF(F565=$H565,"YES","NO")</x:f>
        <x:v>NO</x:v>
      </x:c>
      <x:c r="R565" s="12" t="str">
        <x:f>IF(G565=$H565,"YES","NO")</x:f>
        <x:v>YES</x:v>
      </x:c>
    </x:row>
    <x:row r="566">
      <x:c r="A566" s="44" t="str">
        <x:v>bpps_d200n50m5w2_60s20_40f0_seed0</x:v>
      </x:c>
      <x:c r="B566" s="12" t="n">
        <x:v>50</x:v>
      </x:c>
      <x:c r="C566" s="12" t="n">
        <x:v>12</x:v>
      </x:c>
      <x:c r="D566" s="12" t="n">
        <x:v>13</x:v>
      </x:c>
      <x:c r="E566" s="12" t="n">
        <x:v>12</x:v>
      </x:c>
      <x:c r="F566" s="12" t="n">
        <x:v>12</x:v>
      </x:c>
      <x:c r="G566" s="12" t="n">
        <x:v>11</x:v>
      </x:c>
      <x:c r="H566" s="12" t="n">
        <x:f>MIN(C566:G566)</x:f>
        <x:v>11</x:v>
      </x:c>
      <x:c r="I566" s="14" t="n">
        <x:f>(C566-$H566)/$H566*100</x:f>
        <x:v>9.090909090909092</x:v>
      </x:c>
      <x:c r="J566" s="14" t="n">
        <x:f>(D566-$H566)/$H566*100</x:f>
        <x:v>18.181818181818183</x:v>
      </x:c>
      <x:c r="K566" s="14" t="n">
        <x:f>(E566-$H566)/$H566*100</x:f>
        <x:v>9.090909090909092</x:v>
      </x:c>
      <x:c r="L566" s="14" t="n">
        <x:f>(F566-$H566)/$H566*100</x:f>
        <x:v>9.090909090909092</x:v>
      </x:c>
      <x:c r="M566" s="14" t="n">
        <x:f>(G566-$H566)/$H566*100</x:f>
        <x:v>0</x:v>
      </x:c>
      <x:c r="N566" s="12" t="str">
        <x:f>IF(C566=$H566,"YES","NO")</x:f>
        <x:v>NO</x:v>
      </x:c>
      <x:c r="O566" s="12" t="str">
        <x:f>IF(D566=$H566,"YES","NO")</x:f>
        <x:v>NO</x:v>
      </x:c>
      <x:c r="P566" s="12" t="str">
        <x:f>IF(E566=$H566,"YES","NO")</x:f>
        <x:v>NO</x:v>
      </x:c>
      <x:c r="Q566" s="12" t="str">
        <x:f>IF(F566=$H566,"YES","NO")</x:f>
        <x:v>NO</x:v>
      </x:c>
      <x:c r="R566" s="12" t="str">
        <x:f>IF(G566=$H566,"YES","NO")</x:f>
        <x:v>YES</x:v>
      </x:c>
    </x:row>
    <x:row r="567">
      <x:c r="A567" s="44" t="str">
        <x:v>bpps_d200n50m5w2_60s20_40f1_seed0</x:v>
      </x:c>
      <x:c r="B567" s="12" t="n">
        <x:v>50</x:v>
      </x:c>
      <x:c r="C567" s="12" t="n">
        <x:v>213</x:v>
      </x:c>
      <x:c r="D567" s="12" t="n">
        <x:v>220</x:v>
      </x:c>
      <x:c r="E567" s="12" t="n">
        <x:v>203</x:v>
      </x:c>
      <x:c r="F567" s="12" t="n">
        <x:v>160</x:v>
      </x:c>
      <x:c r="G567" s="12" t="n">
        <x:v>154</x:v>
      </x:c>
      <x:c r="H567" s="12" t="n">
        <x:f>MIN(C567:G567)</x:f>
        <x:v>154</x:v>
      </x:c>
      <x:c r="I567" s="14" t="n">
        <x:f>(C567-$H567)/$H567*100</x:f>
        <x:v>38.311688311688314</x:v>
      </x:c>
      <x:c r="J567" s="14" t="n">
        <x:f>(D567-$H567)/$H567*100</x:f>
        <x:v>42.857142857142854</x:v>
      </x:c>
      <x:c r="K567" s="14" t="n">
        <x:f>(E567-$H567)/$H567*100</x:f>
        <x:v>31.818181818181817</x:v>
      </x:c>
      <x:c r="L567" s="14" t="n">
        <x:f>(F567-$H567)/$H567*100</x:f>
        <x:v>3.896103896103896</x:v>
      </x:c>
      <x:c r="M567" s="14" t="n">
        <x:f>(G567-$H567)/$H567*100</x:f>
        <x:v>0</x:v>
      </x:c>
      <x:c r="N567" s="12" t="str">
        <x:f>IF(C567=$H567,"YES","NO")</x:f>
        <x:v>NO</x:v>
      </x:c>
      <x:c r="O567" s="12" t="str">
        <x:f>IF(D567=$H567,"YES","NO")</x:f>
        <x:v>NO</x:v>
      </x:c>
      <x:c r="P567" s="12" t="str">
        <x:f>IF(E567=$H567,"YES","NO")</x:f>
        <x:v>NO</x:v>
      </x:c>
      <x:c r="Q567" s="12" t="str">
        <x:f>IF(F567=$H567,"YES","NO")</x:f>
        <x:v>NO</x:v>
      </x:c>
      <x:c r="R567" s="12" t="str">
        <x:f>IF(G567=$H567,"YES","NO")</x:f>
        <x:v>YES</x:v>
      </x:c>
    </x:row>
    <x:row r="568">
      <x:c r="A568" s="44" t="str">
        <x:v>bpps_d200n50m5w2_60s2_20f0_seed0</x:v>
      </x:c>
      <x:c r="B568" s="12" t="n">
        <x:v>50</x:v>
      </x:c>
      <x:c r="C568" s="12" t="n">
        <x:v>10</x:v>
      </x:c>
      <x:c r="D568" s="12" t="n">
        <x:v>10</x:v>
      </x:c>
      <x:c r="E568" s="12" t="n">
        <x:v>10</x:v>
      </x:c>
      <x:c r="F568" s="12" t="n">
        <x:v>10</x:v>
      </x:c>
      <x:c r="G568" s="12" t="n">
        <x:v>10</x:v>
      </x:c>
      <x:c r="H568" s="12" t="n">
        <x:f>MIN(C568:G568)</x:f>
        <x:v>10</x:v>
      </x:c>
      <x:c r="I568" s="14" t="n">
        <x:f>(C568-$H568)/$H568*100</x:f>
        <x:v>0</x:v>
      </x:c>
      <x:c r="J568" s="14" t="n">
        <x:f>(D568-$H568)/$H568*100</x:f>
        <x:v>0</x:v>
      </x:c>
      <x:c r="K568" s="14" t="n">
        <x:f>(E568-$H568)/$H568*100</x:f>
        <x:v>0</x:v>
      </x:c>
      <x:c r="L568" s="14" t="n">
        <x:f>(F568-$H568)/$H568*100</x:f>
        <x:v>0</x:v>
      </x:c>
      <x:c r="M568" s="14" t="n">
        <x:f>(G568-$H568)/$H568*100</x:f>
        <x:v>0</x:v>
      </x:c>
      <x:c r="N568" s="12" t="str">
        <x:f>IF(C568=$H568,"YES","NO")</x:f>
        <x:v>YES</x:v>
      </x:c>
      <x:c r="O568" s="12" t="str">
        <x:f>IF(D568=$H568,"YES","NO")</x:f>
        <x:v>YES</x:v>
      </x:c>
      <x:c r="P568" s="12" t="str">
        <x:f>IF(E568=$H568,"YES","NO")</x:f>
        <x:v>YES</x:v>
      </x:c>
      <x:c r="Q568" s="12" t="str">
        <x:f>IF(F568=$H568,"YES","NO")</x:f>
        <x:v>YES</x:v>
      </x:c>
      <x:c r="R568" s="12" t="str">
        <x:f>IF(G568=$H568,"YES","NO")</x:f>
        <x:v>YES</x:v>
      </x:c>
    </x:row>
    <x:row r="569">
      <x:c r="A569" s="44" t="str">
        <x:v>bpps_d200n50m5w2_60s2_20f1_seed0</x:v>
      </x:c>
      <x:c r="B569" s="12" t="n">
        <x:v>50</x:v>
      </x:c>
      <x:c r="C569" s="12" t="n">
        <x:v>193</x:v>
      </x:c>
      <x:c r="D569" s="12" t="n">
        <x:v>193</x:v>
      </x:c>
      <x:c r="E569" s="12" t="n">
        <x:v>184</x:v>
      </x:c>
      <x:c r="F569" s="12" t="n">
        <x:v>159</x:v>
      </x:c>
      <x:c r="G569" s="12" t="n">
        <x:v>140</x:v>
      </x:c>
      <x:c r="H569" s="12" t="n">
        <x:f>MIN(C569:G569)</x:f>
        <x:v>140</x:v>
      </x:c>
      <x:c r="I569" s="14" t="n">
        <x:f>(C569-$H569)/$H569*100</x:f>
        <x:v>37.857142857142854</x:v>
      </x:c>
      <x:c r="J569" s="14" t="n">
        <x:f>(D569-$H569)/$H569*100</x:f>
        <x:v>37.857142857142854</x:v>
      </x:c>
      <x:c r="K569" s="14" t="n">
        <x:f>(E569-$H569)/$H569*100</x:f>
        <x:v>31.428571428571427</x:v>
      </x:c>
      <x:c r="L569" s="14" t="n">
        <x:f>(F569-$H569)/$H569*100</x:f>
        <x:v>13.571428571428571</x:v>
      </x:c>
      <x:c r="M569" s="14" t="n">
        <x:f>(G569-$H569)/$H569*100</x:f>
        <x:v>0</x:v>
      </x:c>
      <x:c r="N569" s="12" t="str">
        <x:f>IF(C569=$H569,"YES","NO")</x:f>
        <x:v>NO</x:v>
      </x:c>
      <x:c r="O569" s="12" t="str">
        <x:f>IF(D569=$H569,"YES","NO")</x:f>
        <x:v>NO</x:v>
      </x:c>
      <x:c r="P569" s="12" t="str">
        <x:f>IF(E569=$H569,"YES","NO")</x:f>
        <x:v>NO</x:v>
      </x:c>
      <x:c r="Q569" s="12" t="str">
        <x:f>IF(F569=$H569,"YES","NO")</x:f>
        <x:v>NO</x:v>
      </x:c>
      <x:c r="R569" s="12" t="str">
        <x:f>IF(G569=$H569,"YES","NO")</x:f>
        <x:v>YES</x:v>
      </x:c>
    </x:row>
    <x:row r="570">
      <x:c r="A570" s="44" t="str">
        <x:v>bpps_d200n50m5w2_60s2_40f0_seed0</x:v>
      </x:c>
      <x:c r="B570" s="12" t="n">
        <x:v>50</x:v>
      </x:c>
      <x:c r="C570" s="12" t="n">
        <x:v>11</x:v>
      </x:c>
      <x:c r="D570" s="12" t="n">
        <x:v>11</x:v>
      </x:c>
      <x:c r="E570" s="12" t="n">
        <x:v>11</x:v>
      </x:c>
      <x:c r="F570" s="12" t="n">
        <x:v>11</x:v>
      </x:c>
      <x:c r="G570" s="12" t="n">
        <x:v>10</x:v>
      </x:c>
      <x:c r="H570" s="12" t="n">
        <x:f>MIN(C570:G570)</x:f>
        <x:v>10</x:v>
      </x:c>
      <x:c r="I570" s="14" t="n">
        <x:f>(C570-$H570)/$H570*100</x:f>
        <x:v>10</x:v>
      </x:c>
      <x:c r="J570" s="14" t="n">
        <x:f>(D570-$H570)/$H570*100</x:f>
        <x:v>10</x:v>
      </x:c>
      <x:c r="K570" s="14" t="n">
        <x:f>(E570-$H570)/$H570*100</x:f>
        <x:v>10</x:v>
      </x:c>
      <x:c r="L570" s="14" t="n">
        <x:f>(F570-$H570)/$H570*100</x:f>
        <x:v>10</x:v>
      </x:c>
      <x:c r="M570" s="14" t="n">
        <x:f>(G570-$H570)/$H570*100</x:f>
        <x:v>0</x:v>
      </x:c>
      <x:c r="N570" s="12" t="str">
        <x:f>IF(C570=$H570,"YES","NO")</x:f>
        <x:v>NO</x:v>
      </x:c>
      <x:c r="O570" s="12" t="str">
        <x:f>IF(D570=$H570,"YES","NO")</x:f>
        <x:v>NO</x:v>
      </x:c>
      <x:c r="P570" s="12" t="str">
        <x:f>IF(E570=$H570,"YES","NO")</x:f>
        <x:v>NO</x:v>
      </x:c>
      <x:c r="Q570" s="12" t="str">
        <x:f>IF(F570=$H570,"YES","NO")</x:f>
        <x:v>NO</x:v>
      </x:c>
      <x:c r="R570" s="12" t="str">
        <x:f>IF(G570=$H570,"YES","NO")</x:f>
        <x:v>YES</x:v>
      </x:c>
    </x:row>
    <x:row r="571">
      <x:c r="A571" s="44" t="str">
        <x:v>bpps_d200n50m5w2_60s2_40f1_seed0</x:v>
      </x:c>
      <x:c r="B571" s="12" t="n">
        <x:v>50</x:v>
      </x:c>
      <x:c r="C571" s="12" t="n">
        <x:v>199</x:v>
      </x:c>
      <x:c r="D571" s="12" t="n">
        <x:v>199</x:v>
      </x:c>
      <x:c r="E571" s="12" t="n">
        <x:v>190</x:v>
      </x:c>
      <x:c r="F571" s="12" t="n">
        <x:v>160</x:v>
      </x:c>
      <x:c r="G571" s="12" t="n">
        <x:v>137</x:v>
      </x:c>
      <x:c r="H571" s="12" t="n">
        <x:f>MIN(C571:G571)</x:f>
        <x:v>137</x:v>
      </x:c>
      <x:c r="I571" s="14" t="n">
        <x:f>(C571-$H571)/$H571*100</x:f>
        <x:v>45.25547445255474</x:v>
      </x:c>
      <x:c r="J571" s="14" t="n">
        <x:f>(D571-$H571)/$H571*100</x:f>
        <x:v>45.25547445255474</x:v>
      </x:c>
      <x:c r="K571" s="14" t="n">
        <x:f>(E571-$H571)/$H571*100</x:f>
        <x:v>38.68613138686132</x:v>
      </x:c>
      <x:c r="L571" s="14" t="n">
        <x:f>(F571-$H571)/$H571*100</x:f>
        <x:v>16.78832116788321</x:v>
      </x:c>
      <x:c r="M571" s="14" t="n">
        <x:f>(G571-$H571)/$H571*100</x:f>
        <x:v>0</x:v>
      </x:c>
      <x:c r="N571" s="12" t="str">
        <x:f>IF(C571=$H571,"YES","NO")</x:f>
        <x:v>NO</x:v>
      </x:c>
      <x:c r="O571" s="12" t="str">
        <x:f>IF(D571=$H571,"YES","NO")</x:f>
        <x:v>NO</x:v>
      </x:c>
      <x:c r="P571" s="12" t="str">
        <x:f>IF(E571=$H571,"YES","NO")</x:f>
        <x:v>NO</x:v>
      </x:c>
      <x:c r="Q571" s="12" t="str">
        <x:f>IF(F571=$H571,"YES","NO")</x:f>
        <x:v>NO</x:v>
      </x:c>
      <x:c r="R571" s="12" t="str">
        <x:f>IF(G571=$H571,"YES","NO")</x:f>
        <x:v>YES</x:v>
      </x:c>
    </x:row>
    <x:row r="572">
      <x:c r="A572" s="44" t="str">
        <x:v>bpps_d200n50m5w40_60s20_40f0_seed0</x:v>
      </x:c>
      <x:c r="B572" s="12" t="n">
        <x:v>50</x:v>
      </x:c>
      <x:c r="C572" s="12" t="n">
        <x:v>20</x:v>
      </x:c>
      <x:c r="D572" s="12" t="n">
        <x:v>20</x:v>
      </x:c>
      <x:c r="E572" s="12" t="n">
        <x:v>20</x:v>
      </x:c>
      <x:c r="F572" s="12" t="n">
        <x:v>17</x:v>
      </x:c>
      <x:c r="G572" s="12" t="n">
        <x:v>17</x:v>
      </x:c>
      <x:c r="H572" s="12" t="n">
        <x:f>MIN(C572:G572)</x:f>
        <x:v>17</x:v>
      </x:c>
      <x:c r="I572" s="14" t="n">
        <x:f>(C572-$H572)/$H572*100</x:f>
        <x:v>17.647058823529413</x:v>
      </x:c>
      <x:c r="J572" s="14" t="n">
        <x:f>(D572-$H572)/$H572*100</x:f>
        <x:v>17.647058823529413</x:v>
      </x:c>
      <x:c r="K572" s="14" t="n">
        <x:f>(E572-$H572)/$H572*100</x:f>
        <x:v>17.647058823529413</x:v>
      </x:c>
      <x:c r="L572" s="14" t="n">
        <x:f>(F572-$H572)/$H572*100</x:f>
        <x:v>0</x:v>
      </x:c>
      <x:c r="M572" s="14" t="n">
        <x:f>(G572-$H572)/$H572*100</x:f>
        <x:v>0</x:v>
      </x:c>
      <x:c r="N572" s="12" t="str">
        <x:f>IF(C572=$H572,"YES","NO")</x:f>
        <x:v>NO</x:v>
      </x:c>
      <x:c r="O572" s="12" t="str">
        <x:f>IF(D572=$H572,"YES","NO")</x:f>
        <x:v>NO</x:v>
      </x:c>
      <x:c r="P572" s="12" t="str">
        <x:f>IF(E572=$H572,"YES","NO")</x:f>
        <x:v>NO</x:v>
      </x:c>
      <x:c r="Q572" s="12" t="str">
        <x:f>IF(F572=$H572,"YES","NO")</x:f>
        <x:v>YES</x:v>
      </x:c>
      <x:c r="R572" s="12" t="str">
        <x:f>IF(G572=$H572,"YES","NO")</x:f>
        <x:v>YES</x:v>
      </x:c>
    </x:row>
    <x:row r="573">
      <x:c r="A573" s="44" t="str">
        <x:v>bpps_d200n50m5w40_60s20_40f1_seed0</x:v>
      </x:c>
      <x:c r="B573" s="12" t="n">
        <x:v>50</x:v>
      </x:c>
      <x:c r="C573" s="12" t="n">
        <x:v>332</x:v>
      </x:c>
      <x:c r="D573" s="12" t="n">
        <x:v>332</x:v>
      </x:c>
      <x:c r="E573" s="12" t="n">
        <x:v>335</x:v>
      </x:c>
      <x:c r="F573" s="12" t="n">
        <x:v>257</x:v>
      </x:c>
      <x:c r="G573" s="12" t="n">
        <x:v>245</x:v>
      </x:c>
      <x:c r="H573" s="12" t="n">
        <x:f>MIN(C573:G573)</x:f>
        <x:v>245</x:v>
      </x:c>
      <x:c r="I573" s="14" t="n">
        <x:f>(C573-$H573)/$H573*100</x:f>
        <x:v>35.51020408163265</x:v>
      </x:c>
      <x:c r="J573" s="14" t="n">
        <x:f>(D573-$H573)/$H573*100</x:f>
        <x:v>35.51020408163265</x:v>
      </x:c>
      <x:c r="K573" s="14" t="n">
        <x:f>(E573-$H573)/$H573*100</x:f>
        <x:v>36.734693877551024</x:v>
      </x:c>
      <x:c r="L573" s="14" t="n">
        <x:f>(F573-$H573)/$H573*100</x:f>
        <x:v>4.8979591836734695</x:v>
      </x:c>
      <x:c r="M573" s="14" t="n">
        <x:f>(G573-$H573)/$H573*100</x:f>
        <x:v>0</x:v>
      </x:c>
      <x:c r="N573" s="12" t="str">
        <x:f>IF(C573=$H573,"YES","NO")</x:f>
        <x:v>NO</x:v>
      </x:c>
      <x:c r="O573" s="12" t="str">
        <x:f>IF(D573=$H573,"YES","NO")</x:f>
        <x:v>NO</x:v>
      </x:c>
      <x:c r="P573" s="12" t="str">
        <x:f>IF(E573=$H573,"YES","NO")</x:f>
        <x:v>NO</x:v>
      </x:c>
      <x:c r="Q573" s="12" t="str">
        <x:f>IF(F573=$H573,"YES","NO")</x:f>
        <x:v>NO</x:v>
      </x:c>
      <x:c r="R573" s="12" t="str">
        <x:f>IF(G573=$H573,"YES","NO")</x:f>
        <x:v>YES</x:v>
      </x:c>
    </x:row>
    <x:row r="574">
      <x:c r="A574" s="44" t="str">
        <x:v>bpps_d200n50m5w40_60s2_20f0_seed0</x:v>
      </x:c>
      <x:c r="B574" s="12" t="n">
        <x:v>50</x:v>
      </x:c>
      <x:c r="C574" s="12" t="n">
        <x:v>16</x:v>
      </x:c>
      <x:c r="D574" s="12" t="n">
        <x:v>16</x:v>
      </x:c>
      <x:c r="E574" s="12" t="n">
        <x:v>16</x:v>
      </x:c>
      <x:c r="F574" s="12" t="n">
        <x:v>16</x:v>
      </x:c>
      <x:c r="G574" s="12" t="n">
        <x:v>16</x:v>
      </x:c>
      <x:c r="H574" s="12" t="n">
        <x:f>MIN(C574:G574)</x:f>
        <x:v>16</x:v>
      </x:c>
      <x:c r="I574" s="14" t="n">
        <x:f>(C574-$H574)/$H574*100</x:f>
        <x:v>0</x:v>
      </x:c>
      <x:c r="J574" s="14" t="n">
        <x:f>(D574-$H574)/$H574*100</x:f>
        <x:v>0</x:v>
      </x:c>
      <x:c r="K574" s="14" t="n">
        <x:f>(E574-$H574)/$H574*100</x:f>
        <x:v>0</x:v>
      </x:c>
      <x:c r="L574" s="14" t="n">
        <x:f>(F574-$H574)/$H574*100</x:f>
        <x:v>0</x:v>
      </x:c>
      <x:c r="M574" s="14" t="n">
        <x:f>(G574-$H574)/$H574*100</x:f>
        <x:v>0</x:v>
      </x:c>
      <x:c r="N574" s="12" t="str">
        <x:f>IF(C574=$H574,"YES","NO")</x:f>
        <x:v>YES</x:v>
      </x:c>
      <x:c r="O574" s="12" t="str">
        <x:f>IF(D574=$H574,"YES","NO")</x:f>
        <x:v>YES</x:v>
      </x:c>
      <x:c r="P574" s="12" t="str">
        <x:f>IF(E574=$H574,"YES","NO")</x:f>
        <x:v>YES</x:v>
      </x:c>
      <x:c r="Q574" s="12" t="str">
        <x:f>IF(F574=$H574,"YES","NO")</x:f>
        <x:v>YES</x:v>
      </x:c>
      <x:c r="R574" s="12" t="str">
        <x:f>IF(G574=$H574,"YES","NO")</x:f>
        <x:v>YES</x:v>
      </x:c>
    </x:row>
    <x:row r="575">
      <x:c r="A575" s="44" t="str">
        <x:v>bpps_d200n50m5w40_60s2_20f1_seed0</x:v>
      </x:c>
      <x:c r="B575" s="12" t="n">
        <x:v>50</x:v>
      </x:c>
      <x:c r="C575" s="12" t="n">
        <x:v>281</x:v>
      </x:c>
      <x:c r="D575" s="12" t="n">
        <x:v>282</x:v>
      </x:c>
      <x:c r="E575" s="12" t="n">
        <x:v>271</x:v>
      </x:c>
      <x:c r="F575" s="12" t="n">
        <x:v>226</x:v>
      </x:c>
      <x:c r="G575" s="12" t="n">
        <x:v>221</x:v>
      </x:c>
      <x:c r="H575" s="12" t="n">
        <x:f>MIN(C575:G575)</x:f>
        <x:v>221</x:v>
      </x:c>
      <x:c r="I575" s="14" t="n">
        <x:f>(C575-$H575)/$H575*100</x:f>
        <x:v>27.149321266968325</x:v>
      </x:c>
      <x:c r="J575" s="14" t="n">
        <x:f>(D575-$H575)/$H575*100</x:f>
        <x:v>27.601809954751133</x:v>
      </x:c>
      <x:c r="K575" s="14" t="n">
        <x:f>(E575-$H575)/$H575*100</x:f>
        <x:v>22.624434389140273</x:v>
      </x:c>
      <x:c r="L575" s="14" t="n">
        <x:f>(F575-$H575)/$H575*100</x:f>
        <x:v>2.262443438914027</x:v>
      </x:c>
      <x:c r="M575" s="14" t="n">
        <x:f>(G575-$H575)/$H575*100</x:f>
        <x:v>0</x:v>
      </x:c>
      <x:c r="N575" s="12" t="str">
        <x:f>IF(C575=$H575,"YES","NO")</x:f>
        <x:v>NO</x:v>
      </x:c>
      <x:c r="O575" s="12" t="str">
        <x:f>IF(D575=$H575,"YES","NO")</x:f>
        <x:v>NO</x:v>
      </x:c>
      <x:c r="P575" s="12" t="str">
        <x:f>IF(E575=$H575,"YES","NO")</x:f>
        <x:v>NO</x:v>
      </x:c>
      <x:c r="Q575" s="12" t="str">
        <x:f>IF(F575=$H575,"YES","NO")</x:f>
        <x:v>NO</x:v>
      </x:c>
      <x:c r="R575" s="12" t="str">
        <x:f>IF(G575=$H575,"YES","NO")</x:f>
        <x:v>YES</x:v>
      </x:c>
    </x:row>
    <x:row r="576">
      <x:c r="A576" s="44" t="str">
        <x:v>bpps_d200n50m5w40_60s2_40f0_seed0</x:v>
      </x:c>
      <x:c r="B576" s="12" t="n">
        <x:v>50</x:v>
      </x:c>
      <x:c r="C576" s="12" t="n">
        <x:v>18</x:v>
      </x:c>
      <x:c r="D576" s="12" t="n">
        <x:v>18</x:v>
      </x:c>
      <x:c r="E576" s="12" t="n">
        <x:v>18</x:v>
      </x:c>
      <x:c r="F576" s="12" t="n">
        <x:v>17</x:v>
      </x:c>
      <x:c r="G576" s="12" t="n">
        <x:v>17</x:v>
      </x:c>
      <x:c r="H576" s="12" t="n">
        <x:f>MIN(C576:G576)</x:f>
        <x:v>17</x:v>
      </x:c>
      <x:c r="I576" s="14" t="n">
        <x:f>(C576-$H576)/$H576*100</x:f>
        <x:v>5.88235294117647</x:v>
      </x:c>
      <x:c r="J576" s="14" t="n">
        <x:f>(D576-$H576)/$H576*100</x:f>
        <x:v>5.88235294117647</x:v>
      </x:c>
      <x:c r="K576" s="14" t="n">
        <x:f>(E576-$H576)/$H576*100</x:f>
        <x:v>5.88235294117647</x:v>
      </x:c>
      <x:c r="L576" s="14" t="n">
        <x:f>(F576-$H576)/$H576*100</x:f>
        <x:v>0</x:v>
      </x:c>
      <x:c r="M576" s="14" t="n">
        <x:f>(G576-$H576)/$H576*100</x:f>
        <x:v>0</x:v>
      </x:c>
      <x:c r="N576" s="12" t="str">
        <x:f>IF(C576=$H576,"YES","NO")</x:f>
        <x:v>NO</x:v>
      </x:c>
      <x:c r="O576" s="12" t="str">
        <x:f>IF(D576=$H576,"YES","NO")</x:f>
        <x:v>NO</x:v>
      </x:c>
      <x:c r="P576" s="12" t="str">
        <x:f>IF(E576=$H576,"YES","NO")</x:f>
        <x:v>NO</x:v>
      </x:c>
      <x:c r="Q576" s="12" t="str">
        <x:f>IF(F576=$H576,"YES","NO")</x:f>
        <x:v>YES</x:v>
      </x:c>
      <x:c r="R576" s="12" t="str">
        <x:f>IF(G576=$H576,"YES","NO")</x:f>
        <x:v>YES</x:v>
      </x:c>
    </x:row>
    <x:row r="577">
      <x:c r="A577" s="45" t="str">
        <x:v>bpps_d200n50m5w40_60s2_40f1_seed0</x:v>
      </x:c>
      <x:c r="B577" s="46" t="n">
        <x:v>50</x:v>
      </x:c>
      <x:c r="C577" s="46" t="n">
        <x:v>320</x:v>
      </x:c>
      <x:c r="D577" s="46" t="n">
        <x:v>320</x:v>
      </x:c>
      <x:c r="E577" s="46" t="n">
        <x:v>314</x:v>
      </x:c>
      <x:c r="F577" s="46" t="n">
        <x:v>242</x:v>
      </x:c>
      <x:c r="G577" s="46" t="n">
        <x:v>242</x:v>
      </x:c>
      <x:c r="H577" s="46" t="n">
        <x:f>MIN(C577:G577)</x:f>
        <x:v>242</x:v>
      </x:c>
      <x:c r="I577" s="47" t="n">
        <x:f>(C577-$H577)/$H577*100</x:f>
        <x:v>32.231404958677686</x:v>
      </x:c>
      <x:c r="J577" s="47" t="n">
        <x:f>(D577-$H577)/$H577*100</x:f>
        <x:v>32.231404958677686</x:v>
      </x:c>
      <x:c r="K577" s="47" t="n">
        <x:f>(E577-$H577)/$H577*100</x:f>
        <x:v>29.75206611570248</x:v>
      </x:c>
      <x:c r="L577" s="47" t="n">
        <x:f>(F577-$H577)/$H577*100</x:f>
        <x:v>0</x:v>
      </x:c>
      <x:c r="M577" s="47" t="n">
        <x:f>(G577-$H577)/$H577*100</x:f>
        <x:v>0</x:v>
      </x:c>
      <x:c r="N577" s="46" t="str">
        <x:f>IF(C577=$H577,"YES","NO")</x:f>
        <x:v>NO</x:v>
      </x:c>
      <x:c r="O577" s="46" t="str">
        <x:f>IF(D577=$H577,"YES","NO")</x:f>
        <x:v>NO</x:v>
      </x:c>
      <x:c r="P577" s="46" t="str">
        <x:f>IF(E577=$H577,"YES","NO")</x:f>
        <x:v>NO</x:v>
      </x:c>
      <x:c r="Q577" s="46" t="str">
        <x:f>IF(F577=$H577,"YES","NO")</x:f>
        <x:v>YES</x:v>
      </x:c>
      <x:c r="R577" s="46" t="str">
        <x:f>IF(G577=$H577,"YES","NO")</x:f>
        <x:v>YES</x:v>
      </x:c>
    </x:row>
  </x:sheetData>
  <x:conditionalFormatting sqref="N2:R577">
    <x:cfRule type="expression" dxfId="0" priority="1">
      <x:formula>N2="YES"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9189eaed4f45f4"/>
  </x:tableParts>
</x:worksheet>
</file>