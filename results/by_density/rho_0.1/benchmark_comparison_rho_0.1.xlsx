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efa9df05734b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cdbf1840495456b"/>
    <x:sheet xmlns:r="http://schemas.openxmlformats.org/officeDocument/2006/relationships" name="Comparison_All" sheetId="2" r:id="Ra3f4f057f3b34d63"/>
    <x:sheet xmlns:r="http://schemas.openxmlformats.org/officeDocument/2006/relationships" name="By_n_items" sheetId="3" r:id="R864e43fb7abb4f81"/>
    <x:sheet xmlns:r="http://schemas.openxmlformats.org/officeDocument/2006/relationships" name="Best_Method_Combinations" sheetId="4" r:id="R0180ca07305446e6"/>
    <x:sheet xmlns:r="http://schemas.openxmlformats.org/officeDocument/2006/relationships" name="Unmatched_Check" sheetId="5" r:id="R93d9475ab21e445e"/>
    <x:sheet xmlns:r="http://schemas.openxmlformats.org/officeDocument/2006/relationships" name="Calculation_Method" sheetId="6" r:id="Rb2d8530fa46345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0.00%"/>
    <x:numFmt numFmtId="202" formatCode="0"/>
  </x:numFmts>
  <x:fonts count="7">
    <x:font>
      <x:sz val="11"/>
      <x:name val="Carlito"/>
    </x:font>
    <x:font>
      <x:b/>
      <x:sz val="11"/>
      <x:color rgb="FFFFFF"/>
      <x:name val="Carlito"/>
    </x:font>
    <x:font>
      <x:b/>
      <x:sz val="14"/>
      <x:color rgb="FFFFFF"/>
      <x:name val="Carlito"/>
    </x:font>
    <x:font>
      <x:b/>
      <x:sz val="11"/>
      <x:color rgb="134E4A"/>
      <x:name val="Carlito"/>
    </x:font>
    <x:font>
      <x:b/>
      <x:sz val="11"/>
      <x:color rgb="0C4A6E"/>
      <x:name val="Carlito"/>
    </x:font>
    <x:font>
      <x:b/>
      <x:sz val="11"/>
      <x:color rgb="FFFFFF"/>
      <x:name val="Calibri"/>
    </x:font>
    <x:font>
      <x:sz val="11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134E4A"/>
      </x:patternFill>
    </x:fill>
    <x:fill>
      <x:patternFill patternType="solid">
        <x:fgColor rgb="0F766E"/>
      </x:patternFill>
    </x:fill>
    <x:fill>
      <x:patternFill patternType="solid">
        <x:fgColor rgb="CCFBF1"/>
      </x:patternFill>
    </x:fill>
    <x:fill>
      <x:patternFill patternType="solid">
        <x:fgColor rgb="E0F2FE"/>
      </x:patternFill>
    </x:fill>
  </x:fills>
  <x:borders count="2">
    <x:border/>
    <x:border/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1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/>
    <x:xf numFmtId="0" fontId="5" fillId="3" borderId="1" xfId="0" applyNumberFormat="1" applyFont="1" applyFill="1" applyBorder="1" applyAlignment="1">
      <x:alignment horizontal="center" vertical="center"/>
    </x:xf>
    <x:xf numFmtId="0" fontId="6" fillId="0" borderId="1" xfId="0" applyNumberFormat="1" applyFont="1" applyFill="1" applyBorder="1"/>
    <x:xf numFmtId="0" fontId="5" fillId="2" borderId="0" xfId="0" applyNumberFormat="1" applyFont="1" applyFill="1" applyBorder="1" applyAlignment="1">
      <x:alignment horizontal="center" vertical="center" wrapText="1"/>
    </x:xf>
    <x:xf numFmtId="0" fontId="5" fillId="2" borderId="1" xfId="0" applyNumberFormat="1" applyFont="1" applyFill="1" applyBorder="1" applyAlignment="1">
      <x:alignment horizontal="center" vertical="center" wrapText="1"/>
    </x:xf>
    <x:xf numFmtId="0" fontId="5" fillId="2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">
    <x:dxf>
      <x:font>
        <x:b/>
        <x:color rgb="166534"/>
      </x:font>
      <x:fill>
        <x:patternFill patternType="solid">
          <x:bgColor rgb="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a6c5d77a1746f5" /><Relationship Type="http://schemas.openxmlformats.org/officeDocument/2006/relationships/theme" Target="/xl/theme/theme1.xml" Id="R32c8ba7207dc45b8" /><Relationship Type="http://schemas.openxmlformats.org/officeDocument/2006/relationships/sharedStrings" Target="/xl/sharedStrings.xml" Id="R6510532de89e4f2e" /><Relationship Type="http://schemas.openxmlformats.org/officeDocument/2006/relationships/worksheet" Target="/xl/worksheets/sheet1.xml" Id="R6cdbf1840495456b" /><Relationship Type="http://schemas.openxmlformats.org/officeDocument/2006/relationships/worksheet" Target="/xl/worksheets/sheet2.xml" Id="Ra3f4f057f3b34d63" /><Relationship Type="http://schemas.openxmlformats.org/officeDocument/2006/relationships/worksheet" Target="/xl/worksheets/sheet3.xml" Id="R864e43fb7abb4f81" /><Relationship Type="http://schemas.openxmlformats.org/officeDocument/2006/relationships/worksheet" Target="/xl/worksheets/sheet4.xml" Id="R0180ca07305446e6" /><Relationship Type="http://schemas.openxmlformats.org/officeDocument/2006/relationships/worksheet" Target="/xl/worksheets/sheet5.xml" Id="R93d9475ab21e445e" /><Relationship Type="http://schemas.openxmlformats.org/officeDocument/2006/relationships/worksheet" Target="/xl/worksheets/sheet6.xml" Id="Rb2d8530fa46345a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cb3931cac2348c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Best Count Including Ties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Best Count incl. Ties</c:v>
          </c:tx>
          <c:cat>
            <c:strRef>
              <c:f>'Summary'!$A$12:$A$16</c:f>
              <c:strCache>
                <c:ptCount val="0"/>
              </c:strCache>
            </c:strRef>
          </c:cat>
          <c:val>
            <c:numRef>
              <c:f>'Summary'!$B$12:$B$16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2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b3931cac2348c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omparisonTable" displayName="ComparisonTable" ref="A1:V481" headerRowCount="1">
  <x:tableColumns count="22">
    <x:tableColumn id="1" name="Instance"/>
    <x:tableColumn id="2" name="n_items"/>
    <x:tableColumn id="3" name="n_classes"/>
    <x:tableColumn id="4" name="Capacity"/>
    <x:tableColumn id="5" name="Conflict Edges"/>
    <x:tableColumn id="6" name="IG Best Result"/>
    <x:tableColumn id="7" name="FFD Final Cost"/>
    <x:tableColumn id="8" name="BFD Final Cost"/>
    <x:tableColumn id="9" name="WFD Final Cost"/>
    <x:tableColumn id="10" name="CTP Best Objective"/>
    <x:tableColumn id="11" name="Best Result"/>
    <x:tableColumn id="12" name="Best Method(s)"/>
    <x:tableColumn id="13" name="IG Gap %"/>
    <x:tableColumn id="14" name="FFD Gap %"/>
    <x:tableColumn id="15" name="BFD Gap %"/>
    <x:tableColumn id="16" name="WFD Gap %"/>
    <x:tableColumn id="17" name="CTP Gap %"/>
    <x:tableColumn id="18" name="IG Best Flag"/>
    <x:tableColumn id="19" name="FFD Best Flag"/>
    <x:tableColumn id="20" name="BFD Best Flag"/>
    <x:tableColumn id="21" name="WFD Best Flag"/>
    <x:tableColumn id="22" name="CTP Best Flag"/>
  </x:tableColumns>
  <x:tableStyleInfo name="TableStyleMedium2" showRowStripes="1"/>
</x:table>
</file>

<file path=xl/tables/table2.xml><?xml version="1.0" encoding="utf-8"?>
<x:table xmlns:x="http://schemas.openxmlformats.org/spreadsheetml/2006/main" id="2" name="ByNTable" displayName="ByNTable" ref="A1:Q6" headerRowCount="1">
  <x:tableColumns count="17">
    <x:tableColumn id="1" name="n_items"/>
    <x:tableColumn id="2" name="Instances"/>
    <x:tableColumn id="3" name="IG Best Count incl. Ties"/>
    <x:tableColumn id="4" name="IG Avg Gap to Best"/>
    <x:tableColumn id="5" name="IG Avg Cost"/>
    <x:tableColumn id="6" name="FFD Best Count incl. Ties"/>
    <x:tableColumn id="7" name="FFD Avg Gap to Best"/>
    <x:tableColumn id="8" name="FFD Avg Cost"/>
    <x:tableColumn id="9" name="BFD Best Count incl. Ties"/>
    <x:tableColumn id="10" name="BFD Avg Gap to Best"/>
    <x:tableColumn id="11" name="BFD Avg Cost"/>
    <x:tableColumn id="12" name="WFD Best Count incl. Ties"/>
    <x:tableColumn id="13" name="WFD Avg Gap to Best"/>
    <x:tableColumn id="14" name="WFD Avg Cost"/>
    <x:tableColumn id="15" name="CTP Best Count incl. Ties"/>
    <x:tableColumn id="16" name="CTP Avg Gap to Best"/>
    <x:tableColumn id="17" name="CTP Avg Cost"/>
  </x:tableColumns>
  <x:tableStyleInfo name="TableStyleMedium2" showRowStripes="1"/>
</x:table>
</file>

<file path=xl/tables/table3.xml><?xml version="1.0" encoding="utf-8"?>
<x:table xmlns:x="http://schemas.openxmlformats.org/spreadsheetml/2006/main" id="3" name="BestComboTable" displayName="BestComboTable" ref="A1:B13" headerRowCount="1">
  <x:tableColumns count="2">
    <x:tableColumn id="1" name="Best Method Combination"/>
    <x:tableColumn id="2" name="Instance Count"/>
  </x:tableColumns>
  <x:tableStyleInfo name="TableStyleMedium2" showRowStripes="1"/>
</x:table>
</file>

<file path=xl/tables/table4.xml><?xml version="1.0" encoding="utf-8"?>
<x:table xmlns:x="http://schemas.openxmlformats.org/spreadsheetml/2006/main" id="4" name="UnmatchedTable" displayName="UnmatchedTable" ref="A1:E6" headerRowCount="1">
  <x:tableColumns count="5">
    <x:tableColumn id="1" name="Method"/>
    <x:tableColumn id="2" name="Records"/>
    <x:tableColumn id="3" name="Matched in all methods"/>
    <x:tableColumn id="4" name="Missing instances"/>
    <x:tableColumn id="5" name="Duplicate normalized nam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be457c513084d8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2e74bb4e98f4e6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8ae14c88fe9498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94d13fa614045d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b3b88400df547f1" /></Relationships>
</file>

<file path=xl/worksheets/sheet1.xml><?xml version="1.0" encoding="utf-8"?>
<x:worksheet xmlns:x="http://schemas.openxmlformats.org/spreadsheetml/2006/main">
  <x:sheetFormatPr defaultRowHeight="15"/>
  <x:cols>
    <x:col min="2" max="2" width="36" hidden="0" customWidth="1"/>
    <x:col min="1" max="1" width="24" hidden="0" customWidth="1"/>
    <x:col min="3" max="3" width="20" hidden="0" customWidth="1"/>
    <x:col min="4" max="4" width="20" hidden="0" customWidth="1"/>
  </x:cols>
  <x:sheetData>
    <x:row r="1" ht="18" customHeight="1">
      <x:c r="A1" s="56" t="str">
        <x:v>Final Comparison: IG vs FFD vs BFD vs WFD vs CTP</x:v>
      </x:c>
      <x:c r="B1" s="56"/>
      <x:c r="C1" s="56"/>
      <x:c r="D1" s="56"/>
      <x:c r="E1" s="56"/>
      <x:c r="F1" s="56"/>
      <x:c r="G1" s="56"/>
      <x:c r="H1" s="56"/>
      <x:c r="I1" s="57"/>
      <x:c r="J1" s="57"/>
      <x:c r="K1" s="57"/>
      <x:c r="L1" s="57"/>
      <x:c r="M1" s="57"/>
      <x:c r="N1" s="57"/>
      <x:c r="O1" s="57"/>
      <x:c r="P1" s="57"/>
      <x:c r="Q1" s="57"/>
      <x:c r="R1" s="57"/>
      <x:c r="S1" s="57"/>
      <x:c r="T1" s="57"/>
      <x:c r="U1" s="57"/>
      <x:c r="V1" s="57"/>
      <x:c r="W1" s="57"/>
      <x:c r="X1" s="57"/>
      <x:c r="Y1" s="57"/>
      <x:c r="Z1" s="57"/>
    </x:row>
    <x:row r="2" ht="18" customHeight="1"/>
    <x:row r="3" ht="18" customHeight="1">
      <x:c r="A3" s="29" t="str">
        <x:v>Total matched instances</x:v>
      </x:c>
      <x:c r="B3" s="34" t="n">
        <x:f>COUNTA(Comparison_All!A2:A481)</x:f>
        <x:v>480</x:v>
      </x:c>
    </x:row>
    <x:row r="4" ht="18" customHeight="1">
      <x:c r="A4" s="29" t="str">
        <x:v>Unmatched instances</x:v>
      </x:c>
      <x:c r="B4" s="34" t="n">
        <x:f>0</x:f>
        <x:v>0</x:v>
      </x:c>
    </x:row>
    <x:row r="5" ht="18" customHeight="1">
      <x:c r="A5" s="29" t="str">
        <x:v>Cost direction</x:v>
      </x:c>
      <x:c r="B5" s="34" t="str">
        <x:v>Lower is better</x:v>
      </x:c>
    </x:row>
    <x:row r="6" ht="18" customHeight="1">
      <x:c r="A6" s="29" t="str">
        <x:v>Best result per instance</x:v>
      </x:c>
      <x:c r="B6" s="34" t="str">
        <x:v>Minimum across the five method costs</x:v>
      </x:c>
    </x:row>
    <x:row r="7" ht="18" customHeight="1">
      <x:c r="A7" s="29" t="str">
        <x:v>Tie rule</x:v>
      </x:c>
      <x:c r="B7" s="34" t="str">
        <x:v>If two or more methods equal the best result, each method receives a best-count credit</x:v>
      </x:c>
    </x:row>
    <x:row r="8" ht="18" customHeight="1">
      <x:c r="A8" s="29" t="str">
        <x:v>Gap formula</x:v>
      </x:c>
      <x:c r="B8" s="34" t="str">
        <x:v>(Method Cost - Best Result) / Best Result</x:v>
      </x:c>
    </x:row>
    <x:row r="9" ht="18" customHeight="1"/>
    <x:row r="10" ht="18" customHeight="1"/>
    <x:row r="11" ht="18" customHeight="1">
      <x:c r="A11" s="6" t="str">
        <x:v>Method</x:v>
      </x:c>
      <x:c r="B11" s="6" t="str">
        <x:v>Best Count incl. Ties</x:v>
      </x:c>
      <x:c r="C11" s="6" t="str">
        <x:v>Strictly Best Count</x:v>
      </x:c>
      <x:c r="D11" s="6" t="str">
        <x:v>Best Share incl. Ties</x:v>
      </x:c>
      <x:c r="E11" s="6" t="str">
        <x:v>Average Gap to Best</x:v>
      </x:c>
      <x:c r="F11" s="6" t="str">
        <x:v>Average Cost</x:v>
      </x:c>
      <x:c r="G11" s="6" t="str">
        <x:v>Maximum Gap to Best</x:v>
      </x:c>
    </x:row>
    <x:row r="12" ht="18" customHeight="1">
      <x:c r="A12" s="36" t="str">
        <x:v>IG</x:v>
      </x:c>
      <x:c r="B12" s="36" t="n">
        <x:f>SUM(Comparison_All!$R$2:$R$481)</x:f>
        <x:v>475</x:v>
      </x:c>
      <x:c r="C12" s="36" t="n">
        <x:f>COUNTIF(Comparison_All!$L$2:$L$481,A12)</x:f>
        <x:v>340</x:v>
      </x:c>
      <x:c r="D12" s="37" t="n">
        <x:f>B12/$B$3</x:f>
        <x:v>0.9895833333333334</x:v>
      </x:c>
      <x:c r="E12" s="37" t="n">
        <x:f>AVERAGE(Comparison_All!$M$2:$M$481)</x:f>
        <x:v>0.0005018426378064954</x:v>
      </x:c>
      <x:c r="F12" s="38" t="n">
        <x:f>AVERAGE(Comparison_All!$F$2:$F$481)</x:f>
        <x:v>134.36666666666667</x:v>
      </x:c>
      <x:c r="G12" s="37" t="n">
        <x:f>MAX(Comparison_All!$M$2:$M$481)</x:f>
        <x:v>0.1111111111111111</x:v>
      </x:c>
    </x:row>
    <x:row r="13" ht="18" customHeight="1">
      <x:c r="A13" s="36" t="str">
        <x:v>FFD</x:v>
      </x:c>
      <x:c r="B13" s="36" t="n">
        <x:f>SUM(Comparison_All!$S$2:$S$481)</x:f>
        <x:v>42</x:v>
      </x:c>
      <x:c r="C13" s="36" t="n">
        <x:f>COUNTIF(Comparison_All!$L$2:$L$481,A13)</x:f>
        <x:v>0</x:v>
      </x:c>
      <x:c r="D13" s="37" t="n">
        <x:f>B13/$B$3</x:f>
        <x:v>0.0875</x:v>
      </x:c>
      <x:c r="E13" s="37" t="n">
        <x:f>AVERAGE(Comparison_All!$N$2:$N$481)</x:f>
        <x:v>0.34039022167925304</x:v>
      </x:c>
      <x:c r="F13" s="38" t="n">
        <x:f>AVERAGE(Comparison_All!$G$2:$G$481)</x:f>
        <x:v>205.24166666666667</x:v>
      </x:c>
      <x:c r="G13" s="37" t="n">
        <x:f>MAX(Comparison_All!$N$2:$N$481)</x:f>
        <x:v>1.1938461538461538</x:v>
      </x:c>
    </x:row>
    <x:row r="14" ht="18" customHeight="1">
      <x:c r="A14" s="36" t="str">
        <x:v>BFD</x:v>
      </x:c>
      <x:c r="B14" s="36" t="n">
        <x:f>SUM(Comparison_All!$T$2:$T$481)</x:f>
        <x:v>46</x:v>
      </x:c>
      <x:c r="C14" s="36" t="n">
        <x:f>COUNTIF(Comparison_All!$L$2:$L$481,A14)</x:f>
        <x:v>0</x:v>
      </x:c>
      <x:c r="D14" s="37" t="n">
        <x:f>B14/$B$3</x:f>
        <x:v>0.09583333333333334</x:v>
      </x:c>
      <x:c r="E14" s="37" t="n">
        <x:f>AVERAGE(Comparison_All!$O$2:$O$481)</x:f>
        <x:v>0.34699129440571286</x:v>
      </x:c>
      <x:c r="F14" s="38" t="n">
        <x:f>AVERAGE(Comparison_All!$H$2:$H$481)</x:f>
        <x:v>206.79791666666668</x:v>
      </x:c>
      <x:c r="G14" s="37" t="n">
        <x:f>MAX(Comparison_All!$O$2:$O$481)</x:f>
        <x:v>1.2587209302325582</x:v>
      </x:c>
    </x:row>
    <x:row r="15" ht="18" customHeight="1">
      <x:c r="A15" s="36" t="str">
        <x:v>WFD</x:v>
      </x:c>
      <x:c r="B15" s="36" t="n">
        <x:f>SUM(Comparison_All!$U$2:$U$481)</x:f>
        <x:v>36</x:v>
      </x:c>
      <x:c r="C15" s="36" t="n">
        <x:f>COUNTIF(Comparison_All!$L$2:$L$481,A15)</x:f>
        <x:v>0</x:v>
      </x:c>
      <x:c r="D15" s="37" t="n">
        <x:f>B15/$B$3</x:f>
        <x:v>0.075</x:v>
      </x:c>
      <x:c r="E15" s="37" t="n">
        <x:f>AVERAGE(Comparison_All!$P$2:$P$481)</x:f>
        <x:v>0.3450092275708458</x:v>
      </x:c>
      <x:c r="F15" s="38" t="n">
        <x:f>AVERAGE(Comparison_All!$I$2:$I$481)</x:f>
        <x:v>206.35208333333333</x:v>
      </x:c>
      <x:c r="G15" s="37" t="n">
        <x:f>MAX(Comparison_All!$P$2:$P$481)</x:f>
        <x:v>1.1786833855799372</x:v>
      </x:c>
    </x:row>
    <x:row r="16" ht="18" customHeight="1">
      <x:c r="A16" s="36" t="str">
        <x:v>CTP</x:v>
      </x:c>
      <x:c r="B16" s="36" t="n">
        <x:f>SUM(Comparison_All!$V$2:$V$481)</x:f>
        <x:v>119</x:v>
      </x:c>
      <x:c r="C16" s="36" t="n">
        <x:f>COUNTIF(Comparison_All!$L$2:$L$481,A16)</x:f>
        <x:v>5</x:v>
      </x:c>
      <x:c r="D16" s="37" t="n">
        <x:f>B16/$B$3</x:f>
        <x:v>0.24791666666666667</x:v>
      </x:c>
      <x:c r="E16" s="37" t="n">
        <x:f>AVERAGE(Comparison_All!$Q$2:$Q$481)</x:f>
        <x:v>0.07817144612275201</x:v>
      </x:c>
      <x:c r="F16" s="38" t="n">
        <x:f>AVERAGE(Comparison_All!$J$2:$J$481)</x:f>
        <x:v>145.1625</x:v>
      </x:c>
      <x:c r="G16" s="37" t="n">
        <x:f>MAX(Comparison_All!$Q$2:$Q$481)</x:f>
        <x:v>0.6666666666666666</x:v>
      </x:c>
    </x:row>
    <x:row r="17" ht="18" customHeight="1"/>
    <x:row r="18" ht="18" customHeight="1"/>
    <x:row r="19" ht="18" customHeight="1"/>
    <x:row r="20" ht="18" customHeight="1">
      <x:c r="A20" s="46" t="str">
        <x:v>Method</x:v>
      </x:c>
      <x:c r="B20" s="46" t="str">
        <x:v>Best Count incl. Ties</x:v>
      </x:c>
      <x:c r="C20" s="46" t="str">
        <x:v>Strictly Best Count</x:v>
      </x:c>
      <x:c r="D20" s="46" t="str">
        <x:v>Best Share incl. Ties (%)</x:v>
      </x:c>
      <x:c r="E20" s="46" t="str">
        <x:v>Average Gap to Best (%)</x:v>
      </x:c>
      <x:c r="F20" s="46" t="str">
        <x:v>Average Cost</x:v>
      </x:c>
      <x:c r="G20" s="46" t="str">
        <x:v>Maximum Gap to Best (%)</x:v>
      </x:c>
    </x:row>
    <x:row r="21" ht="18" customHeight="1">
      <x:c r="A21" t="str">
        <x:v>IG</x:v>
      </x:c>
      <x:c r="B21" t="n">
        <x:v>475</x:v>
      </x:c>
      <x:c r="C21" t="n">
        <x:v>340</x:v>
      </x:c>
      <x:c r="D21" s="12" t="n">
        <x:v>98.95833333333334</x:v>
      </x:c>
      <x:c r="E21" s="12" t="n">
        <x:v>0.050184263780649545</x:v>
      </x:c>
      <x:c r="F21" s="12" t="n">
        <x:v>134.36666666666667</x:v>
      </x:c>
      <x:c r="G21" s="12" t="n">
        <x:v>11.11111111111111</x:v>
      </x:c>
    </x:row>
    <x:row r="22" ht="18" customHeight="1">
      <x:c r="A22" t="str">
        <x:v>FFD</x:v>
      </x:c>
      <x:c r="B22" t="n">
        <x:v>42</x:v>
      </x:c>
      <x:c r="C22" t="n">
        <x:v>0</x:v>
      </x:c>
      <x:c r="D22" s="12" t="n">
        <x:v>8.75</x:v>
      </x:c>
      <x:c r="E22" s="12" t="n">
        <x:v>34.0390221679253</x:v>
      </x:c>
      <x:c r="F22" s="12" t="n">
        <x:v>205.24166666666667</x:v>
      </x:c>
      <x:c r="G22" s="12" t="n">
        <x:v>119.38461538461537</x:v>
      </x:c>
    </x:row>
    <x:row r="23" ht="18" customHeight="1">
      <x:c r="A23" t="str">
        <x:v>BFD</x:v>
      </x:c>
      <x:c r="B23" t="n">
        <x:v>46</x:v>
      </x:c>
      <x:c r="C23" t="n">
        <x:v>0</x:v>
      </x:c>
      <x:c r="D23" s="12" t="n">
        <x:v>9.583333333333334</x:v>
      </x:c>
      <x:c r="E23" s="12" t="n">
        <x:v>34.69912944057128</x:v>
      </x:c>
      <x:c r="F23" s="12" t="n">
        <x:v>206.79791666666668</x:v>
      </x:c>
      <x:c r="G23" s="12" t="n">
        <x:v>125.87209302325581</x:v>
      </x:c>
    </x:row>
    <x:row r="24" ht="18" customHeight="1">
      <x:c r="A24" t="str">
        <x:v>WFD</x:v>
      </x:c>
      <x:c r="B24" t="n">
        <x:v>36</x:v>
      </x:c>
      <x:c r="C24" t="n">
        <x:v>0</x:v>
      </x:c>
      <x:c r="D24" s="12" t="n">
        <x:v>7.5</x:v>
      </x:c>
      <x:c r="E24" s="12" t="n">
        <x:v>34.500922757084545</x:v>
      </x:c>
      <x:c r="F24" s="12" t="n">
        <x:v>206.35208333333333</x:v>
      </x:c>
      <x:c r="G24" s="12" t="n">
        <x:v>117.86833855799372</x:v>
      </x:c>
    </x:row>
    <x:row r="25" ht="18" customHeight="1">
      <x:c r="A25" t="str">
        <x:v>CTP</x:v>
      </x:c>
      <x:c r="B25" t="n">
        <x:v>119</x:v>
      </x:c>
      <x:c r="C25" t="n">
        <x:v>5</x:v>
      </x:c>
      <x:c r="D25" s="12" t="n">
        <x:v>24.791666666666668</x:v>
      </x:c>
      <x:c r="E25" s="12" t="n">
        <x:v>7.817144612275195</x:v>
      </x:c>
      <x:c r="F25" s="12" t="n">
        <x:v>145.1625</x:v>
      </x:c>
      <x:c r="G25" s="12" t="n">
        <x:v>66.66666666666666</x:v>
      </x:c>
    </x:row>
    <x:row r="26" ht="18" customHeight="1"/>
    <x:row r="27" ht="18" customHeight="1"/>
    <x:row r="28" ht="18" customHeight="1">
      <x:c r="A28" s="6" t="str">
        <x:v>Method</x:v>
      </x:c>
      <x:c r="B28" s="6" t="str">
        <x:v>Workbook used</x:v>
      </x:c>
      <x:c r="C28" s="6" t="str">
        <x:v>Sheet</x:v>
      </x:c>
      <x:c r="D28" s="6" t="str">
        <x:v>Column used for cost</x:v>
      </x:c>
    </x:row>
    <x:row r="29" ht="18" customHeight="1">
      <x:c r="A29" t="str">
        <x:v>IG</x:v>
      </x:c>
      <x:c r="B29" t="str">
        <x:v>summary_results_all_IG(1).xlsx</x:v>
      </x:c>
      <x:c r="C29" t="str">
        <x:v>Results</x:v>
      </x:c>
      <x:c r="D29" t="str">
        <x:v>IG Best Result</x:v>
      </x:c>
    </x:row>
    <x:row r="30" ht="18" customHeight="1">
      <x:c r="A30" t="str">
        <x:v>FFD</x:v>
      </x:c>
      <x:c r="B30" t="str">
        <x:v>Surrogate_FFD_all_results(1).xlsx</x:v>
      </x:c>
      <x:c r="C30" t="str">
        <x:v>Summary</x:v>
      </x:c>
      <x:c r="D30" t="str">
        <x:v>Final Cost</x:v>
      </x:c>
    </x:row>
    <x:row r="31" ht="18" customHeight="1">
      <x:c r="A31" t="str">
        <x:v>BFD</x:v>
      </x:c>
      <x:c r="B31" t="str">
        <x:v>Surrogate_BFD_all_results.xlsx</x:v>
      </x:c>
      <x:c r="C31" t="str">
        <x:v>Summary</x:v>
      </x:c>
      <x:c r="D31" t="str">
        <x:v>Final Cost</x:v>
      </x:c>
    </x:row>
    <x:row r="32" ht="18" customHeight="1">
      <x:c r="A32" t="str">
        <x:v>WFD</x:v>
      </x:c>
      <x:c r="B32" t="str">
        <x:v>Surrogate_WFD_all_results.xlsx</x:v>
      </x:c>
      <x:c r="C32" t="str">
        <x:v>Summary</x:v>
      </x:c>
      <x:c r="D32" t="str">
        <x:v>Final Cost</x:v>
      </x:c>
    </x:row>
    <x:row r="33" ht="18" customHeight="1">
      <x:c r="A33" t="str">
        <x:v>CTP</x:v>
      </x:c>
      <x:c r="B33" t="str">
        <x:v>BPPSC_CTP_FFD_BFD_Summary.xlsx</x:v>
      </x:c>
      <x:c r="C33" t="str">
        <x:v>Summary</x:v>
      </x:c>
      <x:c r="D33" t="str">
        <x:v>Best_objective</x:v>
      </x:c>
    </x:row>
    <x:row r="34" ht="18" customHeight="1"/>
    <x:row r="35" ht="18" customHeight="1"/>
    <x:row r="36" ht="18" customHeight="1"/>
    <x:row r="37" ht="18" customHeight="1"/>
    <x:row r="38" ht="18" customHeight="1"/>
    <x:row r="39" ht="18" customHeight="1"/>
    <x:row r="40" ht="18" customHeight="1"/>
    <x:row r="41" ht="18" customHeight="1"/>
    <x:row r="42" ht="18" customHeight="1"/>
    <x:row r="43" ht="18" customHeight="1"/>
    <x:row r="44" ht="18" customHeight="1"/>
    <x:row r="45" ht="18" customHeight="1"/>
    <x:row r="46" ht="18" customHeight="1"/>
    <x:row r="47" ht="18" customHeight="1"/>
    <x:row r="48" ht="18" customHeight="1"/>
    <x:row r="49" ht="18" customHeight="1"/>
    <x:row r="50" ht="18" customHeight="1"/>
    <x:row r="51" ht="18" customHeight="1"/>
    <x:row r="52" ht="18" customHeight="1"/>
    <x:row r="53" ht="18" customHeight="1"/>
    <x:row r="54" ht="18" customHeight="1"/>
    <x:row r="55" ht="18" customHeight="1"/>
    <x:row r="56" ht="18" customHeight="1"/>
    <x:row r="57" ht="18" customHeight="1"/>
    <x:row r="58" ht="18" customHeight="1"/>
    <x:row r="59" ht="18" customHeight="1"/>
    <x:row r="60" ht="18" customHeight="1"/>
    <x:row r="61" ht="18" customHeight="1"/>
    <x:row r="62" ht="18" customHeight="1"/>
    <x:row r="63" ht="18" customHeight="1"/>
    <x:row r="64" ht="18" customHeight="1"/>
    <x:row r="65" ht="18" customHeight="1"/>
    <x:row r="66" ht="18" customHeight="1"/>
    <x:row r="67" ht="18" customHeight="1"/>
    <x:row r="68" ht="18" customHeight="1"/>
    <x:row r="69" ht="18" customHeight="1"/>
    <x:row r="70" ht="18" customHeight="1"/>
    <x:row r="71" ht="18" customHeight="1"/>
    <x:row r="72" ht="18" customHeight="1"/>
    <x:row r="73" ht="18" customHeight="1"/>
    <x:row r="74" ht="18" customHeight="1"/>
    <x:row r="75" ht="18" customHeight="1"/>
    <x:row r="76" ht="18" customHeight="1"/>
    <x:row r="77" ht="18" customHeight="1"/>
    <x:row r="78" ht="18" customHeight="1"/>
    <x:row r="79" ht="18" customHeight="1"/>
    <x:row r="80" ht="18" customHeight="1"/>
    <x:row r="81" ht="18" customHeight="1"/>
    <x:row r="82" ht="18" customHeight="1"/>
    <x:row r="83" ht="18" customHeight="1"/>
    <x:row r="84" ht="18" customHeight="1"/>
    <x:row r="85" ht="18" customHeight="1"/>
    <x:row r="86" ht="18" customHeight="1"/>
    <x:row r="87" ht="18" customHeight="1"/>
    <x:row r="88" ht="18" customHeight="1"/>
    <x:row r="89" ht="18" customHeight="1"/>
    <x:row r="90" ht="18" customHeight="1"/>
    <x:row r="91" ht="18" customHeight="1"/>
    <x:row r="92" ht="18" customHeight="1"/>
    <x:row r="93" ht="18" customHeight="1"/>
    <x:row r="94" ht="18" customHeight="1"/>
    <x:row r="95" ht="18" customHeight="1"/>
    <x:row r="96" ht="18" customHeight="1"/>
    <x:row r="97" ht="18" customHeight="1"/>
    <x:row r="98" ht="18" customHeight="1"/>
    <x:row r="99" ht="18" customHeight="1"/>
    <x:row r="100" ht="18" customHeight="1"/>
    <x:row r="101" ht="18" customHeight="1"/>
    <x:row r="102" ht="18" customHeight="1"/>
    <x:row r="103" ht="18" customHeight="1"/>
    <x:row r="104" ht="18" customHeight="1"/>
    <x:row r="105" ht="18" customHeight="1"/>
    <x:row r="106" ht="18" customHeight="1"/>
    <x:row r="107" ht="18" customHeight="1"/>
    <x:row r="108" ht="18" customHeight="1"/>
    <x:row r="109" ht="18" customHeight="1"/>
    <x:row r="110" ht="18" customHeight="1"/>
    <x:row r="111" ht="18" customHeight="1"/>
    <x:row r="112" ht="18" customHeight="1"/>
    <x:row r="113" ht="18" customHeight="1"/>
    <x:row r="114" ht="18" customHeight="1"/>
    <x:row r="115" ht="18" customHeight="1"/>
    <x:row r="116" ht="18" customHeight="1"/>
    <x:row r="117" ht="18" customHeight="1"/>
    <x:row r="118" ht="18" customHeight="1"/>
    <x:row r="119" ht="18" customHeight="1"/>
    <x:row r="120" ht="18" customHeight="1"/>
    <x:row r="121" ht="18" customHeight="1"/>
    <x:row r="122" ht="18" customHeight="1"/>
    <x:row r="123" ht="18" customHeight="1"/>
    <x:row r="124" ht="18" customHeight="1"/>
    <x:row r="125" ht="18" customHeight="1"/>
    <x:row r="126" ht="18" customHeight="1"/>
    <x:row r="127" ht="18" customHeight="1"/>
    <x:row r="128" ht="18" customHeight="1"/>
    <x:row r="129" ht="18" customHeight="1"/>
    <x:row r="130" ht="18" customHeight="1"/>
    <x:row r="131" ht="18" customHeight="1"/>
    <x:row r="132" ht="18" customHeight="1"/>
    <x:row r="133" ht="18" customHeight="1"/>
    <x:row r="134" ht="18" customHeight="1"/>
    <x:row r="135" ht="18" customHeight="1"/>
    <x:row r="136" ht="18" customHeight="1"/>
    <x:row r="137" ht="18" customHeight="1"/>
    <x:row r="138" ht="18" customHeight="1"/>
    <x:row r="139" ht="18" customHeight="1"/>
    <x:row r="140" ht="18" customHeight="1"/>
    <x:row r="141" ht="18" customHeight="1"/>
    <x:row r="142" ht="18" customHeight="1"/>
    <x:row r="143" ht="18" customHeight="1"/>
    <x:row r="144" ht="18" customHeight="1"/>
    <x:row r="145" ht="18" customHeight="1"/>
    <x:row r="146" ht="18" customHeight="1"/>
    <x:row r="147" ht="18" customHeight="1"/>
    <x:row r="148" ht="18" customHeight="1"/>
    <x:row r="149" ht="18" customHeight="1"/>
    <x:row r="150" ht="18" customHeight="1"/>
    <x:row r="151" ht="18" customHeight="1"/>
    <x:row r="152" ht="18" customHeight="1"/>
    <x:row r="153" ht="18" customHeight="1"/>
    <x:row r="154" ht="18" customHeight="1"/>
    <x:row r="155" ht="18" customHeight="1"/>
    <x:row r="156" ht="18" customHeight="1"/>
    <x:row r="157" ht="18" customHeight="1"/>
    <x:row r="158" ht="18" customHeight="1"/>
    <x:row r="159" ht="18" customHeight="1"/>
    <x:row r="160" ht="18" customHeight="1"/>
    <x:row r="161" ht="18" customHeight="1"/>
    <x:row r="162" ht="18" customHeight="1"/>
    <x:row r="163" ht="18" customHeight="1"/>
    <x:row r="164" ht="18" customHeight="1"/>
    <x:row r="165" ht="18" customHeight="1"/>
    <x:row r="166" ht="18" customHeight="1"/>
    <x:row r="167" ht="18" customHeight="1"/>
    <x:row r="168" ht="18" customHeight="1"/>
    <x:row r="169" ht="18" customHeight="1"/>
    <x:row r="170" ht="18" customHeight="1"/>
    <x:row r="171" ht="18" customHeight="1"/>
    <x:row r="172" ht="18" customHeight="1"/>
    <x:row r="173" ht="18" customHeight="1"/>
    <x:row r="174" ht="18" customHeight="1"/>
    <x:row r="175" ht="18" customHeight="1"/>
    <x:row r="176" ht="18" customHeight="1"/>
    <x:row r="177" ht="18" customHeight="1"/>
    <x:row r="178" ht="18" customHeight="1"/>
    <x:row r="179" ht="18" customHeight="1"/>
    <x:row r="180" ht="18" customHeight="1"/>
    <x:row r="181" ht="18" customHeight="1"/>
    <x:row r="182" ht="18" customHeight="1"/>
    <x:row r="183" ht="18" customHeight="1"/>
    <x:row r="184" ht="18" customHeight="1"/>
    <x:row r="185" ht="18" customHeight="1"/>
    <x:row r="186" ht="18" customHeight="1"/>
    <x:row r="187" ht="18" customHeight="1"/>
    <x:row r="188" ht="18" customHeight="1"/>
    <x:row r="189" ht="18" customHeight="1"/>
    <x:row r="190" ht="18" customHeight="1"/>
    <x:row r="191" ht="18" customHeight="1"/>
    <x:row r="192" ht="18" customHeight="1"/>
    <x:row r="193" ht="18" customHeight="1"/>
    <x:row r="194" ht="18" customHeight="1"/>
    <x:row r="195" ht="18" customHeight="1"/>
    <x:row r="196" ht="18" customHeight="1"/>
    <x:row r="197" ht="18" customHeight="1"/>
    <x:row r="198" ht="18" customHeight="1"/>
    <x:row r="199" ht="18" customHeight="1"/>
    <x:row r="200" ht="18" customHeight="1"/>
    <x:row r="201" ht="18" customHeight="1"/>
    <x:row r="202" ht="18" customHeight="1"/>
    <x:row r="203" ht="18" customHeight="1"/>
    <x:row r="204" ht="18" customHeight="1"/>
    <x:row r="205" ht="18" customHeight="1"/>
    <x:row r="206" ht="18" customHeight="1"/>
    <x:row r="207" ht="18" customHeight="1"/>
    <x:row r="208" ht="18" customHeight="1"/>
    <x:row r="209" ht="18" customHeight="1"/>
    <x:row r="210" ht="18" customHeight="1"/>
    <x:row r="211" ht="18" customHeight="1"/>
    <x:row r="212" ht="18" customHeight="1"/>
    <x:row r="213" ht="18" customHeight="1"/>
    <x:row r="214" ht="18" customHeight="1"/>
    <x:row r="215" ht="18" customHeight="1"/>
    <x:row r="216" ht="18" customHeight="1"/>
    <x:row r="217" ht="18" customHeight="1"/>
    <x:row r="218" ht="18" customHeight="1"/>
    <x:row r="219" ht="18" customHeight="1"/>
    <x:row r="220" ht="18" customHeight="1"/>
    <x:row r="221" ht="18" customHeight="1"/>
    <x:row r="222" ht="18" customHeight="1"/>
    <x:row r="223" ht="18" customHeight="1"/>
    <x:row r="224" ht="18" customHeight="1"/>
    <x:row r="225" ht="18" customHeight="1"/>
    <x:row r="226" ht="18" customHeight="1"/>
    <x:row r="227" ht="18" customHeight="1"/>
    <x:row r="228" ht="18" customHeight="1"/>
    <x:row r="229" ht="18" customHeight="1"/>
    <x:row r="230" ht="18" customHeight="1"/>
    <x:row r="231" ht="18" customHeight="1"/>
    <x:row r="232" ht="18" customHeight="1"/>
    <x:row r="233" ht="18" customHeight="1"/>
    <x:row r="234" ht="18" customHeight="1"/>
    <x:row r="235" ht="18" customHeight="1"/>
    <x:row r="236" ht="18" customHeight="1"/>
    <x:row r="237" ht="18" customHeight="1"/>
    <x:row r="238" ht="18" customHeight="1"/>
    <x:row r="239" ht="18" customHeight="1"/>
    <x:row r="240" ht="18" customHeight="1"/>
    <x:row r="241" ht="18" customHeight="1"/>
    <x:row r="242" ht="18" customHeight="1"/>
    <x:row r="243" ht="18" customHeight="1"/>
    <x:row r="244" ht="18" customHeight="1"/>
    <x:row r="245" ht="18" customHeight="1"/>
    <x:row r="246" ht="18" customHeight="1"/>
    <x:row r="247" ht="18" customHeight="1"/>
    <x:row r="248" ht="18" customHeight="1"/>
    <x:row r="249" ht="18" customHeight="1"/>
    <x:row r="250" ht="18" customHeight="1"/>
    <x:row r="251" ht="18" customHeight="1"/>
    <x:row r="252" ht="18" customHeight="1"/>
    <x:row r="253" ht="18" customHeight="1"/>
    <x:row r="254" ht="18" customHeight="1"/>
    <x:row r="255" ht="18" customHeight="1"/>
    <x:row r="256" ht="18" customHeight="1"/>
    <x:row r="257" ht="18" customHeight="1"/>
    <x:row r="258" ht="18" customHeight="1"/>
    <x:row r="259" ht="18" customHeight="1"/>
    <x:row r="260" ht="18" customHeight="1"/>
    <x:row r="261" ht="18" customHeight="1"/>
    <x:row r="262" ht="18" customHeight="1"/>
    <x:row r="263" ht="18" customHeight="1"/>
    <x:row r="264" ht="18" customHeight="1"/>
    <x:row r="265" ht="18" customHeight="1"/>
    <x:row r="266" ht="18" customHeight="1"/>
    <x:row r="267" ht="18" customHeight="1"/>
    <x:row r="268" ht="18" customHeight="1"/>
    <x:row r="269" ht="18" customHeight="1"/>
    <x:row r="270" ht="18" customHeight="1"/>
    <x:row r="271" ht="18" customHeight="1"/>
    <x:row r="272" ht="18" customHeight="1"/>
    <x:row r="273" ht="18" customHeight="1"/>
    <x:row r="274" ht="18" customHeight="1"/>
    <x:row r="275" ht="18" customHeight="1"/>
    <x:row r="276" ht="18" customHeight="1"/>
    <x:row r="277" ht="18" customHeight="1"/>
    <x:row r="278" ht="18" customHeight="1"/>
    <x:row r="279" ht="18" customHeight="1"/>
    <x:row r="280" ht="18" customHeight="1"/>
    <x:row r="281" ht="18" customHeight="1"/>
    <x:row r="282" ht="18" customHeight="1"/>
    <x:row r="283" ht="18" customHeight="1"/>
    <x:row r="284" ht="18" customHeight="1"/>
    <x:row r="285" ht="18" customHeight="1"/>
    <x:row r="286" ht="18" customHeight="1"/>
    <x:row r="287" ht="18" customHeight="1"/>
    <x:row r="288" ht="18" customHeight="1"/>
    <x:row r="289" ht="18" customHeight="1"/>
    <x:row r="290" ht="18" customHeight="1"/>
    <x:row r="291" ht="18" customHeight="1"/>
    <x:row r="292" ht="18" customHeight="1"/>
    <x:row r="293" ht="18" customHeight="1"/>
    <x:row r="294" ht="18" customHeight="1"/>
    <x:row r="295" ht="18" customHeight="1"/>
    <x:row r="296" ht="18" customHeight="1"/>
    <x:row r="297" ht="18" customHeight="1"/>
    <x:row r="298" ht="18" customHeight="1"/>
    <x:row r="299" ht="18" customHeight="1"/>
    <x:row r="300" ht="18" customHeight="1"/>
    <x:row r="301" ht="18" customHeight="1"/>
    <x:row r="302" ht="18" customHeight="1"/>
    <x:row r="303" ht="18" customHeight="1"/>
    <x:row r="304" ht="18" customHeight="1"/>
    <x:row r="305" ht="18" customHeight="1"/>
    <x:row r="306" ht="18" customHeight="1"/>
    <x:row r="307" ht="18" customHeight="1"/>
    <x:row r="308" ht="18" customHeight="1"/>
    <x:row r="309" ht="18" customHeight="1"/>
    <x:row r="310" ht="18" customHeight="1"/>
    <x:row r="311" ht="18" customHeight="1"/>
    <x:row r="312" ht="18" customHeight="1"/>
    <x:row r="313" ht="18" customHeight="1"/>
    <x:row r="314" ht="18" customHeight="1"/>
    <x:row r="315" ht="18" customHeight="1"/>
    <x:row r="316" ht="18" customHeight="1"/>
    <x:row r="317" ht="18" customHeight="1"/>
    <x:row r="318" ht="18" customHeight="1"/>
    <x:row r="319" ht="18" customHeight="1"/>
    <x:row r="320" ht="18" customHeight="1"/>
    <x:row r="321" ht="18" customHeight="1"/>
    <x:row r="322" ht="18" customHeight="1"/>
    <x:row r="323" ht="18" customHeight="1"/>
    <x:row r="324" ht="18" customHeight="1"/>
    <x:row r="325" ht="18" customHeight="1"/>
    <x:row r="326" ht="18" customHeight="1"/>
    <x:row r="327" ht="18" customHeight="1"/>
    <x:row r="328" ht="18" customHeight="1"/>
    <x:row r="329" ht="18" customHeight="1"/>
    <x:row r="330" ht="18" customHeight="1"/>
    <x:row r="331" ht="18" customHeight="1"/>
    <x:row r="332" ht="18" customHeight="1"/>
    <x:row r="333" ht="18" customHeight="1"/>
    <x:row r="334" ht="18" customHeight="1"/>
    <x:row r="335" ht="18" customHeight="1"/>
    <x:row r="336" ht="18" customHeight="1"/>
    <x:row r="337" ht="18" customHeight="1"/>
    <x:row r="338" ht="18" customHeight="1"/>
    <x:row r="339" ht="18" customHeight="1"/>
    <x:row r="340" ht="18" customHeight="1"/>
    <x:row r="341" ht="18" customHeight="1"/>
    <x:row r="342" ht="18" customHeight="1"/>
    <x:row r="343" ht="18" customHeight="1"/>
    <x:row r="344" ht="18" customHeight="1"/>
    <x:row r="345" ht="18" customHeight="1"/>
    <x:row r="346" ht="18" customHeight="1"/>
    <x:row r="347" ht="18" customHeight="1"/>
    <x:row r="348" ht="18" customHeight="1"/>
    <x:row r="349" ht="18" customHeight="1"/>
    <x:row r="350" ht="18" customHeight="1"/>
    <x:row r="351" ht="18" customHeight="1"/>
    <x:row r="352" ht="18" customHeight="1"/>
    <x:row r="353" ht="18" customHeight="1"/>
    <x:row r="354" ht="18" customHeight="1"/>
    <x:row r="355" ht="18" customHeight="1"/>
    <x:row r="356" ht="18" customHeight="1"/>
    <x:row r="357" ht="18" customHeight="1"/>
    <x:row r="358" ht="18" customHeight="1"/>
    <x:row r="359" ht="18" customHeight="1"/>
    <x:row r="360" ht="18" customHeight="1"/>
    <x:row r="361" ht="18" customHeight="1"/>
    <x:row r="362" ht="18" customHeight="1"/>
    <x:row r="363" ht="18" customHeight="1"/>
    <x:row r="364" ht="18" customHeight="1"/>
    <x:row r="365" ht="18" customHeight="1"/>
    <x:row r="366" ht="18" customHeight="1"/>
    <x:row r="367" ht="18" customHeight="1"/>
    <x:row r="368" ht="18" customHeight="1"/>
    <x:row r="369" ht="18" customHeight="1"/>
    <x:row r="370" ht="18" customHeight="1"/>
    <x:row r="371" ht="18" customHeight="1"/>
    <x:row r="372" ht="18" customHeight="1"/>
    <x:row r="373" ht="18" customHeight="1"/>
    <x:row r="374" ht="18" customHeight="1"/>
    <x:row r="375" ht="18" customHeight="1"/>
    <x:row r="376" ht="18" customHeight="1"/>
    <x:row r="377" ht="18" customHeight="1"/>
    <x:row r="378" ht="18" customHeight="1"/>
    <x:row r="379" ht="18" customHeight="1"/>
    <x:row r="380" ht="18" customHeight="1"/>
    <x:row r="381" ht="18" customHeight="1"/>
    <x:row r="382" ht="18" customHeight="1"/>
    <x:row r="383" ht="18" customHeight="1"/>
    <x:row r="384" ht="18" customHeight="1"/>
    <x:row r="385" ht="18" customHeight="1"/>
    <x:row r="386" ht="18" customHeight="1"/>
    <x:row r="387" ht="18" customHeight="1"/>
    <x:row r="388" ht="18" customHeight="1"/>
    <x:row r="389" ht="18" customHeight="1"/>
    <x:row r="390" ht="18" customHeight="1"/>
    <x:row r="391" ht="18" customHeight="1"/>
    <x:row r="392" ht="18" customHeight="1"/>
    <x:row r="393" ht="18" customHeight="1"/>
    <x:row r="394" ht="18" customHeight="1"/>
    <x:row r="395" ht="18" customHeight="1"/>
    <x:row r="396" ht="18" customHeight="1"/>
    <x:row r="397" ht="18" customHeight="1"/>
    <x:row r="398" ht="18" customHeight="1"/>
    <x:row r="399" ht="18" customHeight="1"/>
    <x:row r="400" ht="18" customHeight="1"/>
    <x:row r="401" ht="18" customHeight="1"/>
    <x:row r="402" ht="18" customHeight="1"/>
    <x:row r="403" ht="18" customHeight="1"/>
    <x:row r="404" ht="18" customHeight="1"/>
    <x:row r="405" ht="18" customHeight="1"/>
    <x:row r="406" ht="18" customHeight="1"/>
    <x:row r="407" ht="18" customHeight="1"/>
    <x:row r="408" ht="18" customHeight="1"/>
    <x:row r="409" ht="18" customHeight="1"/>
    <x:row r="410" ht="18" customHeight="1"/>
    <x:row r="411" ht="18" customHeight="1"/>
    <x:row r="412" ht="18" customHeight="1"/>
    <x:row r="413" ht="18" customHeight="1"/>
    <x:row r="414" ht="18" customHeight="1"/>
    <x:row r="415" ht="18" customHeight="1"/>
    <x:row r="416" ht="18" customHeight="1"/>
    <x:row r="417" ht="18" customHeight="1"/>
    <x:row r="418" ht="18" customHeight="1"/>
    <x:row r="419" ht="18" customHeight="1"/>
    <x:row r="420" ht="18" customHeight="1"/>
    <x:row r="421" ht="18" customHeight="1"/>
    <x:row r="422" ht="18" customHeight="1"/>
    <x:row r="423" ht="18" customHeight="1"/>
    <x:row r="424" ht="18" customHeight="1"/>
    <x:row r="425" ht="18" customHeight="1"/>
    <x:row r="426" ht="18" customHeight="1"/>
    <x:row r="427" ht="18" customHeight="1"/>
    <x:row r="428" ht="18" customHeight="1"/>
    <x:row r="429" ht="18" customHeight="1"/>
    <x:row r="430" ht="18" customHeight="1"/>
    <x:row r="431" ht="18" customHeight="1"/>
    <x:row r="432" ht="18" customHeight="1"/>
    <x:row r="433" ht="18" customHeight="1"/>
    <x:row r="434" ht="18" customHeight="1"/>
    <x:row r="435" ht="18" customHeight="1"/>
    <x:row r="436" ht="18" customHeight="1"/>
    <x:row r="437" ht="18" customHeight="1"/>
    <x:row r="438" ht="18" customHeight="1"/>
    <x:row r="439" ht="18" customHeight="1"/>
    <x:row r="440" ht="18" customHeight="1"/>
    <x:row r="441" ht="18" customHeight="1"/>
    <x:row r="442" ht="18" customHeight="1"/>
    <x:row r="443" ht="18" customHeight="1"/>
    <x:row r="444" ht="18" customHeight="1"/>
    <x:row r="445" ht="18" customHeight="1"/>
    <x:row r="446" ht="18" customHeight="1"/>
    <x:row r="447" ht="18" customHeight="1"/>
    <x:row r="448" ht="18" customHeight="1"/>
    <x:row r="449" ht="18" customHeight="1"/>
    <x:row r="450" ht="18" customHeight="1"/>
    <x:row r="451" ht="18" customHeight="1"/>
    <x:row r="452" ht="18" customHeight="1"/>
    <x:row r="453" ht="18" customHeight="1"/>
    <x:row r="454" ht="18" customHeight="1"/>
    <x:row r="455" ht="18" customHeight="1"/>
    <x:row r="456" ht="18" customHeight="1"/>
    <x:row r="457" ht="18" customHeight="1"/>
    <x:row r="458" ht="18" customHeight="1"/>
    <x:row r="459" ht="18" customHeight="1"/>
    <x:row r="460" ht="18" customHeight="1"/>
    <x:row r="461" ht="18" customHeight="1"/>
    <x:row r="462" ht="18" customHeight="1"/>
    <x:row r="463" ht="18" customHeight="1"/>
    <x:row r="464" ht="18" customHeight="1"/>
    <x:row r="465" ht="18" customHeight="1"/>
    <x:row r="466" ht="18" customHeight="1"/>
    <x:row r="467" ht="18" customHeight="1"/>
    <x:row r="468" ht="18" customHeight="1"/>
    <x:row r="469" ht="18" customHeight="1"/>
    <x:row r="470" ht="18" customHeight="1"/>
    <x:row r="471" ht="18" customHeight="1"/>
    <x:row r="472" ht="18" customHeight="1"/>
    <x:row r="473" ht="18" customHeight="1"/>
    <x:row r="474" ht="18" customHeight="1"/>
    <x:row r="475" ht="18" customHeight="1"/>
    <x:row r="476" ht="18" customHeight="1"/>
    <x:row r="477" ht="18" customHeight="1"/>
    <x:row r="478" ht="18" customHeight="1"/>
    <x:row r="479" ht="18" customHeight="1"/>
    <x:row r="480" ht="18" customHeight="1"/>
    <x:row r="481" ht="18" customHeight="1"/>
    <x:row r="482" ht="18" customHeight="1"/>
    <x:row r="483" ht="18" customHeight="1"/>
    <x:row r="484" ht="18" customHeight="1"/>
    <x:row r="485" ht="18" customHeight="1"/>
    <x:row r="486" ht="18" customHeight="1"/>
    <x:row r="487" ht="18" customHeight="1"/>
    <x:row r="488" ht="18" customHeight="1"/>
    <x:row r="489" ht="18" customHeight="1"/>
    <x:row r="490" ht="18" customHeight="1"/>
    <x:row r="491" ht="18" customHeight="1"/>
    <x:row r="492" ht="18" customHeight="1"/>
    <x:row r="493" ht="18" customHeight="1"/>
    <x:row r="494" ht="18" customHeight="1"/>
    <x:row r="495" ht="18" customHeight="1"/>
    <x:row r="496" ht="18" customHeight="1"/>
    <x:row r="497" ht="18" customHeight="1"/>
    <x:row r="498" ht="18" customHeight="1"/>
    <x:row r="499" ht="18" customHeight="1"/>
    <x:row r="500" ht="18" customHeight="1"/>
    <x:row r="501" ht="18" customHeight="1"/>
    <x:row r="502" ht="18" customHeight="1"/>
    <x:row r="503" ht="18" customHeight="1"/>
    <x:row r="504" ht="18" customHeight="1"/>
    <x:row r="505" ht="18" customHeight="1"/>
    <x:row r="506" ht="18" customHeight="1"/>
    <x:row r="507" ht="18" customHeight="1"/>
    <x:row r="508" ht="18" customHeight="1"/>
    <x:row r="509" ht="18" customHeight="1"/>
    <x:row r="510" ht="18" customHeight="1"/>
    <x:row r="511" ht="18" customHeight="1"/>
    <x:row r="512" ht="18" customHeight="1"/>
    <x:row r="513" ht="18" customHeight="1"/>
    <x:row r="514" ht="18" customHeight="1"/>
    <x:row r="515" ht="18" customHeight="1"/>
    <x:row r="516" ht="18" customHeight="1"/>
    <x:row r="517" ht="18" customHeight="1"/>
    <x:row r="518" ht="18" customHeight="1"/>
    <x:row r="519" ht="18" customHeight="1"/>
    <x:row r="520" ht="18" customHeight="1"/>
    <x:row r="521" ht="18" customHeight="1"/>
    <x:row r="522" ht="18" customHeight="1"/>
    <x:row r="523" ht="18" customHeight="1"/>
    <x:row r="524" ht="18" customHeight="1"/>
    <x:row r="525" ht="18" customHeight="1"/>
    <x:row r="526" ht="18" customHeight="1"/>
    <x:row r="527" ht="18" customHeight="1"/>
    <x:row r="528" ht="18" customHeight="1"/>
    <x:row r="529" ht="18" customHeight="1"/>
    <x:row r="530" ht="18" customHeight="1"/>
    <x:row r="531" ht="18" customHeight="1"/>
    <x:row r="532" ht="18" customHeight="1"/>
    <x:row r="533" ht="18" customHeight="1"/>
    <x:row r="534" ht="18" customHeight="1"/>
    <x:row r="535" ht="18" customHeight="1"/>
    <x:row r="536" ht="18" customHeight="1"/>
    <x:row r="537" ht="18" customHeight="1"/>
    <x:row r="538" ht="18" customHeight="1"/>
    <x:row r="539" ht="18" customHeight="1"/>
    <x:row r="540" ht="18" customHeight="1"/>
    <x:row r="541" ht="18" customHeight="1"/>
    <x:row r="542" ht="18" customHeight="1"/>
    <x:row r="543" ht="18" customHeight="1"/>
    <x:row r="544" ht="18" customHeight="1"/>
    <x:row r="545" ht="18" customHeight="1"/>
    <x:row r="546" ht="18" customHeight="1"/>
    <x:row r="547" ht="18" customHeight="1"/>
    <x:row r="548" ht="18" customHeight="1"/>
    <x:row r="549" ht="18" customHeight="1"/>
    <x:row r="550" ht="18" customHeight="1"/>
    <x:row r="551" ht="18" customHeight="1"/>
    <x:row r="552" ht="18" customHeight="1"/>
    <x:row r="553" ht="18" customHeight="1"/>
    <x:row r="554" ht="18" customHeight="1"/>
    <x:row r="555" ht="18" customHeight="1"/>
    <x:row r="556" ht="18" customHeight="1"/>
    <x:row r="557" ht="18" customHeight="1"/>
    <x:row r="558" ht="18" customHeight="1"/>
    <x:row r="559" ht="18" customHeight="1"/>
    <x:row r="560" ht="18" customHeight="1"/>
    <x:row r="561" ht="18" customHeight="1"/>
    <x:row r="562" ht="18" customHeight="1"/>
    <x:row r="563" ht="18" customHeight="1"/>
    <x:row r="564" ht="18" customHeight="1"/>
    <x:row r="565" ht="18" customHeight="1"/>
    <x:row r="566" ht="18" customHeight="1"/>
    <x:row r="567" ht="18" customHeight="1"/>
    <x:row r="568" ht="18" customHeight="1"/>
    <x:row r="569" ht="18" customHeight="1"/>
    <x:row r="570" ht="18" customHeight="1"/>
    <x:row r="571" ht="18" customHeight="1"/>
    <x:row r="572" ht="18" customHeight="1"/>
    <x:row r="573" ht="18" customHeight="1"/>
    <x:row r="574" ht="18" customHeight="1"/>
    <x:row r="575" ht="18" customHeight="1"/>
    <x:row r="576" ht="18" customHeight="1"/>
    <x:row r="577" ht="18" customHeight="1"/>
    <x:row r="578" ht="18" customHeight="1"/>
    <x:row r="579" ht="18" customHeight="1"/>
    <x:row r="580" ht="18" customHeight="1"/>
    <x:row r="581" ht="18" customHeight="1"/>
    <x:row r="582" ht="18" customHeight="1"/>
    <x:row r="583" ht="18" customHeight="1"/>
    <x:row r="584" ht="18" customHeight="1"/>
    <x:row r="585" ht="18" customHeight="1"/>
    <x:row r="586" ht="18" customHeight="1"/>
    <x:row r="587" ht="18" customHeight="1"/>
    <x:row r="588" ht="18" customHeight="1"/>
    <x:row r="589" ht="18" customHeight="1"/>
    <x:row r="590" ht="18" customHeight="1"/>
    <x:row r="591" ht="18" customHeight="1"/>
    <x:row r="592" ht="18" customHeight="1"/>
    <x:row r="593" ht="18" customHeight="1"/>
    <x:row r="594" ht="18" customHeight="1"/>
    <x:row r="595" ht="18" customHeight="1"/>
    <x:row r="596" ht="18" customHeight="1"/>
    <x:row r="597" ht="18" customHeight="1"/>
    <x:row r="598" ht="18" customHeight="1"/>
    <x:row r="599" ht="18" customHeight="1"/>
    <x:row r="600" ht="18" customHeight="1"/>
    <x:row r="601" ht="18" customHeight="1"/>
    <x:row r="602" ht="18" customHeight="1"/>
    <x:row r="603" ht="18" customHeight="1"/>
    <x:row r="604" ht="18" customHeight="1"/>
    <x:row r="605" ht="18" customHeight="1"/>
    <x:row r="606" ht="18" customHeight="1"/>
    <x:row r="607" ht="18" customHeight="1"/>
    <x:row r="608" ht="18" customHeight="1"/>
    <x:row r="609" ht="18" customHeight="1"/>
    <x:row r="610" ht="18" customHeight="1"/>
    <x:row r="611" ht="18" customHeight="1"/>
    <x:row r="612" ht="18" customHeight="1"/>
    <x:row r="613" ht="18" customHeight="1"/>
    <x:row r="614" ht="18" customHeight="1"/>
    <x:row r="615" ht="18" customHeight="1"/>
    <x:row r="616" ht="18" customHeight="1"/>
    <x:row r="617" ht="18" customHeight="1"/>
    <x:row r="618" ht="18" customHeight="1"/>
    <x:row r="619" ht="18" customHeight="1"/>
    <x:row r="620" ht="18" customHeight="1"/>
    <x:row r="621" ht="18" customHeight="1"/>
    <x:row r="622" ht="18" customHeight="1"/>
    <x:row r="623" ht="18" customHeight="1"/>
    <x:row r="624" ht="18" customHeight="1"/>
    <x:row r="625" ht="18" customHeight="1"/>
    <x:row r="626" ht="18" customHeight="1"/>
    <x:row r="627" ht="18" customHeight="1"/>
    <x:row r="628" ht="18" customHeight="1"/>
    <x:row r="629" ht="18" customHeight="1"/>
    <x:row r="630" ht="18" customHeight="1"/>
    <x:row r="631" ht="18" customHeight="1"/>
    <x:row r="632" ht="18" customHeight="1"/>
    <x:row r="633" ht="18" customHeight="1"/>
    <x:row r="634" ht="18" customHeight="1"/>
    <x:row r="635" ht="18" customHeight="1"/>
    <x:row r="636" ht="18" customHeight="1"/>
    <x:row r="637" ht="18" customHeight="1"/>
    <x:row r="638" ht="18" customHeight="1"/>
    <x:row r="639" ht="18" customHeight="1"/>
    <x:row r="640" ht="18" customHeight="1"/>
    <x:row r="641" ht="18" customHeight="1"/>
    <x:row r="642" ht="18" customHeight="1"/>
    <x:row r="643" ht="18" customHeight="1"/>
    <x:row r="644" ht="18" customHeight="1"/>
    <x:row r="645" ht="18" customHeight="1"/>
    <x:row r="646" ht="18" customHeight="1"/>
    <x:row r="647" ht="18" customHeight="1"/>
    <x:row r="648" ht="18" customHeight="1"/>
    <x:row r="649" ht="18" customHeight="1"/>
    <x:row r="650" ht="18" customHeight="1"/>
    <x:row r="651" ht="18" customHeight="1"/>
    <x:row r="652" ht="18" customHeight="1"/>
    <x:row r="653" ht="18" customHeight="1"/>
    <x:row r="654" ht="18" customHeight="1"/>
    <x:row r="655" ht="18" customHeight="1"/>
    <x:row r="656" ht="18" customHeight="1"/>
    <x:row r="657" ht="18" customHeight="1"/>
    <x:row r="658" ht="18" customHeight="1"/>
    <x:row r="659" ht="18" customHeight="1"/>
    <x:row r="660" ht="18" customHeight="1"/>
    <x:row r="661" ht="18" customHeight="1"/>
    <x:row r="662" ht="18" customHeight="1"/>
    <x:row r="663" ht="18" customHeight="1"/>
    <x:row r="664" ht="18" customHeight="1"/>
    <x:row r="665" ht="18" customHeight="1"/>
    <x:row r="666" ht="18" customHeight="1"/>
    <x:row r="667" ht="18" customHeight="1"/>
    <x:row r="668" ht="18" customHeight="1"/>
    <x:row r="669" ht="18" customHeight="1"/>
    <x:row r="670" ht="18" customHeight="1"/>
    <x:row r="671" ht="18" customHeight="1"/>
    <x:row r="672" ht="18" customHeight="1"/>
    <x:row r="673" ht="18" customHeight="1"/>
    <x:row r="674" ht="18" customHeight="1"/>
    <x:row r="675" ht="18" customHeight="1"/>
    <x:row r="676" ht="18" customHeight="1"/>
    <x:row r="677" ht="18" customHeight="1"/>
    <x:row r="678" ht="18" customHeight="1"/>
    <x:row r="679" ht="18" customHeight="1"/>
    <x:row r="680" ht="18" customHeight="1"/>
    <x:row r="681" ht="18" customHeight="1"/>
    <x:row r="682" ht="18" customHeight="1"/>
    <x:row r="683" ht="18" customHeight="1"/>
    <x:row r="684" ht="18" customHeight="1"/>
    <x:row r="685" ht="18" customHeight="1"/>
    <x:row r="686" ht="18" customHeight="1"/>
    <x:row r="687" ht="18" customHeight="1"/>
    <x:row r="688" ht="18" customHeight="1"/>
    <x:row r="689" ht="18" customHeight="1"/>
    <x:row r="690" ht="18" customHeight="1"/>
    <x:row r="691" ht="18" customHeight="1"/>
    <x:row r="692" ht="18" customHeight="1"/>
    <x:row r="693" ht="18" customHeight="1"/>
    <x:row r="694" ht="18" customHeight="1"/>
    <x:row r="695" ht="18" customHeight="1"/>
    <x:row r="696" ht="18" customHeight="1"/>
    <x:row r="697" ht="18" customHeight="1"/>
    <x:row r="698" ht="18" customHeight="1"/>
    <x:row r="699" ht="18" customHeight="1"/>
    <x:row r="700" ht="18" customHeight="1"/>
    <x:row r="701" ht="18" customHeight="1"/>
    <x:row r="702" ht="18" customHeight="1"/>
    <x:row r="703" ht="18" customHeight="1"/>
    <x:row r="704" ht="18" customHeight="1"/>
    <x:row r="705" ht="18" customHeight="1"/>
    <x:row r="706" ht="18" customHeight="1"/>
    <x:row r="707" ht="18" customHeight="1"/>
    <x:row r="708" ht="18" customHeight="1"/>
    <x:row r="709" ht="18" customHeight="1"/>
    <x:row r="710" ht="18" customHeight="1"/>
    <x:row r="711" ht="18" customHeight="1"/>
    <x:row r="712" ht="18" customHeight="1"/>
    <x:row r="713" ht="18" customHeight="1"/>
    <x:row r="714" ht="18" customHeight="1"/>
    <x:row r="715" ht="18" customHeight="1"/>
    <x:row r="716" ht="18" customHeight="1"/>
    <x:row r="717" ht="18" customHeight="1"/>
    <x:row r="718" ht="18" customHeight="1"/>
    <x:row r="719" ht="18" customHeight="1"/>
    <x:row r="720" ht="18" customHeight="1"/>
    <x:row r="721" ht="18" customHeight="1"/>
    <x:row r="722" ht="18" customHeight="1"/>
    <x:row r="723" ht="18" customHeight="1"/>
    <x:row r="724" ht="18" customHeight="1"/>
    <x:row r="725" ht="18" customHeight="1"/>
    <x:row r="726" ht="18" customHeight="1"/>
    <x:row r="727" ht="18" customHeight="1"/>
    <x:row r="728" ht="18" customHeight="1"/>
    <x:row r="729" ht="18" customHeight="1"/>
    <x:row r="730" ht="18" customHeight="1"/>
    <x:row r="731" ht="18" customHeight="1"/>
    <x:row r="732" ht="18" customHeight="1"/>
    <x:row r="733" ht="18" customHeight="1"/>
    <x:row r="734" ht="18" customHeight="1"/>
    <x:row r="735" ht="18" customHeight="1"/>
    <x:row r="736" ht="18" customHeight="1"/>
    <x:row r="737" ht="18" customHeight="1"/>
    <x:row r="738" ht="18" customHeight="1"/>
    <x:row r="739" ht="18" customHeight="1"/>
    <x:row r="740" ht="18" customHeight="1"/>
    <x:row r="741" ht="18" customHeight="1"/>
    <x:row r="742" ht="18" customHeight="1"/>
    <x:row r="743" ht="18" customHeight="1"/>
    <x:row r="744" ht="18" customHeight="1"/>
    <x:row r="745" ht="18" customHeight="1"/>
    <x:row r="746" ht="18" customHeight="1"/>
    <x:row r="747" ht="18" customHeight="1"/>
    <x:row r="748" ht="18" customHeight="1"/>
    <x:row r="749" ht="18" customHeight="1"/>
    <x:row r="750" ht="18" customHeight="1"/>
    <x:row r="751" ht="18" customHeight="1"/>
    <x:row r="752" ht="18" customHeight="1"/>
    <x:row r="753" ht="18" customHeight="1"/>
    <x:row r="754" ht="18" customHeight="1"/>
    <x:row r="755" ht="18" customHeight="1"/>
    <x:row r="756" ht="18" customHeight="1"/>
    <x:row r="757" ht="18" customHeight="1"/>
    <x:row r="758" ht="18" customHeight="1"/>
    <x:row r="759" ht="18" customHeight="1"/>
    <x:row r="760" ht="18" customHeight="1"/>
    <x:row r="761" ht="18" customHeight="1"/>
    <x:row r="762" ht="18" customHeight="1"/>
    <x:row r="763" ht="18" customHeight="1"/>
    <x:row r="764" ht="18" customHeight="1"/>
    <x:row r="765" ht="18" customHeight="1"/>
    <x:row r="766" ht="18" customHeight="1"/>
    <x:row r="767" ht="18" customHeight="1"/>
    <x:row r="768" ht="18" customHeight="1"/>
    <x:row r="769" ht="18" customHeight="1"/>
    <x:row r="770" ht="18" customHeight="1"/>
    <x:row r="771" ht="18" customHeight="1"/>
    <x:row r="772" ht="18" customHeight="1"/>
    <x:row r="773" ht="18" customHeight="1"/>
    <x:row r="774" ht="18" customHeight="1"/>
    <x:row r="775" ht="18" customHeight="1"/>
    <x:row r="776" ht="18" customHeight="1"/>
    <x:row r="777" ht="18" customHeight="1"/>
    <x:row r="778" ht="18" customHeight="1"/>
    <x:row r="779" ht="18" customHeight="1"/>
    <x:row r="780" ht="18" customHeight="1"/>
    <x:row r="781" ht="18" customHeight="1"/>
    <x:row r="782" ht="18" customHeight="1"/>
    <x:row r="783" ht="18" customHeight="1"/>
    <x:row r="784" ht="18" customHeight="1"/>
    <x:row r="785" ht="18" customHeight="1"/>
    <x:row r="786" ht="18" customHeight="1"/>
    <x:row r="787" ht="18" customHeight="1"/>
    <x:row r="788" ht="18" customHeight="1"/>
    <x:row r="789" ht="18" customHeight="1"/>
    <x:row r="790" ht="18" customHeight="1"/>
    <x:row r="791" ht="18" customHeight="1"/>
    <x:row r="792" ht="18" customHeight="1"/>
    <x:row r="793" ht="18" customHeight="1"/>
    <x:row r="794" ht="18" customHeight="1"/>
    <x:row r="795" ht="18" customHeight="1"/>
    <x:row r="796" ht="18" customHeight="1"/>
    <x:row r="797" ht="18" customHeight="1"/>
    <x:row r="798" ht="18" customHeight="1"/>
    <x:row r="799" ht="18" customHeight="1"/>
    <x:row r="800" ht="18" customHeight="1"/>
    <x:row r="801" ht="18" customHeight="1"/>
    <x:row r="802" ht="18" customHeight="1"/>
    <x:row r="803" ht="18" customHeight="1"/>
    <x:row r="804" ht="18" customHeight="1"/>
    <x:row r="805" ht="18" customHeight="1"/>
    <x:row r="806" ht="18" customHeight="1"/>
    <x:row r="807" ht="18" customHeight="1"/>
    <x:row r="808" ht="18" customHeight="1"/>
    <x:row r="809" ht="18" customHeight="1"/>
    <x:row r="810" ht="18" customHeight="1"/>
    <x:row r="811" ht="18" customHeight="1"/>
    <x:row r="812" ht="18" customHeight="1"/>
    <x:row r="813" ht="18" customHeight="1"/>
    <x:row r="814" ht="18" customHeight="1"/>
    <x:row r="815" ht="18" customHeight="1"/>
    <x:row r="816" ht="18" customHeight="1"/>
    <x:row r="817" ht="18" customHeight="1"/>
    <x:row r="818" ht="18" customHeight="1"/>
    <x:row r="819" ht="18" customHeight="1"/>
    <x:row r="820" ht="18" customHeight="1"/>
    <x:row r="821" ht="18" customHeight="1"/>
    <x:row r="822" ht="18" customHeight="1"/>
    <x:row r="823" ht="18" customHeight="1"/>
    <x:row r="824" ht="18" customHeight="1"/>
    <x:row r="825" ht="18" customHeight="1"/>
    <x:row r="826" ht="18" customHeight="1"/>
    <x:row r="827" ht="18" customHeight="1"/>
    <x:row r="828" ht="18" customHeight="1"/>
    <x:row r="829" ht="18" customHeight="1"/>
    <x:row r="830" ht="18" customHeight="1"/>
    <x:row r="831" ht="18" customHeight="1"/>
    <x:row r="832" ht="18" customHeight="1"/>
    <x:row r="833" ht="18" customHeight="1"/>
    <x:row r="834" ht="18" customHeight="1"/>
    <x:row r="835" ht="18" customHeight="1"/>
    <x:row r="836" ht="18" customHeight="1"/>
    <x:row r="837" ht="18" customHeight="1"/>
    <x:row r="838" ht="18" customHeight="1"/>
    <x:row r="839" ht="18" customHeight="1"/>
    <x:row r="840" ht="18" customHeight="1"/>
    <x:row r="841" ht="18" customHeight="1"/>
    <x:row r="842" ht="18" customHeight="1"/>
    <x:row r="843" ht="18" customHeight="1"/>
    <x:row r="844" ht="18" customHeight="1"/>
    <x:row r="845" ht="18" customHeight="1"/>
    <x:row r="846" ht="18" customHeight="1"/>
    <x:row r="847" ht="18" customHeight="1"/>
    <x:row r="848" ht="18" customHeight="1"/>
    <x:row r="849" ht="18" customHeight="1"/>
    <x:row r="850" ht="18" customHeight="1"/>
    <x:row r="851" ht="18" customHeight="1"/>
    <x:row r="852" ht="18" customHeight="1"/>
    <x:row r="853" ht="18" customHeight="1"/>
    <x:row r="854" ht="18" customHeight="1"/>
    <x:row r="855" ht="18" customHeight="1"/>
    <x:row r="856" ht="18" customHeight="1"/>
    <x:row r="857" ht="18" customHeight="1"/>
    <x:row r="858" ht="18" customHeight="1"/>
    <x:row r="859" ht="18" customHeight="1"/>
    <x:row r="860" ht="18" customHeight="1"/>
    <x:row r="861" ht="18" customHeight="1"/>
    <x:row r="862" ht="18" customHeight="1"/>
    <x:row r="863" ht="18" customHeight="1"/>
    <x:row r="864" ht="18" customHeight="1"/>
    <x:row r="865" ht="18" customHeight="1"/>
    <x:row r="866" ht="18" customHeight="1"/>
    <x:row r="867" ht="18" customHeight="1"/>
    <x:row r="868" ht="18" customHeight="1"/>
    <x:row r="869" ht="18" customHeight="1"/>
    <x:row r="870" ht="18" customHeight="1"/>
    <x:row r="871" ht="18" customHeight="1"/>
    <x:row r="872" ht="18" customHeight="1"/>
    <x:row r="873" ht="18" customHeight="1"/>
    <x:row r="874" ht="18" customHeight="1"/>
    <x:row r="875" ht="18" customHeight="1"/>
    <x:row r="876" ht="18" customHeight="1"/>
    <x:row r="877" ht="18" customHeight="1"/>
    <x:row r="878" ht="18" customHeight="1"/>
    <x:row r="879" ht="18" customHeight="1"/>
    <x:row r="880" ht="18" customHeight="1"/>
    <x:row r="881" ht="18" customHeight="1"/>
    <x:row r="882" ht="18" customHeight="1"/>
    <x:row r="883" ht="18" customHeight="1"/>
    <x:row r="884" ht="18" customHeight="1"/>
    <x:row r="885" ht="18" customHeight="1"/>
    <x:row r="886" ht="18" customHeight="1"/>
    <x:row r="887" ht="18" customHeight="1"/>
    <x:row r="888" ht="18" customHeight="1"/>
    <x:row r="889" ht="18" customHeight="1"/>
    <x:row r="890" ht="18" customHeight="1"/>
    <x:row r="891" ht="18" customHeight="1"/>
    <x:row r="892" ht="18" customHeight="1"/>
    <x:row r="893" ht="18" customHeight="1"/>
    <x:row r="894" ht="18" customHeight="1"/>
    <x:row r="895" ht="18" customHeight="1"/>
    <x:row r="896" ht="18" customHeight="1"/>
    <x:row r="897" ht="18" customHeight="1"/>
    <x:row r="898" ht="18" customHeight="1"/>
    <x:row r="899" ht="18" customHeight="1"/>
    <x:row r="900" ht="18" customHeight="1"/>
    <x:row r="901" ht="18" customHeight="1"/>
    <x:row r="902" ht="18" customHeight="1"/>
    <x:row r="903" ht="18" customHeight="1"/>
    <x:row r="904" ht="18" customHeight="1"/>
    <x:row r="905" ht="18" customHeight="1"/>
    <x:row r="906" ht="18" customHeight="1"/>
    <x:row r="907" ht="18" customHeight="1"/>
    <x:row r="908" ht="18" customHeight="1"/>
    <x:row r="909" ht="18" customHeight="1"/>
    <x:row r="910" ht="18" customHeight="1"/>
    <x:row r="911" ht="18" customHeight="1"/>
    <x:row r="912" ht="18" customHeight="1"/>
    <x:row r="913" ht="18" customHeight="1"/>
    <x:row r="914" ht="18" customHeight="1"/>
    <x:row r="915" ht="18" customHeight="1"/>
    <x:row r="916" ht="18" customHeight="1"/>
    <x:row r="917" ht="18" customHeight="1"/>
    <x:row r="918" ht="18" customHeight="1"/>
    <x:row r="919" ht="18" customHeight="1"/>
    <x:row r="920" ht="18" customHeight="1"/>
    <x:row r="921" ht="18" customHeight="1"/>
    <x:row r="922" ht="18" customHeight="1"/>
    <x:row r="923" ht="18" customHeight="1"/>
    <x:row r="924" ht="18" customHeight="1"/>
    <x:row r="925" ht="18" customHeight="1"/>
    <x:row r="926" ht="18" customHeight="1"/>
    <x:row r="927" ht="18" customHeight="1"/>
    <x:row r="928" ht="18" customHeight="1"/>
    <x:row r="929" ht="18" customHeight="1"/>
    <x:row r="930" ht="18" customHeight="1"/>
    <x:row r="931" ht="18" customHeight="1"/>
    <x:row r="932" ht="18" customHeight="1"/>
    <x:row r="933" ht="18" customHeight="1"/>
    <x:row r="934" ht="18" customHeight="1"/>
    <x:row r="935" ht="18" customHeight="1"/>
    <x:row r="936" ht="18" customHeight="1"/>
    <x:row r="937" ht="18" customHeight="1"/>
    <x:row r="938" ht="18" customHeight="1"/>
    <x:row r="939" ht="18" customHeight="1"/>
    <x:row r="940" ht="18" customHeight="1"/>
    <x:row r="941" ht="18" customHeight="1"/>
    <x:row r="942" ht="18" customHeight="1"/>
    <x:row r="943" ht="18" customHeight="1"/>
    <x:row r="944" ht="18" customHeight="1"/>
    <x:row r="945" ht="18" customHeight="1"/>
    <x:row r="946" ht="18" customHeight="1"/>
    <x:row r="947" ht="18" customHeight="1"/>
    <x:row r="948" ht="18" customHeight="1"/>
    <x:row r="949" ht="18" customHeight="1"/>
    <x:row r="950" ht="18" customHeight="1"/>
    <x:row r="951" ht="18" customHeight="1"/>
    <x:row r="952" ht="18" customHeight="1"/>
    <x:row r="953" ht="18" customHeight="1"/>
    <x:row r="954" ht="18" customHeight="1"/>
    <x:row r="955" ht="18" customHeight="1"/>
    <x:row r="956" ht="18" customHeight="1"/>
    <x:row r="957" ht="18" customHeight="1"/>
    <x:row r="958" ht="18" customHeight="1"/>
    <x:row r="959" ht="18" customHeight="1"/>
    <x:row r="960" ht="18" customHeight="1"/>
    <x:row r="961" ht="18" customHeight="1"/>
    <x:row r="962" ht="18" customHeight="1"/>
    <x:row r="963" ht="18" customHeight="1"/>
    <x:row r="964" ht="18" customHeight="1"/>
    <x:row r="965" ht="18" customHeight="1"/>
    <x:row r="966" ht="18" customHeight="1"/>
    <x:row r="967" ht="18" customHeight="1"/>
    <x:row r="968" ht="18" customHeight="1"/>
    <x:row r="969" ht="18" customHeight="1"/>
    <x:row r="970" ht="18" customHeight="1"/>
    <x:row r="971" ht="18" customHeight="1"/>
    <x:row r="972" ht="18" customHeight="1"/>
    <x:row r="973" ht="18" customHeight="1"/>
    <x:row r="974" ht="18" customHeight="1"/>
    <x:row r="975" ht="18" customHeight="1"/>
    <x:row r="976" ht="18" customHeight="1"/>
    <x:row r="977" ht="18" customHeight="1"/>
    <x:row r="978" ht="18" customHeight="1"/>
    <x:row r="979" ht="18" customHeight="1"/>
    <x:row r="980" ht="18" customHeight="1"/>
    <x:row r="981" ht="18" customHeight="1"/>
    <x:row r="982" ht="18" customHeight="1"/>
    <x:row r="983" ht="18" customHeight="1"/>
    <x:row r="984" ht="18" customHeight="1"/>
    <x:row r="985" ht="18" customHeight="1"/>
    <x:row r="986" ht="18" customHeight="1"/>
    <x:row r="987" ht="18" customHeight="1"/>
    <x:row r="988" ht="18" customHeight="1"/>
    <x:row r="989" ht="18" customHeight="1"/>
    <x:row r="990" ht="18" customHeight="1"/>
    <x:row r="991" ht="18" customHeight="1"/>
    <x:row r="992" ht="18" customHeight="1"/>
    <x:row r="993" ht="18" customHeight="1"/>
    <x:row r="994" ht="18" customHeight="1"/>
    <x:row r="995" ht="18" customHeight="1"/>
    <x:row r="996" ht="18" customHeight="1"/>
    <x:row r="997" ht="18" customHeight="1"/>
    <x:row r="998" ht="18" customHeight="1"/>
    <x:row r="999" ht="18" customHeight="1"/>
    <x:row r="1000" ht="18" customHeight="1"/>
    <x:row r="1001" ht="18" customHeight="1"/>
    <x:row r="1002" ht="18" customHeight="1"/>
    <x:row r="1003" ht="18" customHeight="1"/>
    <x:row r="1004" ht="18" customHeight="1"/>
    <x:row r="1005" ht="18" customHeight="1"/>
    <x:row r="1006" ht="18" customHeight="1"/>
    <x:row r="1007" ht="18" customHeight="1"/>
    <x:row r="1008" ht="18" customHeight="1"/>
    <x:row r="1009" ht="18" customHeight="1"/>
    <x:row r="1010" ht="18" customHeight="1"/>
    <x:row r="1011" ht="18" customHeight="1"/>
    <x:row r="1012" ht="18" customHeight="1"/>
    <x:row r="1013" ht="18" customHeight="1"/>
    <x:row r="1014" ht="18" customHeight="1"/>
    <x:row r="1015" ht="18" customHeight="1"/>
    <x:row r="1016" ht="18" customHeight="1"/>
    <x:row r="1017" ht="18" customHeight="1"/>
    <x:row r="1018" ht="18" customHeight="1"/>
    <x:row r="1019" ht="18" customHeight="1"/>
    <x:row r="1020" ht="18" customHeight="1"/>
    <x:row r="1021" ht="18" customHeight="1"/>
    <x:row r="1022" ht="18" customHeight="1"/>
    <x:row r="1023" ht="18" customHeight="1"/>
    <x:row r="1024" ht="18" customHeight="1"/>
    <x:row r="1025" ht="18" customHeight="1"/>
    <x:row r="1026" ht="18" customHeight="1"/>
    <x:row r="1027" ht="18" customHeight="1"/>
    <x:row r="1028" ht="18" customHeight="1"/>
    <x:row r="1029" ht="18" customHeight="1"/>
    <x:row r="1030" ht="18" customHeight="1"/>
    <x:row r="1031" ht="18" customHeight="1"/>
    <x:row r="1032" ht="18" customHeight="1"/>
    <x:row r="1033" ht="18" customHeight="1"/>
    <x:row r="1034" ht="18" customHeight="1"/>
    <x:row r="1035" ht="18" customHeight="1"/>
    <x:row r="1036" ht="18" customHeight="1"/>
    <x:row r="1037" ht="18" customHeight="1"/>
    <x:row r="1038" ht="18" customHeight="1"/>
    <x:row r="1039" ht="18" customHeight="1"/>
    <x:row r="1040" ht="18" customHeight="1"/>
    <x:row r="1041" ht="18" customHeight="1"/>
    <x:row r="1042" ht="18" customHeight="1"/>
    <x:row r="1043" ht="18" customHeight="1"/>
    <x:row r="1044" ht="18" customHeight="1"/>
    <x:row r="1045" ht="18" customHeight="1"/>
    <x:row r="1046" ht="18" customHeight="1"/>
    <x:row r="1047" ht="18" customHeight="1"/>
    <x:row r="1048" ht="18" customHeight="1"/>
    <x:row r="1049" ht="18" customHeight="1"/>
    <x:row r="1050" ht="18" customHeight="1"/>
    <x:row r="1051" ht="18" customHeight="1"/>
    <x:row r="1052" ht="18" customHeight="1"/>
    <x:row r="1053" ht="18" customHeight="1"/>
    <x:row r="1054" ht="18" customHeight="1"/>
    <x:row r="1055" ht="18" customHeight="1"/>
    <x:row r="1056" ht="18" customHeight="1"/>
    <x:row r="1057" ht="18" customHeight="1"/>
    <x:row r="1058" ht="18" customHeight="1"/>
    <x:row r="1059" ht="18" customHeight="1"/>
    <x:row r="1060" ht="18" customHeight="1"/>
    <x:row r="1061" ht="18" customHeight="1"/>
    <x:row r="1062" ht="18" customHeight="1"/>
    <x:row r="1063" ht="18" customHeight="1"/>
    <x:row r="1064" ht="18" customHeight="1"/>
    <x:row r="1065" ht="18" customHeight="1"/>
    <x:row r="1066" ht="18" customHeight="1"/>
    <x:row r="1067" ht="18" customHeight="1"/>
    <x:row r="1068" ht="18" customHeight="1"/>
    <x:row r="1069" ht="18" customHeight="1"/>
    <x:row r="1070" ht="18" customHeight="1"/>
    <x:row r="1071" ht="18" customHeight="1"/>
    <x:row r="1072" ht="18" customHeight="1"/>
    <x:row r="1073" ht="18" customHeight="1"/>
    <x:row r="1074" ht="18" customHeight="1"/>
    <x:row r="1075" ht="18" customHeight="1"/>
    <x:row r="1076" ht="18" customHeight="1"/>
    <x:row r="1077" ht="18" customHeight="1"/>
    <x:row r="1078" ht="18" customHeight="1"/>
    <x:row r="1079" ht="18" customHeight="1"/>
    <x:row r="1080" ht="18" customHeight="1"/>
    <x:row r="1081" ht="18" customHeight="1"/>
    <x:row r="1082" ht="18" customHeight="1"/>
    <x:row r="1083" ht="18" customHeight="1"/>
    <x:row r="1084" ht="18" customHeight="1"/>
    <x:row r="1085" ht="18" customHeight="1"/>
    <x:row r="1086" ht="18" customHeight="1"/>
    <x:row r="1087" ht="18" customHeight="1"/>
    <x:row r="1088" ht="18" customHeight="1"/>
    <x:row r="1089" ht="18" customHeight="1"/>
    <x:row r="1090" ht="18" customHeight="1"/>
    <x:row r="1091" ht="18" customHeight="1"/>
    <x:row r="1092" ht="18" customHeight="1"/>
    <x:row r="1093" ht="18" customHeight="1"/>
    <x:row r="1094" ht="18" customHeight="1"/>
    <x:row r="1095" ht="18" customHeight="1"/>
    <x:row r="1096" ht="18" customHeight="1"/>
    <x:row r="1097" ht="18" customHeight="1"/>
    <x:row r="1098" ht="18" customHeight="1"/>
    <x:row r="1099" ht="18" customHeight="1"/>
    <x:row r="1100" ht="18" customHeight="1"/>
    <x:row r="1101" ht="18" customHeight="1"/>
    <x:row r="1102" ht="18" customHeight="1"/>
    <x:row r="1103" ht="18" customHeight="1"/>
    <x:row r="1104" ht="18" customHeight="1"/>
    <x:row r="1105" ht="18" customHeight="1"/>
    <x:row r="1106" ht="18" customHeight="1"/>
    <x:row r="1107" ht="18" customHeight="1"/>
    <x:row r="1108" ht="18" customHeight="1"/>
    <x:row r="1109" ht="18" customHeight="1"/>
    <x:row r="1110" ht="18" customHeight="1"/>
    <x:row r="1111" ht="18" customHeight="1"/>
    <x:row r="1112" ht="18" customHeight="1"/>
    <x:row r="1113" ht="18" customHeight="1"/>
    <x:row r="1114" ht="18" customHeight="1"/>
    <x:row r="1115" ht="18" customHeight="1"/>
    <x:row r="1116" ht="18" customHeight="1"/>
    <x:row r="1117" ht="18" customHeight="1"/>
    <x:row r="1118" ht="18" customHeight="1"/>
    <x:row r="1119" ht="18" customHeight="1"/>
    <x:row r="1120" ht="18" customHeight="1"/>
    <x:row r="1121" ht="18" customHeight="1"/>
    <x:row r="1122" ht="18" customHeight="1"/>
    <x:row r="1123" ht="18" customHeight="1"/>
    <x:row r="1124" ht="18" customHeight="1"/>
    <x:row r="1125" ht="18" customHeight="1"/>
    <x:row r="1126" ht="18" customHeight="1"/>
    <x:row r="1127" ht="18" customHeight="1"/>
    <x:row r="1128" ht="18" customHeight="1"/>
    <x:row r="1129" ht="18" customHeight="1"/>
    <x:row r="1130" ht="18" customHeight="1"/>
    <x:row r="1131" ht="18" customHeight="1"/>
    <x:row r="1132" ht="18" customHeight="1"/>
    <x:row r="1133" ht="18" customHeight="1"/>
    <x:row r="1134" ht="18" customHeight="1"/>
    <x:row r="1135" ht="18" customHeight="1"/>
    <x:row r="1136" ht="18" customHeight="1"/>
    <x:row r="1137" ht="18" customHeight="1"/>
    <x:row r="1138" ht="18" customHeight="1"/>
    <x:row r="1139" ht="18" customHeight="1"/>
    <x:row r="1140" ht="18" customHeight="1"/>
    <x:row r="1141" ht="18" customHeight="1"/>
    <x:row r="1142" ht="18" customHeight="1"/>
    <x:row r="1143" ht="18" customHeight="1"/>
    <x:row r="1144" ht="18" customHeight="1"/>
    <x:row r="1145" ht="18" customHeight="1"/>
    <x:row r="1146" ht="18" customHeight="1"/>
    <x:row r="1147" ht="18" customHeight="1"/>
    <x:row r="1148" ht="18" customHeight="1"/>
    <x:row r="1149" ht="18" customHeight="1"/>
    <x:row r="1150" ht="18" customHeight="1"/>
    <x:row r="1151" ht="18" customHeight="1"/>
    <x:row r="1152" ht="18" customHeight="1"/>
    <x:row r="1153" ht="18" customHeight="1"/>
    <x:row r="1154" ht="18" customHeight="1"/>
    <x:row r="1155" ht="18" customHeight="1"/>
    <x:row r="1156" ht="18" customHeight="1"/>
    <x:row r="1157" ht="18" customHeight="1"/>
    <x:row r="1158" ht="18" customHeight="1"/>
    <x:row r="1159" ht="18" customHeight="1"/>
    <x:row r="1160" ht="18" customHeight="1"/>
    <x:row r="1161" ht="18" customHeight="1"/>
    <x:row r="1162" ht="18" customHeight="1"/>
    <x:row r="1163" ht="18" customHeight="1"/>
    <x:row r="1164" ht="18" customHeight="1"/>
    <x:row r="1165" ht="18" customHeight="1"/>
    <x:row r="1166" ht="18" customHeight="1"/>
    <x:row r="1167" ht="18" customHeight="1"/>
    <x:row r="1168" ht="18" customHeight="1"/>
    <x:row r="1169" ht="18" customHeight="1"/>
    <x:row r="1170" ht="18" customHeight="1"/>
    <x:row r="1171" ht="18" customHeight="1"/>
    <x:row r="1172" ht="18" customHeight="1"/>
    <x:row r="1173" ht="18" customHeight="1"/>
    <x:row r="1174" ht="18" customHeight="1"/>
    <x:row r="1175" ht="18" customHeight="1"/>
    <x:row r="1176" ht="18" customHeight="1"/>
    <x:row r="1177" ht="18" customHeight="1"/>
    <x:row r="1178" ht="18" customHeight="1"/>
    <x:row r="1179" ht="18" customHeight="1"/>
    <x:row r="1180" ht="18" customHeight="1"/>
    <x:row r="1181" ht="18" customHeight="1"/>
    <x:row r="1182" ht="18" customHeight="1"/>
    <x:row r="1183" ht="18" customHeight="1"/>
    <x:row r="1184" ht="18" customHeight="1"/>
    <x:row r="1185" ht="18" customHeight="1"/>
    <x:row r="1186" ht="18" customHeight="1"/>
    <x:row r="1187" ht="18" customHeight="1"/>
    <x:row r="1188" ht="18" customHeight="1"/>
    <x:row r="1189" ht="18" customHeight="1"/>
    <x:row r="1190" ht="18" customHeight="1"/>
    <x:row r="1191" ht="18" customHeight="1"/>
    <x:row r="1192" ht="18" customHeight="1"/>
    <x:row r="1193" ht="18" customHeight="1"/>
    <x:row r="1194" ht="18" customHeight="1"/>
    <x:row r="1195" ht="18" customHeight="1"/>
    <x:row r="1196" ht="18" customHeight="1"/>
    <x:row r="1197" ht="18" customHeight="1"/>
    <x:row r="1198" ht="18" customHeight="1"/>
    <x:row r="1199" ht="18" customHeight="1"/>
    <x:row r="1200" ht="18" customHeight="1"/>
    <x:row r="1201" ht="18" customHeight="1"/>
    <x:row r="1202" ht="18" customHeight="1"/>
    <x:row r="1203" ht="18" customHeight="1"/>
    <x:row r="1204" ht="18" customHeight="1"/>
    <x:row r="1205" ht="18" customHeight="1"/>
    <x:row r="1206" ht="18" customHeight="1"/>
    <x:row r="1207" ht="18" customHeight="1"/>
    <x:row r="1208" ht="18" customHeight="1"/>
    <x:row r="1209" ht="18" customHeight="1"/>
    <x:row r="1210" ht="18" customHeight="1"/>
    <x:row r="1211" ht="18" customHeight="1"/>
    <x:row r="1212" ht="18" customHeight="1"/>
    <x:row r="1213" ht="18" customHeight="1"/>
    <x:row r="1214" ht="18" customHeight="1"/>
    <x:row r="1215" ht="18" customHeight="1"/>
    <x:row r="1216" ht="18" customHeight="1"/>
    <x:row r="1217" ht="18" customHeight="1"/>
    <x:row r="1218" ht="18" customHeight="1"/>
    <x:row r="1219" ht="18" customHeight="1"/>
    <x:row r="1220" ht="18" customHeight="1"/>
    <x:row r="1221" ht="18" customHeight="1"/>
    <x:row r="1222" ht="18" customHeight="1"/>
    <x:row r="1223" ht="18" customHeight="1"/>
    <x:row r="1224" ht="18" customHeight="1"/>
    <x:row r="1225" ht="18" customHeight="1"/>
    <x:row r="1226" ht="18" customHeight="1"/>
    <x:row r="1227" ht="18" customHeight="1"/>
    <x:row r="1228" ht="18" customHeight="1"/>
    <x:row r="1229" ht="18" customHeight="1"/>
    <x:row r="1230" ht="18" customHeight="1"/>
    <x:row r="1231" ht="18" customHeight="1"/>
    <x:row r="1232" ht="18" customHeight="1"/>
    <x:row r="1233" ht="18" customHeight="1"/>
    <x:row r="1234" ht="18" customHeight="1"/>
    <x:row r="1235" ht="18" customHeight="1"/>
    <x:row r="1236" ht="18" customHeight="1"/>
    <x:row r="1237" ht="18" customHeight="1"/>
    <x:row r="1238" ht="18" customHeight="1"/>
    <x:row r="1239" ht="18" customHeight="1"/>
    <x:row r="1240" ht="18" customHeight="1"/>
    <x:row r="1241" ht="18" customHeight="1"/>
    <x:row r="1242" ht="18" customHeight="1"/>
    <x:row r="1243" ht="18" customHeight="1"/>
    <x:row r="1244" ht="18" customHeight="1"/>
    <x:row r="1245" ht="18" customHeight="1"/>
    <x:row r="1246" ht="18" customHeight="1"/>
    <x:row r="1247" ht="18" customHeight="1"/>
    <x:row r="1248" ht="18" customHeight="1"/>
    <x:row r="1249" ht="18" customHeight="1"/>
    <x:row r="1250" ht="18" customHeight="1"/>
    <x:row r="1251" ht="18" customHeight="1"/>
    <x:row r="1252" ht="18" customHeight="1"/>
    <x:row r="1253" ht="18" customHeight="1"/>
    <x:row r="1254" ht="18" customHeight="1"/>
    <x:row r="1255" ht="18" customHeight="1"/>
    <x:row r="1256" ht="18" customHeight="1"/>
    <x:row r="1257" ht="18" customHeight="1"/>
    <x:row r="1258" ht="18" customHeight="1"/>
    <x:row r="1259" ht="18" customHeight="1"/>
    <x:row r="1260" ht="18" customHeight="1"/>
    <x:row r="1261" ht="18" customHeight="1"/>
    <x:row r="1262" ht="18" customHeight="1"/>
    <x:row r="1263" ht="18" customHeight="1"/>
    <x:row r="1264" ht="18" customHeight="1"/>
    <x:row r="1265" ht="18" customHeight="1"/>
    <x:row r="1266" ht="18" customHeight="1"/>
    <x:row r="1267" ht="18" customHeight="1"/>
    <x:row r="1268" ht="18" customHeight="1"/>
    <x:row r="1269" ht="18" customHeight="1"/>
    <x:row r="1270" ht="18" customHeight="1"/>
    <x:row r="1271" ht="18" customHeight="1"/>
    <x:row r="1272" ht="18" customHeight="1"/>
    <x:row r="1273" ht="18" customHeight="1"/>
    <x:row r="1274" ht="18" customHeight="1"/>
    <x:row r="1275" ht="18" customHeight="1"/>
    <x:row r="1276" ht="18" customHeight="1"/>
    <x:row r="1277" ht="18" customHeight="1"/>
    <x:row r="1278" ht="18" customHeight="1"/>
    <x:row r="1279" ht="18" customHeight="1"/>
    <x:row r="1280" ht="18" customHeight="1"/>
    <x:row r="1281" ht="18" customHeight="1"/>
    <x:row r="1282" ht="18" customHeight="1"/>
    <x:row r="1283" ht="18" customHeight="1"/>
    <x:row r="1284" ht="18" customHeight="1"/>
    <x:row r="1285" ht="18" customHeight="1"/>
    <x:row r="1286" ht="18" customHeight="1"/>
    <x:row r="1287" ht="18" customHeight="1"/>
    <x:row r="1288" ht="18" customHeight="1"/>
    <x:row r="1289" ht="18" customHeight="1"/>
    <x:row r="1290" ht="18" customHeight="1"/>
    <x:row r="1291" ht="18" customHeight="1"/>
    <x:row r="1292" ht="18" customHeight="1"/>
    <x:row r="1293" ht="18" customHeight="1"/>
    <x:row r="1294" ht="18" customHeight="1"/>
    <x:row r="1295" ht="18" customHeight="1"/>
    <x:row r="1296" ht="18" customHeight="1"/>
    <x:row r="1297" ht="18" customHeight="1"/>
    <x:row r="1298" ht="18" customHeight="1"/>
    <x:row r="1299" ht="18" customHeight="1"/>
    <x:row r="1300" ht="18" customHeight="1"/>
    <x:row r="1301" ht="18" customHeight="1"/>
    <x:row r="1302" ht="18" customHeight="1"/>
    <x:row r="1303" ht="18" customHeight="1"/>
    <x:row r="1304" ht="18" customHeight="1"/>
    <x:row r="1305" ht="18" customHeight="1"/>
    <x:row r="1306" ht="18" customHeight="1"/>
    <x:row r="1307" ht="18" customHeight="1"/>
    <x:row r="1308" ht="18" customHeight="1"/>
    <x:row r="1309" ht="18" customHeight="1"/>
    <x:row r="1310" ht="18" customHeight="1"/>
    <x:row r="1311" ht="18" customHeight="1"/>
    <x:row r="1312" ht="18" customHeight="1"/>
    <x:row r="1313" ht="18" customHeight="1"/>
    <x:row r="1314" ht="18" customHeight="1"/>
    <x:row r="1315" ht="18" customHeight="1"/>
    <x:row r="1316" ht="18" customHeight="1"/>
    <x:row r="1317" ht="18" customHeight="1"/>
    <x:row r="1318" ht="18" customHeight="1"/>
    <x:row r="1319" ht="18" customHeight="1"/>
    <x:row r="1320" ht="18" customHeight="1"/>
    <x:row r="1321" ht="18" customHeight="1"/>
    <x:row r="1322" ht="18" customHeight="1"/>
    <x:row r="1323" ht="18" customHeight="1"/>
    <x:row r="1324" ht="18" customHeight="1"/>
    <x:row r="1325" ht="18" customHeight="1"/>
    <x:row r="1326" ht="18" customHeight="1"/>
    <x:row r="1327" ht="18" customHeight="1"/>
    <x:row r="1328" ht="18" customHeight="1"/>
    <x:row r="1329" ht="18" customHeight="1"/>
    <x:row r="1330" ht="18" customHeight="1"/>
    <x:row r="1331" ht="18" customHeight="1"/>
    <x:row r="1332" ht="18" customHeight="1"/>
    <x:row r="1333" ht="18" customHeight="1"/>
    <x:row r="1334" ht="18" customHeight="1"/>
    <x:row r="1335" ht="18" customHeight="1"/>
    <x:row r="1336" ht="18" customHeight="1"/>
    <x:row r="1337" ht="18" customHeight="1"/>
    <x:row r="1338" ht="18" customHeight="1"/>
    <x:row r="1339" ht="18" customHeight="1"/>
    <x:row r="1340" ht="18" customHeight="1"/>
    <x:row r="1341" ht="18" customHeight="1"/>
    <x:row r="1342" ht="18" customHeight="1"/>
    <x:row r="1343" ht="18" customHeight="1"/>
    <x:row r="1344" ht="18" customHeight="1"/>
    <x:row r="1345" ht="18" customHeight="1"/>
    <x:row r="1346" ht="18" customHeight="1"/>
    <x:row r="1347" ht="18" customHeight="1"/>
    <x:row r="1348" ht="18" customHeight="1"/>
    <x:row r="1349" ht="18" customHeight="1"/>
    <x:row r="1350" ht="18" customHeight="1"/>
    <x:row r="1351" ht="18" customHeight="1"/>
    <x:row r="1352" ht="18" customHeight="1"/>
    <x:row r="1353" ht="18" customHeight="1"/>
    <x:row r="1354" ht="18" customHeight="1"/>
    <x:row r="1355" ht="18" customHeight="1"/>
    <x:row r="1356" ht="18" customHeight="1"/>
    <x:row r="1357" ht="18" customHeight="1"/>
    <x:row r="1358" ht="18" customHeight="1"/>
    <x:row r="1359" ht="18" customHeight="1"/>
    <x:row r="1360" ht="18" customHeight="1"/>
    <x:row r="1361" ht="18" customHeight="1"/>
    <x:row r="1362" ht="18" customHeight="1"/>
    <x:row r="1363" ht="18" customHeight="1"/>
    <x:row r="1364" ht="18" customHeight="1"/>
    <x:row r="1365" ht="18" customHeight="1"/>
    <x:row r="1366" ht="18" customHeight="1"/>
    <x:row r="1367" ht="18" customHeight="1"/>
    <x:row r="1368" ht="18" customHeight="1"/>
    <x:row r="1369" ht="18" customHeight="1"/>
    <x:row r="1370" ht="18" customHeight="1"/>
    <x:row r="1371" ht="18" customHeight="1"/>
    <x:row r="1372" ht="18" customHeight="1"/>
    <x:row r="1373" ht="18" customHeight="1"/>
    <x:row r="1374" ht="18" customHeight="1"/>
    <x:row r="1375" ht="18" customHeight="1"/>
    <x:row r="1376" ht="18" customHeight="1"/>
    <x:row r="1377" ht="18" customHeight="1"/>
    <x:row r="1378" ht="18" customHeight="1"/>
    <x:row r="1379" ht="18" customHeight="1"/>
    <x:row r="1380" ht="18" customHeight="1"/>
    <x:row r="1381" ht="18" customHeight="1"/>
    <x:row r="1382" ht="18" customHeight="1"/>
    <x:row r="1383" ht="18" customHeight="1"/>
    <x:row r="1384" ht="18" customHeight="1"/>
    <x:row r="1385" ht="18" customHeight="1"/>
    <x:row r="1386" ht="18" customHeight="1"/>
    <x:row r="1387" ht="18" customHeight="1"/>
    <x:row r="1388" ht="18" customHeight="1"/>
    <x:row r="1389" ht="18" customHeight="1"/>
    <x:row r="1390" ht="18" customHeight="1"/>
    <x:row r="1391" ht="18" customHeight="1"/>
    <x:row r="1392" ht="18" customHeight="1"/>
    <x:row r="1393" ht="18" customHeight="1"/>
    <x:row r="1394" ht="18" customHeight="1"/>
    <x:row r="1395" ht="18" customHeight="1"/>
    <x:row r="1396" ht="18" customHeight="1"/>
    <x:row r="1397" ht="18" customHeight="1"/>
    <x:row r="1398" ht="18" customHeight="1"/>
    <x:row r="1399" ht="18" customHeight="1"/>
    <x:row r="1400" ht="18" customHeight="1"/>
    <x:row r="1401" ht="18" customHeight="1"/>
    <x:row r="1402" ht="18" customHeight="1"/>
    <x:row r="1403" ht="18" customHeight="1"/>
    <x:row r="1404" ht="18" customHeight="1"/>
    <x:row r="1405" ht="18" customHeight="1"/>
    <x:row r="1406" ht="18" customHeight="1"/>
    <x:row r="1407" ht="18" customHeight="1"/>
    <x:row r="1408" ht="18" customHeight="1"/>
    <x:row r="1409" ht="18" customHeight="1"/>
    <x:row r="1410" ht="18" customHeight="1"/>
    <x:row r="1411" ht="18" customHeight="1"/>
    <x:row r="1412" ht="18" customHeight="1"/>
    <x:row r="1413" ht="18" customHeight="1"/>
    <x:row r="1414" ht="18" customHeight="1"/>
    <x:row r="1415" ht="18" customHeight="1"/>
    <x:row r="1416" ht="18" customHeight="1"/>
    <x:row r="1417" ht="18" customHeight="1"/>
    <x:row r="1418" ht="18" customHeight="1"/>
    <x:row r="1419" ht="18" customHeight="1"/>
    <x:row r="1420" ht="18" customHeight="1"/>
    <x:row r="1421" ht="18" customHeight="1"/>
    <x:row r="1422" ht="18" customHeight="1"/>
    <x:row r="1423" ht="18" customHeight="1"/>
    <x:row r="1424" ht="18" customHeight="1"/>
    <x:row r="1425" ht="18" customHeight="1"/>
    <x:row r="1426" ht="18" customHeight="1"/>
    <x:row r="1427" ht="18" customHeight="1"/>
    <x:row r="1428" ht="18" customHeight="1"/>
    <x:row r="1429" ht="18" customHeight="1"/>
    <x:row r="1430" ht="18" customHeight="1"/>
    <x:row r="1431" ht="18" customHeight="1"/>
    <x:row r="1432" ht="18" customHeight="1"/>
    <x:row r="1433" ht="18" customHeight="1"/>
    <x:row r="1434" ht="18" customHeight="1"/>
    <x:row r="1435" ht="18" customHeight="1"/>
    <x:row r="1436" ht="18" customHeight="1"/>
    <x:row r="1437" ht="18" customHeight="1"/>
    <x:row r="1438" ht="18" customHeight="1"/>
    <x:row r="1439" ht="18" customHeight="1"/>
    <x:row r="1440" ht="18" customHeight="1"/>
    <x:row r="1441" ht="18" customHeight="1"/>
    <x:row r="1442" ht="18" customHeight="1"/>
    <x:row r="1443" ht="18" customHeight="1"/>
    <x:row r="1444" ht="18" customHeight="1"/>
    <x:row r="1445" ht="18" customHeight="1"/>
    <x:row r="1446" ht="18" customHeight="1"/>
    <x:row r="1447" ht="18" customHeight="1"/>
    <x:row r="1448" ht="18" customHeight="1"/>
    <x:row r="1449" ht="18" customHeight="1"/>
    <x:row r="1450" ht="18" customHeight="1"/>
    <x:row r="1451" ht="18" customHeight="1"/>
    <x:row r="1452" ht="18" customHeight="1"/>
    <x:row r="1453" ht="18" customHeight="1"/>
    <x:row r="1454" ht="18" customHeight="1"/>
    <x:row r="1455" ht="18" customHeight="1"/>
    <x:row r="1456" ht="18" customHeight="1"/>
    <x:row r="1457" ht="18" customHeight="1"/>
    <x:row r="1458" ht="18" customHeight="1"/>
    <x:row r="1459" ht="18" customHeight="1"/>
    <x:row r="1460" ht="18" customHeight="1"/>
    <x:row r="1461" ht="18" customHeight="1"/>
    <x:row r="1462" ht="18" customHeight="1"/>
    <x:row r="1463" ht="18" customHeight="1"/>
    <x:row r="1464" ht="18" customHeight="1"/>
    <x:row r="1465" ht="18" customHeight="1"/>
    <x:row r="1466" ht="18" customHeight="1"/>
    <x:row r="1467" ht="18" customHeight="1"/>
    <x:row r="1468" ht="18" customHeight="1"/>
    <x:row r="1469" ht="18" customHeight="1"/>
    <x:row r="1470" ht="18" customHeight="1"/>
    <x:row r="1471" ht="18" customHeight="1"/>
    <x:row r="1472" ht="18" customHeight="1"/>
    <x:row r="1473" ht="18" customHeight="1"/>
    <x:row r="1474" ht="18" customHeight="1"/>
    <x:row r="1475" ht="18" customHeight="1"/>
    <x:row r="1476" ht="18" customHeight="1"/>
    <x:row r="1477" ht="18" customHeight="1"/>
    <x:row r="1478" ht="18" customHeight="1"/>
    <x:row r="1479" ht="18" customHeight="1"/>
    <x:row r="1480" ht="18" customHeight="1"/>
    <x:row r="1481" ht="18" customHeight="1"/>
    <x:row r="1482" ht="18" customHeight="1"/>
    <x:row r="1483" ht="18" customHeight="1"/>
    <x:row r="1484" ht="18" customHeight="1"/>
    <x:row r="1485" ht="18" customHeight="1"/>
    <x:row r="1486" ht="18" customHeight="1"/>
    <x:row r="1487" ht="18" customHeight="1"/>
    <x:row r="1488" ht="18" customHeight="1"/>
    <x:row r="1489" ht="18" customHeight="1"/>
    <x:row r="1490" ht="18" customHeight="1"/>
    <x:row r="1491" ht="18" customHeight="1"/>
    <x:row r="1492" ht="18" customHeight="1"/>
    <x:row r="1493" ht="18" customHeight="1"/>
    <x:row r="1494" ht="18" customHeight="1"/>
    <x:row r="1495" ht="18" customHeight="1"/>
    <x:row r="1496" ht="18" customHeight="1"/>
    <x:row r="1497" ht="18" customHeight="1"/>
    <x:row r="1498" ht="18" customHeight="1"/>
    <x:row r="1499" ht="18" customHeight="1"/>
    <x:row r="1500" ht="18" customHeight="1"/>
    <x:row r="1501" ht="18" customHeight="1"/>
    <x:row r="1502" ht="18" customHeight="1"/>
    <x:row r="1503" ht="18" customHeight="1"/>
    <x:row r="1504" ht="18" customHeight="1"/>
    <x:row r="1505" ht="18" customHeight="1"/>
    <x:row r="1506" ht="18" customHeight="1"/>
    <x:row r="1507" ht="18" customHeight="1"/>
    <x:row r="1508" ht="18" customHeight="1"/>
    <x:row r="1509" ht="18" customHeight="1"/>
    <x:row r="1510" ht="18" customHeight="1"/>
    <x:row r="1511" ht="18" customHeight="1"/>
    <x:row r="1512" ht="18" customHeight="1"/>
    <x:row r="1513" ht="18" customHeight="1"/>
    <x:row r="1514" ht="18" customHeight="1"/>
    <x:row r="1515" ht="18" customHeight="1"/>
    <x:row r="1516" ht="18" customHeight="1"/>
    <x:row r="1517" ht="18" customHeight="1"/>
    <x:row r="1518" ht="18" customHeight="1"/>
    <x:row r="1519" ht="18" customHeight="1"/>
    <x:row r="1520" ht="18" customHeight="1"/>
    <x:row r="1521" ht="18" customHeight="1"/>
    <x:row r="1522" ht="18" customHeight="1"/>
    <x:row r="1523" ht="18" customHeight="1"/>
    <x:row r="1524" ht="18" customHeight="1"/>
    <x:row r="1525" ht="18" customHeight="1"/>
    <x:row r="1526" ht="18" customHeight="1"/>
    <x:row r="1527" ht="18" customHeight="1"/>
    <x:row r="1528" ht="18" customHeight="1"/>
    <x:row r="1529" ht="18" customHeight="1"/>
    <x:row r="1530" ht="18" customHeight="1"/>
    <x:row r="1531" ht="18" customHeight="1"/>
    <x:row r="1532" ht="18" customHeight="1"/>
    <x:row r="1533" ht="18" customHeight="1"/>
    <x:row r="1534" ht="18" customHeight="1"/>
    <x:row r="1535" ht="18" customHeight="1"/>
    <x:row r="1536" ht="18" customHeight="1"/>
    <x:row r="1537" ht="18" customHeight="1"/>
    <x:row r="1538" ht="18" customHeight="1"/>
    <x:row r="1539" ht="18" customHeight="1"/>
    <x:row r="1540" ht="18" customHeight="1"/>
    <x:row r="1541" ht="18" customHeight="1"/>
    <x:row r="1542" ht="18" customHeight="1"/>
    <x:row r="1543" ht="18" customHeight="1"/>
    <x:row r="1544" ht="18" customHeight="1"/>
    <x:row r="1545" ht="18" customHeight="1"/>
    <x:row r="1546" ht="18" customHeight="1"/>
    <x:row r="1547" ht="18" customHeight="1"/>
    <x:row r="1548" ht="18" customHeight="1"/>
    <x:row r="1549" ht="18" customHeight="1"/>
    <x:row r="1550" ht="18" customHeight="1"/>
    <x:row r="1551" ht="18" customHeight="1"/>
    <x:row r="1552" ht="18" customHeight="1"/>
    <x:row r="1553" ht="18" customHeight="1"/>
    <x:row r="1554" ht="18" customHeight="1"/>
    <x:row r="1555" ht="18" customHeight="1"/>
    <x:row r="1556" ht="18" customHeight="1"/>
    <x:row r="1557" ht="18" customHeight="1"/>
    <x:row r="1558" ht="18" customHeight="1"/>
    <x:row r="1559" ht="18" customHeight="1"/>
    <x:row r="1560" ht="18" customHeight="1"/>
    <x:row r="1561" ht="18" customHeight="1"/>
    <x:row r="1562" ht="18" customHeight="1"/>
    <x:row r="1563" ht="18" customHeight="1"/>
    <x:row r="1564" ht="18" customHeight="1"/>
    <x:row r="1565" ht="18" customHeight="1"/>
    <x:row r="1566" ht="18" customHeight="1"/>
    <x:row r="1567" ht="18" customHeight="1"/>
    <x:row r="1568" ht="18" customHeight="1"/>
    <x:row r="1569" ht="18" customHeight="1"/>
    <x:row r="1570" ht="18" customHeight="1"/>
    <x:row r="1571" ht="18" customHeight="1"/>
    <x:row r="1572" ht="18" customHeight="1"/>
    <x:row r="1573" ht="18" customHeight="1"/>
    <x:row r="1574" ht="18" customHeight="1"/>
    <x:row r="1575" ht="18" customHeight="1"/>
    <x:row r="1576" ht="18" customHeight="1"/>
    <x:row r="1577" ht="18" customHeight="1"/>
    <x:row r="1578" ht="18" customHeight="1"/>
    <x:row r="1579" ht="18" customHeight="1"/>
    <x:row r="1580" ht="18" customHeight="1"/>
    <x:row r="1581" ht="18" customHeight="1"/>
    <x:row r="1582" ht="18" customHeight="1"/>
    <x:row r="1583" ht="18" customHeight="1"/>
    <x:row r="1584" ht="18" customHeight="1"/>
    <x:row r="1585" ht="18" customHeight="1"/>
    <x:row r="1586" ht="18" customHeight="1"/>
    <x:row r="1587" ht="18" customHeight="1"/>
    <x:row r="1588" ht="18" customHeight="1"/>
    <x:row r="1589" ht="18" customHeight="1"/>
    <x:row r="1590" ht="18" customHeight="1"/>
    <x:row r="1591" ht="18" customHeight="1"/>
    <x:row r="1592" ht="18" customHeight="1"/>
    <x:row r="1593" ht="18" customHeight="1"/>
    <x:row r="1594" ht="18" customHeight="1"/>
    <x:row r="1595" ht="18" customHeight="1"/>
    <x:row r="1596" ht="18" customHeight="1"/>
    <x:row r="1597" ht="18" customHeight="1"/>
    <x:row r="1598" ht="18" customHeight="1"/>
    <x:row r="1599" ht="18" customHeight="1"/>
    <x:row r="1600" ht="18" customHeight="1"/>
    <x:row r="1601" ht="18" customHeight="1"/>
    <x:row r="1602" ht="18" customHeight="1"/>
    <x:row r="1603" ht="18" customHeight="1"/>
    <x:row r="1604" ht="18" customHeight="1"/>
    <x:row r="1605" ht="18" customHeight="1"/>
    <x:row r="1606" ht="18" customHeight="1"/>
    <x:row r="1607" ht="18" customHeight="1"/>
    <x:row r="1608" ht="18" customHeight="1"/>
    <x:row r="1609" ht="18" customHeight="1"/>
    <x:row r="1610" ht="18" customHeight="1"/>
    <x:row r="1611" ht="18" customHeight="1"/>
    <x:row r="1612" ht="18" customHeight="1"/>
    <x:row r="1613" ht="18" customHeight="1"/>
    <x:row r="1614" ht="18" customHeight="1"/>
    <x:row r="1615" ht="18" customHeight="1"/>
    <x:row r="1616" ht="18" customHeight="1"/>
    <x:row r="1617" ht="18" customHeight="1"/>
    <x:row r="1618" ht="18" customHeight="1"/>
    <x:row r="1619" ht="18" customHeight="1"/>
    <x:row r="1620" ht="18" customHeight="1"/>
    <x:row r="1621" ht="18" customHeight="1"/>
    <x:row r="1622" ht="18" customHeight="1"/>
    <x:row r="1623" ht="18" customHeight="1"/>
    <x:row r="1624" ht="18" customHeight="1"/>
    <x:row r="1625" ht="18" customHeight="1"/>
    <x:row r="1626" ht="18" customHeight="1"/>
    <x:row r="1627" ht="18" customHeight="1"/>
    <x:row r="1628" ht="18" customHeight="1"/>
    <x:row r="1629" ht="18" customHeight="1"/>
    <x:row r="1630" ht="18" customHeight="1"/>
    <x:row r="1631" ht="18" customHeight="1"/>
    <x:row r="1632" ht="18" customHeight="1"/>
    <x:row r="1633" ht="18" customHeight="1"/>
    <x:row r="1634" ht="18" customHeight="1"/>
    <x:row r="1635" ht="18" customHeight="1"/>
    <x:row r="1636" ht="18" customHeight="1"/>
    <x:row r="1637" ht="18" customHeight="1"/>
    <x:row r="1638" ht="18" customHeight="1"/>
    <x:row r="1639" ht="18" customHeight="1"/>
    <x:row r="1640" ht="18" customHeight="1"/>
    <x:row r="1641" ht="18" customHeight="1"/>
    <x:row r="1642" ht="18" customHeight="1"/>
    <x:row r="1643" ht="18" customHeight="1"/>
    <x:row r="1644" ht="18" customHeight="1"/>
    <x:row r="1645" ht="18" customHeight="1"/>
    <x:row r="1646" ht="18" customHeight="1"/>
    <x:row r="1647" ht="18" customHeight="1"/>
    <x:row r="1648" ht="18" customHeight="1"/>
    <x:row r="1649" ht="18" customHeight="1"/>
    <x:row r="1650" ht="18" customHeight="1"/>
    <x:row r="1651" ht="18" customHeight="1"/>
    <x:row r="1652" ht="18" customHeight="1"/>
    <x:row r="1653" ht="18" customHeight="1"/>
    <x:row r="1654" ht="18" customHeight="1"/>
    <x:row r="1655" ht="18" customHeight="1"/>
    <x:row r="1656" ht="18" customHeight="1"/>
    <x:row r="1657" ht="18" customHeight="1"/>
    <x:row r="1658" ht="18" customHeight="1"/>
    <x:row r="1659" ht="18" customHeight="1"/>
    <x:row r="1660" ht="18" customHeight="1"/>
    <x:row r="1661" ht="18" customHeight="1"/>
    <x:row r="1662" ht="18" customHeight="1"/>
    <x:row r="1663" ht="18" customHeight="1"/>
    <x:row r="1664" ht="18" customHeight="1"/>
    <x:row r="1665" ht="18" customHeight="1"/>
    <x:row r="1666" ht="18" customHeight="1"/>
    <x:row r="1667" ht="18" customHeight="1"/>
    <x:row r="1668" ht="18" customHeight="1"/>
    <x:row r="1669" ht="18" customHeight="1"/>
    <x:row r="1670" ht="18" customHeight="1"/>
    <x:row r="1671" ht="18" customHeight="1"/>
    <x:row r="1672" ht="18" customHeight="1"/>
    <x:row r="1673" ht="18" customHeight="1"/>
    <x:row r="1674" ht="18" customHeight="1"/>
    <x:row r="1675" ht="18" customHeight="1"/>
    <x:row r="1676" ht="18" customHeight="1"/>
    <x:row r="1677" ht="18" customHeight="1"/>
    <x:row r="1678" ht="18" customHeight="1"/>
    <x:row r="1679" ht="18" customHeight="1"/>
    <x:row r="1680" ht="18" customHeight="1"/>
    <x:row r="1681" ht="18" customHeight="1"/>
    <x:row r="1682" ht="18" customHeight="1"/>
    <x:row r="1683" ht="18" customHeight="1"/>
    <x:row r="1684" ht="18" customHeight="1"/>
    <x:row r="1685" ht="18" customHeight="1"/>
    <x:row r="1686" ht="18" customHeight="1"/>
    <x:row r="1687" ht="18" customHeight="1"/>
    <x:row r="1688" ht="18" customHeight="1"/>
    <x:row r="1689" ht="18" customHeight="1"/>
    <x:row r="1690" ht="18" customHeight="1"/>
    <x:row r="1691" ht="18" customHeight="1"/>
    <x:row r="1692" ht="18" customHeight="1"/>
    <x:row r="1693" ht="18" customHeight="1"/>
    <x:row r="1694" ht="18" customHeight="1"/>
    <x:row r="1695" ht="18" customHeight="1"/>
    <x:row r="1696" ht="18" customHeight="1"/>
    <x:row r="1697" ht="18" customHeight="1"/>
    <x:row r="1698" ht="18" customHeight="1"/>
    <x:row r="1699" ht="18" customHeight="1"/>
    <x:row r="1700" ht="18" customHeight="1"/>
    <x:row r="1701" ht="18" customHeight="1"/>
    <x:row r="1702" ht="18" customHeight="1"/>
    <x:row r="1703" ht="18" customHeight="1"/>
    <x:row r="1704" ht="18" customHeight="1"/>
    <x:row r="1705" ht="18" customHeight="1"/>
    <x:row r="1706" ht="18" customHeight="1"/>
    <x:row r="1707" ht="18" customHeight="1"/>
    <x:row r="1708" ht="18" customHeight="1"/>
    <x:row r="1709" ht="18" customHeight="1"/>
    <x:row r="1710" ht="18" customHeight="1"/>
    <x:row r="1711" ht="18" customHeight="1"/>
    <x:row r="1712" ht="18" customHeight="1"/>
    <x:row r="1713" ht="18" customHeight="1"/>
    <x:row r="1714" ht="18" customHeight="1"/>
    <x:row r="1715" ht="18" customHeight="1"/>
    <x:row r="1716" ht="18" customHeight="1"/>
    <x:row r="1717" ht="18" customHeight="1"/>
    <x:row r="1718" ht="18" customHeight="1"/>
    <x:row r="1719" ht="18" customHeight="1"/>
    <x:row r="1720" ht="18" customHeight="1"/>
    <x:row r="1721" ht="18" customHeight="1"/>
    <x:row r="1722" ht="18" customHeight="1"/>
    <x:row r="1723" ht="18" customHeight="1"/>
    <x:row r="1724" ht="18" customHeight="1"/>
    <x:row r="1725" ht="18" customHeight="1"/>
    <x:row r="1726" ht="18" customHeight="1"/>
    <x:row r="1727" ht="18" customHeight="1"/>
    <x:row r="1728" ht="18" customHeight="1"/>
    <x:row r="1729" ht="18" customHeight="1"/>
    <x:row r="1730" ht="18" customHeight="1"/>
    <x:row r="1731" ht="18" customHeight="1"/>
    <x:row r="1732" ht="18" customHeight="1"/>
    <x:row r="1733" ht="18" customHeight="1"/>
    <x:row r="1734" ht="18" customHeight="1"/>
    <x:row r="1735" ht="18" customHeight="1"/>
    <x:row r="1736" ht="18" customHeight="1"/>
    <x:row r="1737" ht="18" customHeight="1"/>
    <x:row r="1738" ht="18" customHeight="1"/>
    <x:row r="1739" ht="18" customHeight="1"/>
    <x:row r="1740" ht="18" customHeight="1"/>
    <x:row r="1741" ht="18" customHeight="1"/>
    <x:row r="1742" ht="18" customHeight="1"/>
    <x:row r="1743" ht="18" customHeight="1"/>
    <x:row r="1744" ht="18" customHeight="1"/>
    <x:row r="1745" ht="18" customHeight="1"/>
    <x:row r="1746" ht="18" customHeight="1"/>
    <x:row r="1747" ht="18" customHeight="1"/>
    <x:row r="1748" ht="18" customHeight="1"/>
    <x:row r="1749" ht="18" customHeight="1"/>
    <x:row r="1750" ht="18" customHeight="1"/>
    <x:row r="1751" ht="18" customHeight="1"/>
    <x:row r="1752" ht="18" customHeight="1"/>
    <x:row r="1753" ht="18" customHeight="1"/>
    <x:row r="1754" ht="18" customHeight="1"/>
    <x:row r="1755" ht="18" customHeight="1"/>
    <x:row r="1756" ht="18" customHeight="1"/>
    <x:row r="1757" ht="18" customHeight="1"/>
    <x:row r="1758" ht="18" customHeight="1"/>
    <x:row r="1759" ht="18" customHeight="1"/>
    <x:row r="1760" ht="18" customHeight="1"/>
    <x:row r="1761" ht="18" customHeight="1"/>
    <x:row r="1762" ht="18" customHeight="1"/>
    <x:row r="1763" ht="18" customHeight="1"/>
    <x:row r="1764" ht="18" customHeight="1"/>
    <x:row r="1765" ht="18" customHeight="1"/>
    <x:row r="1766" ht="18" customHeight="1"/>
    <x:row r="1767" ht="18" customHeight="1"/>
    <x:row r="1768" ht="18" customHeight="1"/>
    <x:row r="1769" ht="18" customHeight="1"/>
    <x:row r="1770" ht="18" customHeight="1"/>
    <x:row r="1771" ht="18" customHeight="1"/>
    <x:row r="1772" ht="18" customHeight="1"/>
    <x:row r="1773" ht="18" customHeight="1"/>
    <x:row r="1774" ht="18" customHeight="1"/>
    <x:row r="1775" ht="18" customHeight="1"/>
    <x:row r="1776" ht="18" customHeight="1"/>
    <x:row r="1777" ht="18" customHeight="1"/>
    <x:row r="1778" ht="18" customHeight="1"/>
    <x:row r="1779" ht="18" customHeight="1"/>
    <x:row r="1780" ht="18" customHeight="1"/>
    <x:row r="1781" ht="18" customHeight="1"/>
    <x:row r="1782" ht="18" customHeight="1"/>
    <x:row r="1783" ht="18" customHeight="1"/>
    <x:row r="1784" ht="18" customHeight="1"/>
    <x:row r="1785" ht="18" customHeight="1"/>
    <x:row r="1786" ht="18" customHeight="1"/>
    <x:row r="1787" ht="18" customHeight="1"/>
    <x:row r="1788" ht="18" customHeight="1"/>
    <x:row r="1789" ht="18" customHeight="1"/>
    <x:row r="1790" ht="18" customHeight="1"/>
    <x:row r="1791" ht="18" customHeight="1"/>
    <x:row r="1792" ht="18" customHeight="1"/>
    <x:row r="1793" ht="18" customHeight="1"/>
    <x:row r="1794" ht="18" customHeight="1"/>
    <x:row r="1795" ht="18" customHeight="1"/>
    <x:row r="1796" ht="18" customHeight="1"/>
    <x:row r="1797" ht="18" customHeight="1"/>
    <x:row r="1798" ht="18" customHeight="1"/>
    <x:row r="1799" ht="18" customHeight="1"/>
    <x:row r="1800" ht="18" customHeight="1"/>
    <x:row r="1801" ht="18" customHeight="1"/>
    <x:row r="1802" ht="18" customHeight="1"/>
    <x:row r="1803" ht="18" customHeight="1"/>
    <x:row r="1804" ht="18" customHeight="1"/>
    <x:row r="1805" ht="18" customHeight="1"/>
    <x:row r="1806" ht="18" customHeight="1"/>
    <x:row r="1807" ht="18" customHeight="1"/>
    <x:row r="1808" ht="18" customHeight="1"/>
    <x:row r="1809" ht="18" customHeight="1"/>
    <x:row r="1810" ht="18" customHeight="1"/>
    <x:row r="1811" ht="18" customHeight="1"/>
    <x:row r="1812" ht="18" customHeight="1"/>
    <x:row r="1813" ht="18" customHeight="1"/>
    <x:row r="1814" ht="18" customHeight="1"/>
    <x:row r="1815" ht="18" customHeight="1"/>
    <x:row r="1816" ht="18" customHeight="1"/>
    <x:row r="1817" ht="18" customHeight="1"/>
    <x:row r="1818" ht="18" customHeight="1"/>
    <x:row r="1819" ht="18" customHeight="1"/>
    <x:row r="1820" ht="18" customHeight="1"/>
    <x:row r="1821" ht="18" customHeight="1"/>
    <x:row r="1822" ht="18" customHeight="1"/>
    <x:row r="1823" ht="18" customHeight="1"/>
    <x:row r="1824" ht="18" customHeight="1"/>
    <x:row r="1825" ht="18" customHeight="1"/>
    <x:row r="1826" ht="18" customHeight="1"/>
    <x:row r="1827" ht="18" customHeight="1"/>
    <x:row r="1828" ht="18" customHeight="1"/>
    <x:row r="1829" ht="18" customHeight="1"/>
    <x:row r="1830" ht="18" customHeight="1"/>
    <x:row r="1831" ht="18" customHeight="1"/>
    <x:row r="1832" ht="18" customHeight="1"/>
    <x:row r="1833" ht="18" customHeight="1"/>
    <x:row r="1834" ht="18" customHeight="1"/>
    <x:row r="1835" ht="18" customHeight="1"/>
    <x:row r="1836" ht="18" customHeight="1"/>
    <x:row r="1837" ht="18" customHeight="1"/>
    <x:row r="1838" ht="18" customHeight="1"/>
    <x:row r="1839" ht="18" customHeight="1"/>
    <x:row r="1840" ht="18" customHeight="1"/>
    <x:row r="1841" ht="18" customHeight="1"/>
    <x:row r="1842" ht="18" customHeight="1"/>
    <x:row r="1843" ht="18" customHeight="1"/>
    <x:row r="1844" ht="18" customHeight="1"/>
    <x:row r="1845" ht="18" customHeight="1"/>
    <x:row r="1846" ht="18" customHeight="1"/>
    <x:row r="1847" ht="18" customHeight="1"/>
    <x:row r="1848" ht="18" customHeight="1"/>
    <x:row r="1849" ht="18" customHeight="1"/>
    <x:row r="1850" ht="18" customHeight="1"/>
    <x:row r="1851" ht="18" customHeight="1"/>
    <x:row r="1852" ht="18" customHeight="1"/>
    <x:row r="1853" ht="18" customHeight="1"/>
    <x:row r="1854" ht="18" customHeight="1"/>
    <x:row r="1855" ht="18" customHeight="1"/>
    <x:row r="1856" ht="18" customHeight="1"/>
    <x:row r="1857" ht="18" customHeight="1"/>
    <x:row r="1858" ht="18" customHeight="1"/>
    <x:row r="1859" ht="18" customHeight="1"/>
    <x:row r="1860" ht="18" customHeight="1"/>
    <x:row r="1861" ht="18" customHeight="1"/>
    <x:row r="1862" ht="18" customHeight="1"/>
    <x:row r="1863" ht="18" customHeight="1"/>
    <x:row r="1864" ht="18" customHeight="1"/>
    <x:row r="1865" ht="18" customHeight="1"/>
    <x:row r="1866" ht="18" customHeight="1"/>
    <x:row r="1867" ht="18" customHeight="1"/>
    <x:row r="1868" ht="18" customHeight="1"/>
    <x:row r="1869" ht="18" customHeight="1"/>
    <x:row r="1870" ht="18" customHeight="1"/>
    <x:row r="1871" ht="18" customHeight="1"/>
    <x:row r="1872" ht="18" customHeight="1"/>
    <x:row r="1873" ht="18" customHeight="1"/>
    <x:row r="1874" ht="18" customHeight="1"/>
    <x:row r="1875" ht="18" customHeight="1"/>
    <x:row r="1876" ht="18" customHeight="1"/>
    <x:row r="1877" ht="18" customHeight="1"/>
    <x:row r="1878" ht="18" customHeight="1"/>
    <x:row r="1879" ht="18" customHeight="1"/>
    <x:row r="1880" ht="18" customHeight="1"/>
    <x:row r="1881" ht="18" customHeight="1"/>
    <x:row r="1882" ht="18" customHeight="1"/>
    <x:row r="1883" ht="18" customHeight="1"/>
    <x:row r="1884" ht="18" customHeight="1"/>
    <x:row r="1885" ht="18" customHeight="1"/>
    <x:row r="1886" ht="18" customHeight="1"/>
    <x:row r="1887" ht="18" customHeight="1"/>
    <x:row r="1888" ht="18" customHeight="1"/>
    <x:row r="1889" ht="18" customHeight="1"/>
    <x:row r="1890" ht="18" customHeight="1"/>
    <x:row r="1891" ht="18" customHeight="1"/>
    <x:row r="1892" ht="18" customHeight="1"/>
    <x:row r="1893" ht="18" customHeight="1"/>
    <x:row r="1894" ht="18" customHeight="1"/>
    <x:row r="1895" ht="18" customHeight="1"/>
    <x:row r="1896" ht="18" customHeight="1"/>
    <x:row r="1897" ht="18" customHeight="1"/>
    <x:row r="1898" ht="18" customHeight="1"/>
    <x:row r="1899" ht="18" customHeight="1"/>
    <x:row r="1900" ht="18" customHeight="1"/>
    <x:row r="1901" ht="18" customHeight="1"/>
    <x:row r="1902" ht="18" customHeight="1"/>
    <x:row r="1903" ht="18" customHeight="1"/>
    <x:row r="1904" ht="18" customHeight="1"/>
    <x:row r="1905" ht="18" customHeight="1"/>
    <x:row r="1906" ht="18" customHeight="1"/>
    <x:row r="1907" ht="18" customHeight="1"/>
    <x:row r="1908" ht="18" customHeight="1"/>
    <x:row r="1909" ht="18" customHeight="1"/>
    <x:row r="1910" ht="18" customHeight="1"/>
    <x:row r="1911" ht="18" customHeight="1"/>
    <x:row r="1912" ht="18" customHeight="1"/>
    <x:row r="1913" ht="18" customHeight="1"/>
    <x:row r="1914" ht="18" customHeight="1"/>
    <x:row r="1915" ht="18" customHeight="1"/>
    <x:row r="1916" ht="18" customHeight="1"/>
    <x:row r="1917" ht="18" customHeight="1"/>
    <x:row r="1918" ht="18" customHeight="1"/>
    <x:row r="1919" ht="18" customHeight="1"/>
    <x:row r="1920" ht="18" customHeight="1"/>
    <x:row r="1921" ht="18" customHeight="1"/>
    <x:row r="1922" ht="18" customHeight="1"/>
    <x:row r="1923" ht="18" customHeight="1"/>
    <x:row r="1924" ht="18" customHeight="1"/>
    <x:row r="1925" ht="18" customHeight="1"/>
    <x:row r="1926" ht="18" customHeight="1"/>
    <x:row r="1927" ht="18" customHeight="1"/>
    <x:row r="1928" ht="18" customHeight="1"/>
    <x:row r="1929" ht="18" customHeight="1"/>
    <x:row r="1930" ht="18" customHeight="1"/>
    <x:row r="1931" ht="18" customHeight="1"/>
    <x:row r="1932" ht="18" customHeight="1"/>
    <x:row r="1933" ht="18" customHeight="1"/>
    <x:row r="1934" ht="18" customHeight="1"/>
    <x:row r="1935" ht="18" customHeight="1"/>
    <x:row r="1936" ht="18" customHeight="1"/>
    <x:row r="1937" ht="18" customHeight="1"/>
    <x:row r="1938" ht="18" customHeight="1"/>
    <x:row r="1939" ht="18" customHeight="1"/>
    <x:row r="1940" ht="18" customHeight="1"/>
    <x:row r="1941" ht="18" customHeight="1"/>
    <x:row r="1942" ht="18" customHeight="1"/>
    <x:row r="1943" ht="18" customHeight="1"/>
    <x:row r="1944" ht="18" customHeight="1"/>
    <x:row r="1945" ht="18" customHeight="1"/>
    <x:row r="1946" ht="18" customHeight="1"/>
    <x:row r="1947" ht="18" customHeight="1"/>
    <x:row r="1948" ht="18" customHeight="1"/>
    <x:row r="1949" ht="18" customHeight="1"/>
    <x:row r="1950" ht="18" customHeight="1"/>
    <x:row r="1951" ht="18" customHeight="1"/>
    <x:row r="1952" ht="18" customHeight="1"/>
    <x:row r="1953" ht="18" customHeight="1"/>
    <x:row r="1954" ht="18" customHeight="1"/>
    <x:row r="1955" ht="18" customHeight="1"/>
    <x:row r="1956" ht="18" customHeight="1"/>
    <x:row r="1957" ht="18" customHeight="1"/>
    <x:row r="1958" ht="18" customHeight="1"/>
    <x:row r="1959" ht="18" customHeight="1"/>
    <x:row r="1960" ht="18" customHeight="1"/>
    <x:row r="1961" ht="18" customHeight="1"/>
    <x:row r="1962" ht="18" customHeight="1"/>
    <x:row r="1963" ht="18" customHeight="1"/>
    <x:row r="1964" ht="18" customHeight="1"/>
    <x:row r="1965" ht="18" customHeight="1"/>
    <x:row r="1966" ht="18" customHeight="1"/>
    <x:row r="1967" ht="18" customHeight="1"/>
    <x:row r="1968" ht="18" customHeight="1"/>
    <x:row r="1969" ht="18" customHeight="1"/>
    <x:row r="1970" ht="18" customHeight="1"/>
    <x:row r="1971" ht="18" customHeight="1"/>
    <x:row r="1972" ht="18" customHeight="1"/>
    <x:row r="1973" ht="18" customHeight="1"/>
    <x:row r="1974" ht="18" customHeight="1"/>
    <x:row r="1975" ht="18" customHeight="1"/>
    <x:row r="1976" ht="18" customHeight="1"/>
    <x:row r="1977" ht="18" customHeight="1"/>
    <x:row r="1978" ht="18" customHeight="1"/>
    <x:row r="1979" ht="18" customHeight="1"/>
    <x:row r="1980" ht="18" customHeight="1"/>
    <x:row r="1981" ht="18" customHeight="1"/>
    <x:row r="1982" ht="18" customHeight="1"/>
    <x:row r="1983" ht="18" customHeight="1"/>
    <x:row r="1984" ht="18" customHeight="1"/>
    <x:row r="1985" ht="18" customHeight="1"/>
    <x:row r="1986" ht="18" customHeight="1"/>
    <x:row r="1987" ht="18" customHeight="1"/>
    <x:row r="1988" ht="18" customHeight="1"/>
    <x:row r="1989" ht="18" customHeight="1"/>
    <x:row r="1990" ht="18" customHeight="1"/>
    <x:row r="1991" ht="18" customHeight="1"/>
    <x:row r="1992" ht="18" customHeight="1"/>
    <x:row r="1993" ht="18" customHeight="1"/>
    <x:row r="1994" ht="18" customHeight="1"/>
    <x:row r="1995" ht="18" customHeight="1"/>
    <x:row r="1996" ht="18" customHeight="1"/>
    <x:row r="1997" ht="18" customHeight="1"/>
    <x:row r="1998" ht="18" customHeight="1"/>
    <x:row r="1999" ht="18" customHeight="1"/>
    <x:row r="2000" ht="18" customHeight="1"/>
  </x:sheetData>
  <x:mergeCells>
    <x:mergeCell ref="A1:H1"/>
  </x:mergeCells>
  <x:pageMargins left="0.7" right="0.7" top="0.75" bottom="0.75" header="0.3" footer="0.3"/>
  <x:drawing xmlns:r="http://schemas.openxmlformats.org/officeDocument/2006/relationships" r:id="Rdbe457c513084d86"/>
</x:worksheet>
</file>

<file path=xl/worksheets/sheet2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10" hidden="0" customWidth="1"/>
    <x:col min="3" max="3" width="10" hidden="0" customWidth="1"/>
    <x:col min="4" max="4" width="10" hidden="0" customWidth="1"/>
    <x:col min="5" max="5" width="12" hidden="0" customWidth="1"/>
    <x:col min="6" max="6" width="14" hidden="0" customWidth="1"/>
    <x:col min="7" max="7" width="13" hidden="0" customWidth="1"/>
    <x:col min="8" max="8" width="13" hidden="0" customWidth="1"/>
    <x:col min="9" max="9" width="13" hidden="0" customWidth="1"/>
    <x:col min="10" max="10" width="16" hidden="0" customWidth="1"/>
    <x:col min="11" max="11" width="12" hidden="0" customWidth="1"/>
    <x:col min="12" max="12" width="26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</x:cols>
  <x:sheetData>
    <x:row r="1" ht="18" customHeight="1">
      <x:c r="A1" s="60" t="str">
        <x:v>Instance</x:v>
      </x:c>
      <x:c r="B1" s="60" t="str">
        <x:v>n_items</x:v>
      </x:c>
      <x:c r="C1" s="60" t="str">
        <x:v>n_classes</x:v>
      </x:c>
      <x:c r="D1" s="60" t="str">
        <x:v>Capacity</x:v>
      </x:c>
      <x:c r="E1" s="60" t="str">
        <x:v>Conflict Edges</x:v>
      </x:c>
      <x:c r="F1" s="60" t="str">
        <x:v>IG Best Result</x:v>
      </x:c>
      <x:c r="G1" s="60" t="str">
        <x:v>FFD Final Cost</x:v>
      </x:c>
      <x:c r="H1" s="60" t="str">
        <x:v>BFD Final Cost</x:v>
      </x:c>
      <x:c r="I1" s="60" t="str">
        <x:v>WFD Final Cost</x:v>
      </x:c>
      <x:c r="J1" s="60" t="str">
        <x:v>CTP Best Objective</x:v>
      </x:c>
      <x:c r="K1" s="60" t="str">
        <x:v>Best Result</x:v>
      </x:c>
      <x:c r="L1" s="60" t="str">
        <x:v>Best Method(s)</x:v>
      </x:c>
      <x:c r="M1" s="60" t="str">
        <x:v>IG Gap %</x:v>
      </x:c>
      <x:c r="N1" s="60" t="str">
        <x:v>FFD Gap %</x:v>
      </x:c>
      <x:c r="O1" s="60" t="str">
        <x:v>BFD Gap %</x:v>
      </x:c>
      <x:c r="P1" s="60" t="str">
        <x:v>WFD Gap %</x:v>
      </x:c>
      <x:c r="Q1" s="60" t="str">
        <x:v>CTP Gap %</x:v>
      </x:c>
      <x:c r="R1" s="60" t="str">
        <x:v>IG Best Flag</x:v>
      </x:c>
      <x:c r="S1" s="60" t="str">
        <x:v>FFD Best Flag</x:v>
      </x:c>
      <x:c r="T1" s="60" t="str">
        <x:v>BFD Best Flag</x:v>
      </x:c>
      <x:c r="U1" s="60" t="str">
        <x:v>WFD Best Flag</x:v>
      </x:c>
      <x:c r="V1" s="60" t="str">
        <x:v>CTP Best Flag</x:v>
      </x:c>
      <x:c r="W1" s="57"/>
      <x:c r="X1" s="57"/>
      <x:c r="Y1" s="57"/>
      <x:c r="Z1" s="57"/>
    </x:row>
    <x:row r="2" ht="18" customHeight="1">
      <x:c r="A2" t="str">
        <x:v>bpps_d10000n25m10w1500_3000s1000_2000f0_seed0</x:v>
      </x:c>
      <x:c r="B2" s="16" t="n">
        <x:v>25</x:v>
      </x:c>
      <x:c r="C2" s="16" t="n">
        <x:v>10</x:v>
      </x:c>
      <x:c r="D2" s="16" t="n">
        <x:v>10000</x:v>
      </x:c>
      <x:c r="E2" s="16" t="n">
        <x:v>25</x:v>
      </x:c>
      <x:c r="F2" s="12" t="n">
        <x:v>9</x:v>
      </x:c>
      <x:c r="G2" s="12" t="n">
        <x:v>9</x:v>
      </x:c>
      <x:c r="H2" s="12" t="n">
        <x:v>9</x:v>
      </x:c>
      <x:c r="I2" s="12" t="n">
        <x:v>10</x:v>
      </x:c>
      <x:c r="J2" s="12" t="n">
        <x:v>10</x:v>
      </x:c>
      <x:c r="K2" s="12" t="n">
        <x:f>MIN(F2:J2)</x:f>
        <x:v>9</x:v>
      </x:c>
      <x:c r="L2" t="str">
        <x:f>TEXTJOIN(", ",TRUE,IF(F2=K2,"IG",""),IF(G2=K2,"FFD",""),IF(H2=K2,"BFD",""),IF(I2=K2,"WFD",""),IF(J2=K2,"CTP",""))</x:f>
        <x:v>IG, FFD, BFD</x:v>
      </x:c>
      <x:c r="M2" s="14" t="n">
        <x:f>IFERROR((F2-$K2)/$K2,"")</x:f>
        <x:v>0</x:v>
      </x:c>
      <x:c r="N2" s="14" t="n">
        <x:f>IFERROR((G2-$K2)/$K2,"")</x:f>
        <x:v>0</x:v>
      </x:c>
      <x:c r="O2" s="14" t="n">
        <x:f>IFERROR((H2-$K2)/$K2,"")</x:f>
        <x:v>0</x:v>
      </x:c>
      <x:c r="P2" s="14" t="n">
        <x:f>IFERROR((I2-$K2)/$K2,"")</x:f>
        <x:v>0.1111111111111111</x:v>
      </x:c>
      <x:c r="Q2" s="14" t="n">
        <x:f>IFERROR((J2-$K2)/$K2,"")</x:f>
        <x:v>0.1111111111111111</x:v>
      </x:c>
      <x:c r="R2" t="n">
        <x:f>--(F2=$K2)</x:f>
        <x:v>1</x:v>
      </x:c>
      <x:c r="S2" t="n">
        <x:f>--(G2=$K2)</x:f>
        <x:v>1</x:v>
      </x:c>
      <x:c r="T2" t="n">
        <x:f>--(H2=$K2)</x:f>
        <x:v>1</x:v>
      </x:c>
      <x:c r="U2" t="n">
        <x:f>--(I2=$K2)</x:f>
        <x:v>0</x:v>
      </x:c>
      <x:c r="V2" t="n">
        <x:f>--(J2=$K2)</x:f>
        <x:v>0</x:v>
      </x:c>
    </x:row>
    <x:row r="3" ht="18" customHeight="1">
      <x:c r="A3" t="str">
        <x:v>bpps_d10000n25m10w1500_3000s1000_2000f0_seed1</x:v>
      </x:c>
      <x:c r="B3" s="16" t="n">
        <x:v>25</x:v>
      </x:c>
      <x:c r="C3" s="16" t="n">
        <x:v>10</x:v>
      </x:c>
      <x:c r="D3" s="16" t="n">
        <x:v>10000</x:v>
      </x:c>
      <x:c r="E3" s="16" t="n">
        <x:v>23</x:v>
      </x:c>
      <x:c r="F3" s="12" t="n">
        <x:v>9</x:v>
      </x:c>
      <x:c r="G3" s="12" t="n">
        <x:v>10</x:v>
      </x:c>
      <x:c r="H3" s="12" t="n">
        <x:v>10</x:v>
      </x:c>
      <x:c r="I3" s="12" t="n">
        <x:v>10</x:v>
      </x:c>
      <x:c r="J3" s="12" t="n">
        <x:v>11</x:v>
      </x:c>
      <x:c r="K3" s="12" t="n">
        <x:f>MIN(F3:J3)</x:f>
        <x:v>9</x:v>
      </x:c>
      <x:c r="L3" t="str">
        <x:f>TEXTJOIN(", ",TRUE,IF(F3=K3,"IG",""),IF(G3=K3,"FFD",""),IF(H3=K3,"BFD",""),IF(I3=K3,"WFD",""),IF(J3=K3,"CTP",""))</x:f>
        <x:v>IG</x:v>
      </x:c>
      <x:c r="M3" s="14" t="n">
        <x:f>IFERROR((F3-$K3)/$K3,"")</x:f>
        <x:v>0</x:v>
      </x:c>
      <x:c r="N3" s="14" t="n">
        <x:f>IFERROR((G3-$K3)/$K3,"")</x:f>
        <x:v>0.1111111111111111</x:v>
      </x:c>
      <x:c r="O3" s="14" t="n">
        <x:f>IFERROR((H3-$K3)/$K3,"")</x:f>
        <x:v>0.1111111111111111</x:v>
      </x:c>
      <x:c r="P3" s="14" t="n">
        <x:f>IFERROR((I3-$K3)/$K3,"")</x:f>
        <x:v>0.1111111111111111</x:v>
      </x:c>
      <x:c r="Q3" s="14" t="n">
        <x:f>IFERROR((J3-$K3)/$K3,"")</x:f>
        <x:v>0.2222222222222222</x:v>
      </x:c>
      <x:c r="R3" t="n">
        <x:f>--(F3=$K3)</x:f>
        <x:v>1</x:v>
      </x:c>
      <x:c r="S3" t="n">
        <x:f>--(G3=$K3)</x:f>
        <x:v>0</x:v>
      </x:c>
      <x:c r="T3" t="n">
        <x:f>--(H3=$K3)</x:f>
        <x:v>0</x:v>
      </x:c>
      <x:c r="U3" t="n">
        <x:f>--(I3=$K3)</x:f>
        <x:v>0</x:v>
      </x:c>
      <x:c r="V3" t="n">
        <x:f>--(J3=$K3)</x:f>
        <x:v>0</x:v>
      </x:c>
    </x:row>
    <x:row r="4" ht="18" customHeight="1">
      <x:c r="A4" t="str">
        <x:v>bpps_d10000n25m10w1500_3000s1000_2000f1_seed0</x:v>
      </x:c>
      <x:c r="B4" s="16" t="n">
        <x:v>25</x:v>
      </x:c>
      <x:c r="C4" s="16" t="n">
        <x:v>10</x:v>
      </x:c>
      <x:c r="D4" s="16" t="n">
        <x:v>10000</x:v>
      </x:c>
      <x:c r="E4" s="16" t="n">
        <x:v>36</x:v>
      </x:c>
      <x:c r="F4" s="12" t="n">
        <x:v>137</x:v>
      </x:c>
      <x:c r="G4" s="12" t="n">
        <x:v>166</x:v>
      </x:c>
      <x:c r="H4" s="12" t="n">
        <x:v>167</x:v>
      </x:c>
      <x:c r="I4" s="12" t="n">
        <x:v>166</x:v>
      </x:c>
      <x:c r="J4" s="12" t="n">
        <x:v>145</x:v>
      </x:c>
      <x:c r="K4" s="12" t="n">
        <x:f>MIN(F4:J4)</x:f>
        <x:v>137</x:v>
      </x:c>
      <x:c r="L4" t="str">
        <x:f>TEXTJOIN(", ",TRUE,IF(F4=K4,"IG",""),IF(G4=K4,"FFD",""),IF(H4=K4,"BFD",""),IF(I4=K4,"WFD",""),IF(J4=K4,"CTP",""))</x:f>
        <x:v>IG</x:v>
      </x:c>
      <x:c r="M4" s="14" t="n">
        <x:f>IFERROR((F4-$K4)/$K4,"")</x:f>
        <x:v>0</x:v>
      </x:c>
      <x:c r="N4" s="14" t="n">
        <x:f>IFERROR((G4-$K4)/$K4,"")</x:f>
        <x:v>0.2116788321167883</x:v>
      </x:c>
      <x:c r="O4" s="14" t="n">
        <x:f>IFERROR((H4-$K4)/$K4,"")</x:f>
        <x:v>0.21897810218978103</x:v>
      </x:c>
      <x:c r="P4" s="14" t="n">
        <x:f>IFERROR((I4-$K4)/$K4,"")</x:f>
        <x:v>0.2116788321167883</x:v>
      </x:c>
      <x:c r="Q4" s="14" t="n">
        <x:f>IFERROR((J4-$K4)/$K4,"")</x:f>
        <x:v>0.058394160583941604</x:v>
      </x:c>
      <x:c r="R4" t="n">
        <x:f>--(F4=$K4)</x:f>
        <x:v>1</x:v>
      </x:c>
      <x:c r="S4" t="n">
        <x:f>--(G4=$K4)</x:f>
        <x:v>0</x:v>
      </x:c>
      <x:c r="T4" t="n">
        <x:f>--(H4=$K4)</x:f>
        <x:v>0</x:v>
      </x:c>
      <x:c r="U4" t="n">
        <x:f>--(I4=$K4)</x:f>
        <x:v>0</x:v>
      </x:c>
      <x:c r="V4" t="n">
        <x:f>--(J4=$K4)</x:f>
        <x:v>0</x:v>
      </x:c>
    </x:row>
    <x:row r="5" ht="18" customHeight="1">
      <x:c r="A5" t="str">
        <x:v>bpps_d10000n25m10w1500_3000s1000_2000f1_seed1</x:v>
      </x:c>
      <x:c r="B5" s="16" t="n">
        <x:v>25</x:v>
      </x:c>
      <x:c r="C5" s="16" t="n">
        <x:v>10</x:v>
      </x:c>
      <x:c r="D5" s="16" t="n">
        <x:v>10000</x:v>
      </x:c>
      <x:c r="E5" s="16" t="n">
        <x:v>37</x:v>
      </x:c>
      <x:c r="F5" s="12" t="n">
        <x:v>138</x:v>
      </x:c>
      <x:c r="G5" s="12" t="n">
        <x:v>180</x:v>
      </x:c>
      <x:c r="H5" s="12" t="n">
        <x:v>180</x:v>
      </x:c>
      <x:c r="I5" s="12" t="n">
        <x:v>179</x:v>
      </x:c>
      <x:c r="J5" s="12" t="n">
        <x:v>151</x:v>
      </x:c>
      <x:c r="K5" s="12" t="n">
        <x:f>MIN(F5:J5)</x:f>
        <x:v>138</x:v>
      </x:c>
      <x:c r="L5" t="str">
        <x:f>TEXTJOIN(", ",TRUE,IF(F5=K5,"IG",""),IF(G5=K5,"FFD",""),IF(H5=K5,"BFD",""),IF(I5=K5,"WFD",""),IF(J5=K5,"CTP",""))</x:f>
        <x:v>IG</x:v>
      </x:c>
      <x:c r="M5" s="14" t="n">
        <x:f>IFERROR((F5-$K5)/$K5,"")</x:f>
        <x:v>0</x:v>
      </x:c>
      <x:c r="N5" s="14" t="n">
        <x:f>IFERROR((G5-$K5)/$K5,"")</x:f>
        <x:v>0.30434782608695654</x:v>
      </x:c>
      <x:c r="O5" s="14" t="n">
        <x:f>IFERROR((H5-$K5)/$K5,"")</x:f>
        <x:v>0.30434782608695654</x:v>
      </x:c>
      <x:c r="P5" s="14" t="n">
        <x:f>IFERROR((I5-$K5)/$K5,"")</x:f>
        <x:v>0.2971014492753623</x:v>
      </x:c>
      <x:c r="Q5" s="14" t="n">
        <x:f>IFERROR((J5-$K5)/$K5,"")</x:f>
        <x:v>0.09420289855072464</x:v>
      </x:c>
      <x:c r="R5" t="n">
        <x:f>--(F5=$K5)</x:f>
        <x:v>1</x:v>
      </x:c>
      <x:c r="S5" t="n">
        <x:f>--(G5=$K5)</x:f>
        <x:v>0</x:v>
      </x:c>
      <x:c r="T5" t="n">
        <x:f>--(H5=$K5)</x:f>
        <x:v>0</x:v>
      </x:c>
      <x:c r="U5" t="n">
        <x:f>--(I5=$K5)</x:f>
        <x:v>0</x:v>
      </x:c>
      <x:c r="V5" t="n">
        <x:f>--(J5=$K5)</x:f>
        <x:v>0</x:v>
      </x:c>
    </x:row>
    <x:row r="6" ht="18" customHeight="1">
      <x:c r="A6" t="str">
        <x:v>bpps_d10000n25m10w1500_3000s100_1000f0_seed0</x:v>
      </x:c>
      <x:c r="B6" s="16" t="n">
        <x:v>25</x:v>
      </x:c>
      <x:c r="C6" s="16" t="n">
        <x:v>10</x:v>
      </x:c>
      <x:c r="D6" s="16" t="n">
        <x:v>10000</x:v>
      </x:c>
      <x:c r="E6" s="16" t="n">
        <x:v>32</x:v>
      </x:c>
      <x:c r="F6" s="12" t="n">
        <x:v>7</x:v>
      </x:c>
      <x:c r="G6" s="12" t="n">
        <x:v>7</x:v>
      </x:c>
      <x:c r="H6" s="12" t="n">
        <x:v>7</x:v>
      </x:c>
      <x:c r="I6" s="12" t="n">
        <x:v>7</x:v>
      </x:c>
      <x:c r="J6" s="12" t="n">
        <x:v>7</x:v>
      </x:c>
      <x:c r="K6" s="12" t="n">
        <x:f>MIN(F6:J6)</x:f>
        <x:v>7</x:v>
      </x:c>
      <x:c r="L6" t="str">
        <x:f>TEXTJOIN(", ",TRUE,IF(F6=K6,"IG",""),IF(G6=K6,"FFD",""),IF(H6=K6,"BFD",""),IF(I6=K6,"WFD",""),IF(J6=K6,"CTP",""))</x:f>
        <x:v>IG, FFD, BFD, WFD, CTP</x:v>
      </x:c>
      <x:c r="M6" s="14" t="n">
        <x:f>IFERROR((F6-$K6)/$K6,"")</x:f>
        <x:v>0</x:v>
      </x:c>
      <x:c r="N6" s="14" t="n">
        <x:f>IFERROR((G6-$K6)/$K6,"")</x:f>
        <x:v>0</x:v>
      </x:c>
      <x:c r="O6" s="14" t="n">
        <x:f>IFERROR((H6-$K6)/$K6,"")</x:f>
        <x:v>0</x:v>
      </x:c>
      <x:c r="P6" s="14" t="n">
        <x:f>IFERROR((I6-$K6)/$K6,"")</x:f>
        <x:v>0</x:v>
      </x:c>
      <x:c r="Q6" s="14" t="n">
        <x:f>IFERROR((J6-$K6)/$K6,"")</x:f>
        <x:v>0</x:v>
      </x:c>
      <x:c r="R6" t="n">
        <x:f>--(F6=$K6)</x:f>
        <x:v>1</x:v>
      </x:c>
      <x:c r="S6" t="n">
        <x:f>--(G6=$K6)</x:f>
        <x:v>1</x:v>
      </x:c>
      <x:c r="T6" t="n">
        <x:f>--(H6=$K6)</x:f>
        <x:v>1</x:v>
      </x:c>
      <x:c r="U6" t="n">
        <x:f>--(I6=$K6)</x:f>
        <x:v>1</x:v>
      </x:c>
      <x:c r="V6" t="n">
        <x:f>--(J6=$K6)</x:f>
        <x:v>1</x:v>
      </x:c>
    </x:row>
    <x:row r="7" ht="18" customHeight="1">
      <x:c r="A7" t="str">
        <x:v>bpps_d10000n25m10w1500_3000s100_1000f0_seed1</x:v>
      </x:c>
      <x:c r="B7" s="16" t="n">
        <x:v>25</x:v>
      </x:c>
      <x:c r="C7" s="16" t="n">
        <x:v>10</x:v>
      </x:c>
      <x:c r="D7" s="16" t="n">
        <x:v>10000</x:v>
      </x:c>
      <x:c r="E7" s="16" t="n">
        <x:v>33</x:v>
      </x:c>
      <x:c r="F7" s="12" t="n">
        <x:v>8</x:v>
      </x:c>
      <x:c r="G7" s="12" t="n">
        <x:v>8</x:v>
      </x:c>
      <x:c r="H7" s="12" t="n">
        <x:v>8</x:v>
      </x:c>
      <x:c r="I7" s="12" t="n">
        <x:v>8</x:v>
      </x:c>
      <x:c r="J7" s="12" t="n">
        <x:v>8</x:v>
      </x:c>
      <x:c r="K7" s="12" t="n">
        <x:f>MIN(F7:J7)</x:f>
        <x:v>8</x:v>
      </x:c>
      <x:c r="L7" t="str">
        <x:f>TEXTJOIN(", ",TRUE,IF(F7=K7,"IG",""),IF(G7=K7,"FFD",""),IF(H7=K7,"BFD",""),IF(I7=K7,"WFD",""),IF(J7=K7,"CTP",""))</x:f>
        <x:v>IG, FFD, BFD, WFD, CTP</x:v>
      </x:c>
      <x:c r="M7" s="14" t="n">
        <x:f>IFERROR((F7-$K7)/$K7,"")</x:f>
        <x:v>0</x:v>
      </x:c>
      <x:c r="N7" s="14" t="n">
        <x:f>IFERROR((G7-$K7)/$K7,"")</x:f>
        <x:v>0</x:v>
      </x:c>
      <x:c r="O7" s="14" t="n">
        <x:f>IFERROR((H7-$K7)/$K7,"")</x:f>
        <x:v>0</x:v>
      </x:c>
      <x:c r="P7" s="14" t="n">
        <x:f>IFERROR((I7-$K7)/$K7,"")</x:f>
        <x:v>0</x:v>
      </x:c>
      <x:c r="Q7" s="14" t="n">
        <x:f>IFERROR((J7-$K7)/$K7,"")</x:f>
        <x:v>0</x:v>
      </x:c>
      <x:c r="R7" t="n">
        <x:f>--(F7=$K7)</x:f>
        <x:v>1</x:v>
      </x:c>
      <x:c r="S7" t="n">
        <x:f>--(G7=$K7)</x:f>
        <x:v>1</x:v>
      </x:c>
      <x:c r="T7" t="n">
        <x:f>--(H7=$K7)</x:f>
        <x:v>1</x:v>
      </x:c>
      <x:c r="U7" t="n">
        <x:f>--(I7=$K7)</x:f>
        <x:v>1</x:v>
      </x:c>
      <x:c r="V7" t="n">
        <x:f>--(J7=$K7)</x:f>
        <x:v>1</x:v>
      </x:c>
    </x:row>
    <x:row r="8" ht="18" customHeight="1">
      <x:c r="A8" t="str">
        <x:v>bpps_d10000n25m10w1500_3000s100_1000f1_seed0</x:v>
      </x:c>
      <x:c r="B8" s="16" t="n">
        <x:v>25</x:v>
      </x:c>
      <x:c r="C8" s="16" t="n">
        <x:v>10</x:v>
      </x:c>
      <x:c r="D8" s="16" t="n">
        <x:v>10000</x:v>
      </x:c>
      <x:c r="E8" s="16" t="n">
        <x:v>23</x:v>
      </x:c>
      <x:c r="F8" s="12" t="n">
        <x:v>111</x:v>
      </x:c>
      <x:c r="G8" s="12" t="n">
        <x:v>157</x:v>
      </x:c>
      <x:c r="H8" s="12" t="n">
        <x:v>157</x:v>
      </x:c>
      <x:c r="I8" s="12" t="n">
        <x:v>163</x:v>
      </x:c>
      <x:c r="J8" s="12" t="n">
        <x:v>109</x:v>
      </x:c>
      <x:c r="K8" s="12" t="n">
        <x:f>MIN(F8:J8)</x:f>
        <x:v>109</x:v>
      </x:c>
      <x:c r="L8" t="str">
        <x:f>TEXTJOIN(", ",TRUE,IF(F8=K8,"IG",""),IF(G8=K8,"FFD",""),IF(H8=K8,"BFD",""),IF(I8=K8,"WFD",""),IF(J8=K8,"CTP",""))</x:f>
        <x:v>CTP</x:v>
      </x:c>
      <x:c r="M8" s="14" t="n">
        <x:f>IFERROR((F8-$K8)/$K8,"")</x:f>
        <x:v>0.01834862385321101</x:v>
      </x:c>
      <x:c r="N8" s="14" t="n">
        <x:f>IFERROR((G8-$K8)/$K8,"")</x:f>
        <x:v>0.44036697247706424</x:v>
      </x:c>
      <x:c r="O8" s="14" t="n">
        <x:f>IFERROR((H8-$K8)/$K8,"")</x:f>
        <x:v>0.44036697247706424</x:v>
      </x:c>
      <x:c r="P8" s="14" t="n">
        <x:f>IFERROR((I8-$K8)/$K8,"")</x:f>
        <x:v>0.4954128440366973</x:v>
      </x:c>
      <x:c r="Q8" s="14" t="n">
        <x:f>IFERROR((J8-$K8)/$K8,"")</x:f>
        <x:v>0</x:v>
      </x:c>
      <x:c r="R8" t="n">
        <x:f>--(F8=$K8)</x:f>
        <x:v>0</x:v>
      </x:c>
      <x:c r="S8" t="n">
        <x:f>--(G8=$K8)</x:f>
        <x:v>0</x:v>
      </x:c>
      <x:c r="T8" t="n">
        <x:f>--(H8=$K8)</x:f>
        <x:v>0</x:v>
      </x:c>
      <x:c r="U8" t="n">
        <x:f>--(I8=$K8)</x:f>
        <x:v>0</x:v>
      </x:c>
      <x:c r="V8" t="n">
        <x:f>--(J8=$K8)</x:f>
        <x:v>1</x:v>
      </x:c>
    </x:row>
    <x:row r="9" ht="18" customHeight="1">
      <x:c r="A9" t="str">
        <x:v>bpps_d10000n25m10w1500_3000s100_1000f1_seed1</x:v>
      </x:c>
      <x:c r="B9" s="16" t="n">
        <x:v>25</x:v>
      </x:c>
      <x:c r="C9" s="16" t="n">
        <x:v>10</x:v>
      </x:c>
      <x:c r="D9" s="16" t="n">
        <x:v>10000</x:v>
      </x:c>
      <x:c r="E9" s="16" t="n">
        <x:v>25</x:v>
      </x:c>
      <x:c r="F9" s="12" t="n">
        <x:v>124</x:v>
      </x:c>
      <x:c r="G9" s="12" t="n">
        <x:v>150</x:v>
      </x:c>
      <x:c r="H9" s="12" t="n">
        <x:v>150</x:v>
      </x:c>
      <x:c r="I9" s="12" t="n">
        <x:v>158</x:v>
      </x:c>
      <x:c r="J9" s="12" t="n">
        <x:v>124</x:v>
      </x:c>
      <x:c r="K9" s="12" t="n">
        <x:f>MIN(F9:J9)</x:f>
        <x:v>124</x:v>
      </x:c>
      <x:c r="L9" t="str">
        <x:f>TEXTJOIN(", ",TRUE,IF(F9=K9,"IG",""),IF(G9=K9,"FFD",""),IF(H9=K9,"BFD",""),IF(I9=K9,"WFD",""),IF(J9=K9,"CTP",""))</x:f>
        <x:v>IG, CTP</x:v>
      </x:c>
      <x:c r="M9" s="14" t="n">
        <x:f>IFERROR((F9-$K9)/$K9,"")</x:f>
        <x:v>0</x:v>
      </x:c>
      <x:c r="N9" s="14" t="n">
        <x:f>IFERROR((G9-$K9)/$K9,"")</x:f>
        <x:v>0.20967741935483872</x:v>
      </x:c>
      <x:c r="O9" s="14" t="n">
        <x:f>IFERROR((H9-$K9)/$K9,"")</x:f>
        <x:v>0.20967741935483872</x:v>
      </x:c>
      <x:c r="P9" s="14" t="n">
        <x:f>IFERROR((I9-$K9)/$K9,"")</x:f>
        <x:v>0.27419354838709675</x:v>
      </x:c>
      <x:c r="Q9" s="14" t="n">
        <x:f>IFERROR((J9-$K9)/$K9,"")</x:f>
        <x:v>0</x:v>
      </x:c>
      <x:c r="R9" t="n">
        <x:f>--(F9=$K9)</x:f>
        <x:v>1</x:v>
      </x:c>
      <x:c r="S9" t="n">
        <x:f>--(G9=$K9)</x:f>
        <x:v>0</x:v>
      </x:c>
      <x:c r="T9" t="n">
        <x:f>--(H9=$K9)</x:f>
        <x:v>0</x:v>
      </x:c>
      <x:c r="U9" t="n">
        <x:f>--(I9=$K9)</x:f>
        <x:v>0</x:v>
      </x:c>
      <x:c r="V9" t="n">
        <x:f>--(J9=$K9)</x:f>
        <x:v>1</x:v>
      </x:c>
    </x:row>
    <x:row r="10" ht="18" customHeight="1">
      <x:c r="A10" t="str">
        <x:v>bpps_d10000n25m10w500_1500s1000_2000f0_seed0</x:v>
      </x:c>
      <x:c r="B10" s="16" t="n">
        <x:v>25</x:v>
      </x:c>
      <x:c r="C10" s="16" t="n">
        <x:v>10</x:v>
      </x:c>
      <x:c r="D10" s="16" t="n">
        <x:v>10000</x:v>
      </x:c>
      <x:c r="E10" s="16" t="n">
        <x:v>23</x:v>
      </x:c>
      <x:c r="F10" s="12" t="n">
        <x:v>5</x:v>
      </x:c>
      <x:c r="G10" s="12" t="n">
        <x:v>5</x:v>
      </x:c>
      <x:c r="H10" s="12" t="n">
        <x:v>6</x:v>
      </x:c>
      <x:c r="I10" s="12" t="n">
        <x:v>6</x:v>
      </x:c>
      <x:c r="J10" s="12" t="n">
        <x:v>5</x:v>
      </x:c>
      <x:c r="K10" s="12" t="n">
        <x:f>MIN(F10:J10)</x:f>
        <x:v>5</x:v>
      </x:c>
      <x:c r="L10" t="str">
        <x:f>TEXTJOIN(", ",TRUE,IF(F10=K10,"IG",""),IF(G10=K10,"FFD",""),IF(H10=K10,"BFD",""),IF(I10=K10,"WFD",""),IF(J10=K10,"CTP",""))</x:f>
        <x:v>IG, FFD, CTP</x:v>
      </x:c>
      <x:c r="M10" s="14" t="n">
        <x:f>IFERROR((F10-$K10)/$K10,"")</x:f>
        <x:v>0</x:v>
      </x:c>
      <x:c r="N10" s="14" t="n">
        <x:f>IFERROR((G10-$K10)/$K10,"")</x:f>
        <x:v>0</x:v>
      </x:c>
      <x:c r="O10" s="14" t="n">
        <x:f>IFERROR((H10-$K10)/$K10,"")</x:f>
        <x:v>0.2</x:v>
      </x:c>
      <x:c r="P10" s="14" t="n">
        <x:f>IFERROR((I10-$K10)/$K10,"")</x:f>
        <x:v>0.2</x:v>
      </x:c>
      <x:c r="Q10" s="14" t="n">
        <x:f>IFERROR((J10-$K10)/$K10,"")</x:f>
        <x:v>0</x:v>
      </x:c>
      <x:c r="R10" t="n">
        <x:f>--(F10=$K10)</x:f>
        <x:v>1</x:v>
      </x:c>
      <x:c r="S10" t="n">
        <x:f>--(G10=$K10)</x:f>
        <x:v>1</x:v>
      </x:c>
      <x:c r="T10" t="n">
        <x:f>--(H10=$K10)</x:f>
        <x:v>0</x:v>
      </x:c>
      <x:c r="U10" t="n">
        <x:f>--(I10=$K10)</x:f>
        <x:v>0</x:v>
      </x:c>
      <x:c r="V10" t="n">
        <x:f>--(J10=$K10)</x:f>
        <x:v>1</x:v>
      </x:c>
    </x:row>
    <x:row r="11" ht="18" customHeight="1">
      <x:c r="A11" t="str">
        <x:v>bpps_d10000n25m10w500_1500s1000_2000f0_seed1</x:v>
      </x:c>
      <x:c r="B11" s="16" t="n">
        <x:v>25</x:v>
      </x:c>
      <x:c r="C11" s="16" t="n">
        <x:v>10</x:v>
      </x:c>
      <x:c r="D11" s="16" t="n">
        <x:v>10000</x:v>
      </x:c>
      <x:c r="E11" s="16" t="n">
        <x:v>33</x:v>
      </x:c>
      <x:c r="F11" s="12" t="n">
        <x:v>6</x:v>
      </x:c>
      <x:c r="G11" s="12" t="n">
        <x:v>6</x:v>
      </x:c>
      <x:c r="H11" s="12" t="n">
        <x:v>6</x:v>
      </x:c>
      <x:c r="I11" s="12" t="n">
        <x:v>6</x:v>
      </x:c>
      <x:c r="J11" s="12" t="n">
        <x:v>6</x:v>
      </x:c>
      <x:c r="K11" s="12" t="n">
        <x:f>MIN(F11:J11)</x:f>
        <x:v>6</x:v>
      </x:c>
      <x:c r="L11" t="str">
        <x:f>TEXTJOIN(", ",TRUE,IF(F11=K11,"IG",""),IF(G11=K11,"FFD",""),IF(H11=K11,"BFD",""),IF(I11=K11,"WFD",""),IF(J11=K11,"CTP",""))</x:f>
        <x:v>IG, FFD, BFD, WFD, CTP</x:v>
      </x:c>
      <x:c r="M11" s="14" t="n">
        <x:f>IFERROR((F11-$K11)/$K11,"")</x:f>
        <x:v>0</x:v>
      </x:c>
      <x:c r="N11" s="14" t="n">
        <x:f>IFERROR((G11-$K11)/$K11,"")</x:f>
        <x:v>0</x:v>
      </x:c>
      <x:c r="O11" s="14" t="n">
        <x:f>IFERROR((H11-$K11)/$K11,"")</x:f>
        <x:v>0</x:v>
      </x:c>
      <x:c r="P11" s="14" t="n">
        <x:f>IFERROR((I11-$K11)/$K11,"")</x:f>
        <x:v>0</x:v>
      </x:c>
      <x:c r="Q11" s="14" t="n">
        <x:f>IFERROR((J11-$K11)/$K11,"")</x:f>
        <x:v>0</x:v>
      </x:c>
      <x:c r="R11" t="n">
        <x:f>--(F11=$K11)</x:f>
        <x:v>1</x:v>
      </x:c>
      <x:c r="S11" t="n">
        <x:f>--(G11=$K11)</x:f>
        <x:v>1</x:v>
      </x:c>
      <x:c r="T11" t="n">
        <x:f>--(H11=$K11)</x:f>
        <x:v>1</x:v>
      </x:c>
      <x:c r="U11" t="n">
        <x:f>--(I11=$K11)</x:f>
        <x:v>1</x:v>
      </x:c>
      <x:c r="V11" t="n">
        <x:f>--(J11=$K11)</x:f>
        <x:v>1</x:v>
      </x:c>
    </x:row>
    <x:row r="12" ht="18" customHeight="1">
      <x:c r="A12" t="str">
        <x:v>bpps_d10000n25m10w500_1500s1000_2000f1_seed0</x:v>
      </x:c>
      <x:c r="B12" s="16" t="n">
        <x:v>25</x:v>
      </x:c>
      <x:c r="C12" s="16" t="n">
        <x:v>10</x:v>
      </x:c>
      <x:c r="D12" s="16" t="n">
        <x:v>10000</x:v>
      </x:c>
      <x:c r="E12" s="16" t="n">
        <x:v>31</x:v>
      </x:c>
      <x:c r="F12" s="12" t="n">
        <x:v>83</x:v>
      </x:c>
      <x:c r="G12" s="12" t="n">
        <x:v>94</x:v>
      </x:c>
      <x:c r="H12" s="12" t="n">
        <x:v>96</x:v>
      </x:c>
      <x:c r="I12" s="12" t="n">
        <x:v>110</x:v>
      </x:c>
      <x:c r="J12" s="12" t="n">
        <x:v>83</x:v>
      </x:c>
      <x:c r="K12" s="12" t="n">
        <x:f>MIN(F12:J12)</x:f>
        <x:v>83</x:v>
      </x:c>
      <x:c r="L12" t="str">
        <x:f>TEXTJOIN(", ",TRUE,IF(F12=K12,"IG",""),IF(G12=K12,"FFD",""),IF(H12=K12,"BFD",""),IF(I12=K12,"WFD",""),IF(J12=K12,"CTP",""))</x:f>
        <x:v>IG, CTP</x:v>
      </x:c>
      <x:c r="M12" s="14" t="n">
        <x:f>IFERROR((F12-$K12)/$K12,"")</x:f>
        <x:v>0</x:v>
      </x:c>
      <x:c r="N12" s="14" t="n">
        <x:f>IFERROR((G12-$K12)/$K12,"")</x:f>
        <x:v>0.13253012048192772</x:v>
      </x:c>
      <x:c r="O12" s="14" t="n">
        <x:f>IFERROR((H12-$K12)/$K12,"")</x:f>
        <x:v>0.1566265060240964</x:v>
      </x:c>
      <x:c r="P12" s="14" t="n">
        <x:f>IFERROR((I12-$K12)/$K12,"")</x:f>
        <x:v>0.3253012048192771</x:v>
      </x:c>
      <x:c r="Q12" s="14" t="n">
        <x:f>IFERROR((J12-$K12)/$K12,"")</x:f>
        <x:v>0</x:v>
      </x:c>
      <x:c r="R12" t="n">
        <x:f>--(F12=$K12)</x:f>
        <x:v>1</x:v>
      </x:c>
      <x:c r="S12" t="n">
        <x:f>--(G12=$K12)</x:f>
        <x:v>0</x:v>
      </x:c>
      <x:c r="T12" t="n">
        <x:f>--(H12=$K12)</x:f>
        <x:v>0</x:v>
      </x:c>
      <x:c r="U12" t="n">
        <x:f>--(I12=$K12)</x:f>
        <x:v>0</x:v>
      </x:c>
      <x:c r="V12" t="n">
        <x:f>--(J12=$K12)</x:f>
        <x:v>1</x:v>
      </x:c>
    </x:row>
    <x:row r="13" ht="18" customHeight="1">
      <x:c r="A13" t="str">
        <x:v>bpps_d10000n25m10w500_1500s1000_2000f1_seed1</x:v>
      </x:c>
      <x:c r="B13" s="16" t="n">
        <x:v>25</x:v>
      </x:c>
      <x:c r="C13" s="16" t="n">
        <x:v>10</x:v>
      </x:c>
      <x:c r="D13" s="16" t="n">
        <x:v>10000</x:v>
      </x:c>
      <x:c r="E13" s="16" t="n">
        <x:v>38</x:v>
      </x:c>
      <x:c r="F13" s="12" t="n">
        <x:v>86</x:v>
      </x:c>
      <x:c r="G13" s="12" t="n">
        <x:v>114</x:v>
      </x:c>
      <x:c r="H13" s="12" t="n">
        <x:v>110</x:v>
      </x:c>
      <x:c r="I13" s="12" t="n">
        <x:v>109</x:v>
      </x:c>
      <x:c r="J13" s="12" t="n">
        <x:v>96</x:v>
      </x:c>
      <x:c r="K13" s="12" t="n">
        <x:f>MIN(F13:J13)</x:f>
        <x:v>86</x:v>
      </x:c>
      <x:c r="L13" t="str">
        <x:f>TEXTJOIN(", ",TRUE,IF(F13=K13,"IG",""),IF(G13=K13,"FFD",""),IF(H13=K13,"BFD",""),IF(I13=K13,"WFD",""),IF(J13=K13,"CTP",""))</x:f>
        <x:v>IG</x:v>
      </x:c>
      <x:c r="M13" s="14" t="n">
        <x:f>IFERROR((F13-$K13)/$K13,"")</x:f>
        <x:v>0</x:v>
      </x:c>
      <x:c r="N13" s="14" t="n">
        <x:f>IFERROR((G13-$K13)/$K13,"")</x:f>
        <x:v>0.32558139534883723</x:v>
      </x:c>
      <x:c r="O13" s="14" t="n">
        <x:f>IFERROR((H13-$K13)/$K13,"")</x:f>
        <x:v>0.27906976744186046</x:v>
      </x:c>
      <x:c r="P13" s="14" t="n">
        <x:f>IFERROR((I13-$K13)/$K13,"")</x:f>
        <x:v>0.26744186046511625</x:v>
      </x:c>
      <x:c r="Q13" s="14" t="n">
        <x:f>IFERROR((J13-$K13)/$K13,"")</x:f>
        <x:v>0.11627906976744186</x:v>
      </x:c>
      <x:c r="R13" t="n">
        <x:f>--(F13=$K13)</x:f>
        <x:v>1</x:v>
      </x:c>
      <x:c r="S13" t="n">
        <x:f>--(G13=$K13)</x:f>
        <x:v>0</x:v>
      </x:c>
      <x:c r="T13" t="n">
        <x:f>--(H13=$K13)</x:f>
        <x:v>0</x:v>
      </x:c>
      <x:c r="U13" t="n">
        <x:f>--(I13=$K13)</x:f>
        <x:v>0</x:v>
      </x:c>
      <x:c r="V13" t="n">
        <x:f>--(J13=$K13)</x:f>
        <x:v>0</x:v>
      </x:c>
    </x:row>
    <x:row r="14" ht="18" customHeight="1">
      <x:c r="A14" t="str">
        <x:v>bpps_d10000n25m10w500_1500s100_1000f0_seed0</x:v>
      </x:c>
      <x:c r="B14" s="16" t="n">
        <x:v>25</x:v>
      </x:c>
      <x:c r="C14" s="16" t="n">
        <x:v>10</x:v>
      </x:c>
      <x:c r="D14" s="16" t="n">
        <x:v>10000</x:v>
      </x:c>
      <x:c r="E14" s="16" t="n">
        <x:v>26</x:v>
      </x:c>
      <x:c r="F14" s="12" t="n">
        <x:v>4</x:v>
      </x:c>
      <x:c r="G14" s="12" t="n">
        <x:v>4</x:v>
      </x:c>
      <x:c r="H14" s="12" t="n">
        <x:v>4</x:v>
      </x:c>
      <x:c r="I14" s="12" t="n">
        <x:v>4</x:v>
      </x:c>
      <x:c r="J14" s="12" t="n">
        <x:v>5</x:v>
      </x:c>
      <x:c r="K14" s="12" t="n">
        <x:f>MIN(F14:J14)</x:f>
        <x:v>4</x:v>
      </x:c>
      <x:c r="L14" t="str">
        <x:f>TEXTJOIN(", ",TRUE,IF(F14=K14,"IG",""),IF(G14=K14,"FFD",""),IF(H14=K14,"BFD",""),IF(I14=K14,"WFD",""),IF(J14=K14,"CTP",""))</x:f>
        <x:v>IG, FFD, BFD, WFD</x:v>
      </x:c>
      <x:c r="M14" s="14" t="n">
        <x:f>IFERROR((F14-$K14)/$K14,"")</x:f>
        <x:v>0</x:v>
      </x:c>
      <x:c r="N14" s="14" t="n">
        <x:f>IFERROR((G14-$K14)/$K14,"")</x:f>
        <x:v>0</x:v>
      </x:c>
      <x:c r="O14" s="14" t="n">
        <x:f>IFERROR((H14-$K14)/$K14,"")</x:f>
        <x:v>0</x:v>
      </x:c>
      <x:c r="P14" s="14" t="n">
        <x:f>IFERROR((I14-$K14)/$K14,"")</x:f>
        <x:v>0</x:v>
      </x:c>
      <x:c r="Q14" s="14" t="n">
        <x:f>IFERROR((J14-$K14)/$K14,"")</x:f>
        <x:v>0.25</x:v>
      </x:c>
      <x:c r="R14" t="n">
        <x:f>--(F14=$K14)</x:f>
        <x:v>1</x:v>
      </x:c>
      <x:c r="S14" t="n">
        <x:f>--(G14=$K14)</x:f>
        <x:v>1</x:v>
      </x:c>
      <x:c r="T14" t="n">
        <x:f>--(H14=$K14)</x:f>
        <x:v>1</x:v>
      </x:c>
      <x:c r="U14" t="n">
        <x:f>--(I14=$K14)</x:f>
        <x:v>1</x:v>
      </x:c>
      <x:c r="V14" t="n">
        <x:f>--(J14=$K14)</x:f>
        <x:v>0</x:v>
      </x:c>
    </x:row>
    <x:row r="15" ht="18" customHeight="1">
      <x:c r="A15" t="str">
        <x:v>bpps_d10000n25m10w500_1500s100_1000f0_seed1</x:v>
      </x:c>
      <x:c r="B15" s="16" t="n">
        <x:v>25</x:v>
      </x:c>
      <x:c r="C15" s="16" t="n">
        <x:v>10</x:v>
      </x:c>
      <x:c r="D15" s="16" t="n">
        <x:v>10000</x:v>
      </x:c>
      <x:c r="E15" s="16" t="n">
        <x:v>36</x:v>
      </x:c>
      <x:c r="F15" s="12" t="n">
        <x:v>4</x:v>
      </x:c>
      <x:c r="G15" s="12" t="n">
        <x:v>4</x:v>
      </x:c>
      <x:c r="H15" s="12" t="n">
        <x:v>4</x:v>
      </x:c>
      <x:c r="I15" s="12" t="n">
        <x:v>4</x:v>
      </x:c>
      <x:c r="J15" s="12" t="n">
        <x:v>5</x:v>
      </x:c>
      <x:c r="K15" s="12" t="n">
        <x:f>MIN(F15:J15)</x:f>
        <x:v>4</x:v>
      </x:c>
      <x:c r="L15" t="str">
        <x:f>TEXTJOIN(", ",TRUE,IF(F15=K15,"IG",""),IF(G15=K15,"FFD",""),IF(H15=K15,"BFD",""),IF(I15=K15,"WFD",""),IF(J15=K15,"CTP",""))</x:f>
        <x:v>IG, FFD, BFD, WFD</x:v>
      </x:c>
      <x:c r="M15" s="14" t="n">
        <x:f>IFERROR((F15-$K15)/$K15,"")</x:f>
        <x:v>0</x:v>
      </x:c>
      <x:c r="N15" s="14" t="n">
        <x:f>IFERROR((G15-$K15)/$K15,"")</x:f>
        <x:v>0</x:v>
      </x:c>
      <x:c r="O15" s="14" t="n">
        <x:f>IFERROR((H15-$K15)/$K15,"")</x:f>
        <x:v>0</x:v>
      </x:c>
      <x:c r="P15" s="14" t="n">
        <x:f>IFERROR((I15-$K15)/$K15,"")</x:f>
        <x:v>0</x:v>
      </x:c>
      <x:c r="Q15" s="14" t="n">
        <x:f>IFERROR((J15-$K15)/$K15,"")</x:f>
        <x:v>0.25</x:v>
      </x:c>
      <x:c r="R15" t="n">
        <x:f>--(F15=$K15)</x:f>
        <x:v>1</x:v>
      </x:c>
      <x:c r="S15" t="n">
        <x:f>--(G15=$K15)</x:f>
        <x:v>1</x:v>
      </x:c>
      <x:c r="T15" t="n">
        <x:f>--(H15=$K15)</x:f>
        <x:v>1</x:v>
      </x:c>
      <x:c r="U15" t="n">
        <x:f>--(I15=$K15)</x:f>
        <x:v>1</x:v>
      </x:c>
      <x:c r="V15" t="n">
        <x:f>--(J15=$K15)</x:f>
        <x:v>0</x:v>
      </x:c>
    </x:row>
    <x:row r="16" ht="18" customHeight="1">
      <x:c r="A16" t="str">
        <x:v>bpps_d10000n25m10w500_1500s100_1000f1_seed0</x:v>
      </x:c>
      <x:c r="B16" s="16" t="n">
        <x:v>25</x:v>
      </x:c>
      <x:c r="C16" s="16" t="n">
        <x:v>10</x:v>
      </x:c>
      <x:c r="D16" s="16" t="n">
        <x:v>10000</x:v>
      </x:c>
      <x:c r="E16" s="16" t="n">
        <x:v>26</x:v>
      </x:c>
      <x:c r="F16" s="12" t="n">
        <x:v>81</x:v>
      </x:c>
      <x:c r="G16" s="12" t="n">
        <x:v>89</x:v>
      </x:c>
      <x:c r="H16" s="12" t="n">
        <x:v>92</x:v>
      </x:c>
      <x:c r="I16" s="12" t="n">
        <x:v>89</x:v>
      </x:c>
      <x:c r="J16" s="12" t="n">
        <x:v>80</x:v>
      </x:c>
      <x:c r="K16" s="12" t="n">
        <x:f>MIN(F16:J16)</x:f>
        <x:v>80</x:v>
      </x:c>
      <x:c r="L16" t="str">
        <x:f>TEXTJOIN(", ",TRUE,IF(F16=K16,"IG",""),IF(G16=K16,"FFD",""),IF(H16=K16,"BFD",""),IF(I16=K16,"WFD",""),IF(J16=K16,"CTP",""))</x:f>
        <x:v>CTP</x:v>
      </x:c>
      <x:c r="M16" s="14" t="n">
        <x:f>IFERROR((F16-$K16)/$K16,"")</x:f>
        <x:v>0.0125</x:v>
      </x:c>
      <x:c r="N16" s="14" t="n">
        <x:f>IFERROR((G16-$K16)/$K16,"")</x:f>
        <x:v>0.1125</x:v>
      </x:c>
      <x:c r="O16" s="14" t="n">
        <x:f>IFERROR((H16-$K16)/$K16,"")</x:f>
        <x:v>0.15</x:v>
      </x:c>
      <x:c r="P16" s="14" t="n">
        <x:f>IFERROR((I16-$K16)/$K16,"")</x:f>
        <x:v>0.1125</x:v>
      </x:c>
      <x:c r="Q16" s="14" t="n">
        <x:f>IFERROR((J16-$K16)/$K16,"")</x:f>
        <x:v>0</x:v>
      </x:c>
      <x:c r="R16" t="n">
        <x:f>--(F16=$K16)</x:f>
        <x:v>0</x:v>
      </x:c>
      <x:c r="S16" t="n">
        <x:f>--(G16=$K16)</x:f>
        <x:v>0</x:v>
      </x:c>
      <x:c r="T16" t="n">
        <x:f>--(H16=$K16)</x:f>
        <x:v>0</x:v>
      </x:c>
      <x:c r="U16" t="n">
        <x:f>--(I16=$K16)</x:f>
        <x:v>0</x:v>
      </x:c>
      <x:c r="V16" t="n">
        <x:f>--(J16=$K16)</x:f>
        <x:v>1</x:v>
      </x:c>
    </x:row>
    <x:row r="17" ht="18" customHeight="1">
      <x:c r="A17" t="str">
        <x:v>bpps_d10000n25m10w500_1500s100_1000f1_seed1</x:v>
      </x:c>
      <x:c r="B17" s="16" t="n">
        <x:v>25</x:v>
      </x:c>
      <x:c r="C17" s="16" t="n">
        <x:v>10</x:v>
      </x:c>
      <x:c r="D17" s="16" t="n">
        <x:v>10000</x:v>
      </x:c>
      <x:c r="E17" s="16" t="n">
        <x:v>28</x:v>
      </x:c>
      <x:c r="F17" s="12" t="n">
        <x:v>76</x:v>
      </x:c>
      <x:c r="G17" s="12" t="n">
        <x:v>102</x:v>
      </x:c>
      <x:c r="H17" s="12" t="n">
        <x:v>102</x:v>
      </x:c>
      <x:c r="I17" s="12" t="n">
        <x:v>92</x:v>
      </x:c>
      <x:c r="J17" s="12" t="n">
        <x:v>76</x:v>
      </x:c>
      <x:c r="K17" s="12" t="n">
        <x:f>MIN(F17:J17)</x:f>
        <x:v>76</x:v>
      </x:c>
      <x:c r="L17" t="str">
        <x:f>TEXTJOIN(", ",TRUE,IF(F17=K17,"IG",""),IF(G17=K17,"FFD",""),IF(H17=K17,"BFD",""),IF(I17=K17,"WFD",""),IF(J17=K17,"CTP",""))</x:f>
        <x:v>IG, CTP</x:v>
      </x:c>
      <x:c r="M17" s="14" t="n">
        <x:f>IFERROR((F17-$K17)/$K17,"")</x:f>
        <x:v>0</x:v>
      </x:c>
      <x:c r="N17" s="14" t="n">
        <x:f>IFERROR((G17-$K17)/$K17,"")</x:f>
        <x:v>0.34210526315789475</x:v>
      </x:c>
      <x:c r="O17" s="14" t="n">
        <x:f>IFERROR((H17-$K17)/$K17,"")</x:f>
        <x:v>0.34210526315789475</x:v>
      </x:c>
      <x:c r="P17" s="14" t="n">
        <x:f>IFERROR((I17-$K17)/$K17,"")</x:f>
        <x:v>0.21052631578947367</x:v>
      </x:c>
      <x:c r="Q17" s="14" t="n">
        <x:f>IFERROR((J17-$K17)/$K17,"")</x:f>
        <x:v>0</x:v>
      </x:c>
      <x:c r="R17" t="n">
        <x:f>--(F17=$K17)</x:f>
        <x:v>1</x:v>
      </x:c>
      <x:c r="S17" t="n">
        <x:f>--(G17=$K17)</x:f>
        <x:v>0</x:v>
      </x:c>
      <x:c r="T17" t="n">
        <x:f>--(H17=$K17)</x:f>
        <x:v>0</x:v>
      </x:c>
      <x:c r="U17" t="n">
        <x:f>--(I17=$K17)</x:f>
        <x:v>0</x:v>
      </x:c>
      <x:c r="V17" t="n">
        <x:f>--(J17=$K17)</x:f>
        <x:v>1</x:v>
      </x:c>
    </x:row>
    <x:row r="18" ht="18" customHeight="1">
      <x:c r="A18" t="str">
        <x:v>bpps_d10000n25m5w1500_3000s1000_2000f0_seed0</x:v>
      </x:c>
      <x:c r="B18" s="16" t="n">
        <x:v>25</x:v>
      </x:c>
      <x:c r="C18" s="16" t="n">
        <x:v>5</x:v>
      </x:c>
      <x:c r="D18" s="16" t="n">
        <x:v>10000</x:v>
      </x:c>
      <x:c r="E18" s="16" t="n">
        <x:v>35</x:v>
      </x:c>
      <x:c r="F18" s="12" t="n">
        <x:v>8</x:v>
      </x:c>
      <x:c r="G18" s="12" t="n">
        <x:v>9</x:v>
      </x:c>
      <x:c r="H18" s="12" t="n">
        <x:v>9</x:v>
      </x:c>
      <x:c r="I18" s="12" t="n">
        <x:v>9</x:v>
      </x:c>
      <x:c r="J18" s="12" t="n">
        <x:v>9</x:v>
      </x:c>
      <x:c r="K18" s="12" t="n">
        <x:f>MIN(F18:J18)</x:f>
        <x:v>8</x:v>
      </x:c>
      <x:c r="L18" t="str">
        <x:f>TEXTJOIN(", ",TRUE,IF(F18=K18,"IG",""),IF(G18=K18,"FFD",""),IF(H18=K18,"BFD",""),IF(I18=K18,"WFD",""),IF(J18=K18,"CTP",""))</x:f>
        <x:v>IG</x:v>
      </x:c>
      <x:c r="M18" s="14" t="n">
        <x:f>IFERROR((F18-$K18)/$K18,"")</x:f>
        <x:v>0</x:v>
      </x:c>
      <x:c r="N18" s="14" t="n">
        <x:f>IFERROR((G18-$K18)/$K18,"")</x:f>
        <x:v>0.125</x:v>
      </x:c>
      <x:c r="O18" s="14" t="n">
        <x:f>IFERROR((H18-$K18)/$K18,"")</x:f>
        <x:v>0.125</x:v>
      </x:c>
      <x:c r="P18" s="14" t="n">
        <x:f>IFERROR((I18-$K18)/$K18,"")</x:f>
        <x:v>0.125</x:v>
      </x:c>
      <x:c r="Q18" s="14" t="n">
        <x:f>IFERROR((J18-$K18)/$K18,"")</x:f>
        <x:v>0.125</x:v>
      </x:c>
      <x:c r="R18" t="n">
        <x:f>--(F18=$K18)</x:f>
        <x:v>1</x:v>
      </x:c>
      <x:c r="S18" t="n">
        <x:f>--(G18=$K18)</x:f>
        <x:v>0</x:v>
      </x:c>
      <x:c r="T18" t="n">
        <x:f>--(H18=$K18)</x:f>
        <x:v>0</x:v>
      </x:c>
      <x:c r="U18" t="n">
        <x:f>--(I18=$K18)</x:f>
        <x:v>0</x:v>
      </x:c>
      <x:c r="V18" t="n">
        <x:f>--(J18=$K18)</x:f>
        <x:v>0</x:v>
      </x:c>
    </x:row>
    <x:row r="19" ht="18" customHeight="1">
      <x:c r="A19" t="str">
        <x:v>bpps_d10000n25m5w1500_3000s1000_2000f0_seed1</x:v>
      </x:c>
      <x:c r="B19" s="16" t="n">
        <x:v>25</x:v>
      </x:c>
      <x:c r="C19" s="16" t="n">
        <x:v>5</x:v>
      </x:c>
      <x:c r="D19" s="16" t="n">
        <x:v>10000</x:v>
      </x:c>
      <x:c r="E19" s="16" t="n">
        <x:v>32</x:v>
      </x:c>
      <x:c r="F19" s="12" t="n">
        <x:v>8</x:v>
      </x:c>
      <x:c r="G19" s="12" t="n">
        <x:v>8</x:v>
      </x:c>
      <x:c r="H19" s="12" t="n">
        <x:v>8</x:v>
      </x:c>
      <x:c r="I19" s="12" t="n">
        <x:v>9</x:v>
      </x:c>
      <x:c r="J19" s="12" t="n">
        <x:v>9</x:v>
      </x:c>
      <x:c r="K19" s="12" t="n">
        <x:f>MIN(F19:J19)</x:f>
        <x:v>8</x:v>
      </x:c>
      <x:c r="L19" t="str">
        <x:f>TEXTJOIN(", ",TRUE,IF(F19=K19,"IG",""),IF(G19=K19,"FFD",""),IF(H19=K19,"BFD",""),IF(I19=K19,"WFD",""),IF(J19=K19,"CTP",""))</x:f>
        <x:v>IG, FFD, BFD</x:v>
      </x:c>
      <x:c r="M19" s="14" t="n">
        <x:f>IFERROR((F19-$K19)/$K19,"")</x:f>
        <x:v>0</x:v>
      </x:c>
      <x:c r="N19" s="14" t="n">
        <x:f>IFERROR((G19-$K19)/$K19,"")</x:f>
        <x:v>0</x:v>
      </x:c>
      <x:c r="O19" s="14" t="n">
        <x:f>IFERROR((H19-$K19)/$K19,"")</x:f>
        <x:v>0</x:v>
      </x:c>
      <x:c r="P19" s="14" t="n">
        <x:f>IFERROR((I19-$K19)/$K19,"")</x:f>
        <x:v>0.125</x:v>
      </x:c>
      <x:c r="Q19" s="14" t="n">
        <x:f>IFERROR((J19-$K19)/$K19,"")</x:f>
        <x:v>0.125</x:v>
      </x:c>
      <x:c r="R19" t="n">
        <x:f>--(F19=$K19)</x:f>
        <x:v>1</x:v>
      </x:c>
      <x:c r="S19" t="n">
        <x:f>--(G19=$K19)</x:f>
        <x:v>1</x:v>
      </x:c>
      <x:c r="T19" t="n">
        <x:f>--(H19=$K19)</x:f>
        <x:v>1</x:v>
      </x:c>
      <x:c r="U19" t="n">
        <x:f>--(I19=$K19)</x:f>
        <x:v>0</x:v>
      </x:c>
      <x:c r="V19" t="n">
        <x:f>--(J19=$K19)</x:f>
        <x:v>0</x:v>
      </x:c>
    </x:row>
    <x:row r="20" ht="18" customHeight="1">
      <x:c r="A20" t="str">
        <x:v>bpps_d10000n25m5w1500_3000s1000_2000f1_seed0</x:v>
      </x:c>
      <x:c r="B20" s="16" t="n">
        <x:v>25</x:v>
      </x:c>
      <x:c r="C20" s="16" t="n">
        <x:v>5</x:v>
      </x:c>
      <x:c r="D20" s="16" t="n">
        <x:v>10000</x:v>
      </x:c>
      <x:c r="E20" s="16" t="n">
        <x:v>40</x:v>
      </x:c>
      <x:c r="F20" s="12" t="n">
        <x:v>125</x:v>
      </x:c>
      <x:c r="G20" s="12" t="n">
        <x:v>150</x:v>
      </x:c>
      <x:c r="H20" s="12" t="n">
        <x:v>155</x:v>
      </x:c>
      <x:c r="I20" s="12" t="n">
        <x:v>155</x:v>
      </x:c>
      <x:c r="J20" s="12" t="n">
        <x:v>125</x:v>
      </x:c>
      <x:c r="K20" s="12" t="n">
        <x:f>MIN(F20:J20)</x:f>
        <x:v>125</x:v>
      </x:c>
      <x:c r="L20" t="str">
        <x:f>TEXTJOIN(", ",TRUE,IF(F20=K20,"IG",""),IF(G20=K20,"FFD",""),IF(H20=K20,"BFD",""),IF(I20=K20,"WFD",""),IF(J20=K20,"CTP",""))</x:f>
        <x:v>IG, CTP</x:v>
      </x:c>
      <x:c r="M20" s="14" t="n">
        <x:f>IFERROR((F20-$K20)/$K20,"")</x:f>
        <x:v>0</x:v>
      </x:c>
      <x:c r="N20" s="14" t="n">
        <x:f>IFERROR((G20-$K20)/$K20,"")</x:f>
        <x:v>0.2</x:v>
      </x:c>
      <x:c r="O20" s="14" t="n">
        <x:f>IFERROR((H20-$K20)/$K20,"")</x:f>
        <x:v>0.24</x:v>
      </x:c>
      <x:c r="P20" s="14" t="n">
        <x:f>IFERROR((I20-$K20)/$K20,"")</x:f>
        <x:v>0.24</x:v>
      </x:c>
      <x:c r="Q20" s="14" t="n">
        <x:f>IFERROR((J20-$K20)/$K20,"")</x:f>
        <x:v>0</x:v>
      </x:c>
      <x:c r="R20" t="n">
        <x:f>--(F20=$K20)</x:f>
        <x:v>1</x:v>
      </x:c>
      <x:c r="S20" t="n">
        <x:f>--(G20=$K20)</x:f>
        <x:v>0</x:v>
      </x:c>
      <x:c r="T20" t="n">
        <x:f>--(H20=$K20)</x:f>
        <x:v>0</x:v>
      </x:c>
      <x:c r="U20" t="n">
        <x:f>--(I20=$K20)</x:f>
        <x:v>0</x:v>
      </x:c>
      <x:c r="V20" t="n">
        <x:f>--(J20=$K20)</x:f>
        <x:v>1</x:v>
      </x:c>
    </x:row>
    <x:row r="21" ht="18" customHeight="1">
      <x:c r="A21" t="str">
        <x:v>bpps_d10000n25m5w1500_3000s1000_2000f1_seed1</x:v>
      </x:c>
      <x:c r="B21" s="16" t="n">
        <x:v>25</x:v>
      </x:c>
      <x:c r="C21" s="16" t="n">
        <x:v>5</x:v>
      </x:c>
      <x:c r="D21" s="16" t="n">
        <x:v>10000</x:v>
      </x:c>
      <x:c r="E21" s="16" t="n">
        <x:v>37</x:v>
      </x:c>
      <x:c r="F21" s="12" t="n">
        <x:v>94</x:v>
      </x:c>
      <x:c r="G21" s="12" t="n">
        <x:v>123</x:v>
      </x:c>
      <x:c r="H21" s="12" t="n">
        <x:v>123</x:v>
      </x:c>
      <x:c r="I21" s="12" t="n">
        <x:v>119</x:v>
      </x:c>
      <x:c r="J21" s="12" t="n">
        <x:v>105</x:v>
      </x:c>
      <x:c r="K21" s="12" t="n">
        <x:f>MIN(F21:J21)</x:f>
        <x:v>94</x:v>
      </x:c>
      <x:c r="L21" t="str">
        <x:f>TEXTJOIN(", ",TRUE,IF(F21=K21,"IG",""),IF(G21=K21,"FFD",""),IF(H21=K21,"BFD",""),IF(I21=K21,"WFD",""),IF(J21=K21,"CTP",""))</x:f>
        <x:v>IG</x:v>
      </x:c>
      <x:c r="M21" s="14" t="n">
        <x:f>IFERROR((F21-$K21)/$K21,"")</x:f>
        <x:v>0</x:v>
      </x:c>
      <x:c r="N21" s="14" t="n">
        <x:f>IFERROR((G21-$K21)/$K21,"")</x:f>
        <x:v>0.30851063829787234</x:v>
      </x:c>
      <x:c r="O21" s="14" t="n">
        <x:f>IFERROR((H21-$K21)/$K21,"")</x:f>
        <x:v>0.30851063829787234</x:v>
      </x:c>
      <x:c r="P21" s="14" t="n">
        <x:f>IFERROR((I21-$K21)/$K21,"")</x:f>
        <x:v>0.26595744680851063</x:v>
      </x:c>
      <x:c r="Q21" s="14" t="n">
        <x:f>IFERROR((J21-$K21)/$K21,"")</x:f>
        <x:v>0.11702127659574468</x:v>
      </x:c>
      <x:c r="R21" t="n">
        <x:f>--(F21=$K21)</x:f>
        <x:v>1</x:v>
      </x:c>
      <x:c r="S21" t="n">
        <x:f>--(G21=$K21)</x:f>
        <x:v>0</x:v>
      </x:c>
      <x:c r="T21" t="n">
        <x:f>--(H21=$K21)</x:f>
        <x:v>0</x:v>
      </x:c>
      <x:c r="U21" t="n">
        <x:f>--(I21=$K21)</x:f>
        <x:v>0</x:v>
      </x:c>
      <x:c r="V21" t="n">
        <x:f>--(J21=$K21)</x:f>
        <x:v>0</x:v>
      </x:c>
    </x:row>
    <x:row r="22" ht="18" customHeight="1">
      <x:c r="A22" t="str">
        <x:v>bpps_d10000n25m5w1500_3000s100_1000f0_seed0</x:v>
      </x:c>
      <x:c r="B22" s="16" t="n">
        <x:v>25</x:v>
      </x:c>
      <x:c r="C22" s="16" t="n">
        <x:v>5</x:v>
      </x:c>
      <x:c r="D22" s="16" t="n">
        <x:v>10000</x:v>
      </x:c>
      <x:c r="E22" s="16" t="n">
        <x:v>30</x:v>
      </x:c>
      <x:c r="F22" s="12" t="n">
        <x:v>7</x:v>
      </x:c>
      <x:c r="G22" s="12" t="n">
        <x:v>7</x:v>
      </x:c>
      <x:c r="H22" s="12" t="n">
        <x:v>7</x:v>
      </x:c>
      <x:c r="I22" s="12" t="n">
        <x:v>7</x:v>
      </x:c>
      <x:c r="J22" s="12" t="n">
        <x:v>8</x:v>
      </x:c>
      <x:c r="K22" s="12" t="n">
        <x:f>MIN(F22:J22)</x:f>
        <x:v>7</x:v>
      </x:c>
      <x:c r="L22" t="str">
        <x:f>TEXTJOIN(", ",TRUE,IF(F22=K22,"IG",""),IF(G22=K22,"FFD",""),IF(H22=K22,"BFD",""),IF(I22=K22,"WFD",""),IF(J22=K22,"CTP",""))</x:f>
        <x:v>IG, FFD, BFD, WFD</x:v>
      </x:c>
      <x:c r="M22" s="14" t="n">
        <x:f>IFERROR((F22-$K22)/$K22,"")</x:f>
        <x:v>0</x:v>
      </x:c>
      <x:c r="N22" s="14" t="n">
        <x:f>IFERROR((G22-$K22)/$K22,"")</x:f>
        <x:v>0</x:v>
      </x:c>
      <x:c r="O22" s="14" t="n">
        <x:f>IFERROR((H22-$K22)/$K22,"")</x:f>
        <x:v>0</x:v>
      </x:c>
      <x:c r="P22" s="14" t="n">
        <x:f>IFERROR((I22-$K22)/$K22,"")</x:f>
        <x:v>0</x:v>
      </x:c>
      <x:c r="Q22" s="14" t="n">
        <x:f>IFERROR((J22-$K22)/$K22,"")</x:f>
        <x:v>0.14285714285714285</x:v>
      </x:c>
      <x:c r="R22" t="n">
        <x:f>--(F22=$K22)</x:f>
        <x:v>1</x:v>
      </x:c>
      <x:c r="S22" t="n">
        <x:f>--(G22=$K22)</x:f>
        <x:v>1</x:v>
      </x:c>
      <x:c r="T22" t="n">
        <x:f>--(H22=$K22)</x:f>
        <x:v>1</x:v>
      </x:c>
      <x:c r="U22" t="n">
        <x:f>--(I22=$K22)</x:f>
        <x:v>1</x:v>
      </x:c>
      <x:c r="V22" t="n">
        <x:f>--(J22=$K22)</x:f>
        <x:v>0</x:v>
      </x:c>
    </x:row>
    <x:row r="23" ht="18" customHeight="1">
      <x:c r="A23" t="str">
        <x:v>bpps_d10000n25m5w1500_3000s100_1000f0_seed1</x:v>
      </x:c>
      <x:c r="B23" s="16" t="n">
        <x:v>25</x:v>
      </x:c>
      <x:c r="C23" s="16" t="n">
        <x:v>5</x:v>
      </x:c>
      <x:c r="D23" s="16" t="n">
        <x:v>10000</x:v>
      </x:c>
      <x:c r="E23" s="16" t="n">
        <x:v>22</x:v>
      </x:c>
      <x:c r="F23" s="12" t="n">
        <x:v>7</x:v>
      </x:c>
      <x:c r="G23" s="12" t="n">
        <x:v>7</x:v>
      </x:c>
      <x:c r="H23" s="12" t="n">
        <x:v>7</x:v>
      </x:c>
      <x:c r="I23" s="12" t="n">
        <x:v>7</x:v>
      </x:c>
      <x:c r="J23" s="12" t="n">
        <x:v>7</x:v>
      </x:c>
      <x:c r="K23" s="12" t="n">
        <x:f>MIN(F23:J23)</x:f>
        <x:v>7</x:v>
      </x:c>
      <x:c r="L23" t="str">
        <x:f>TEXTJOIN(", ",TRUE,IF(F23=K23,"IG",""),IF(G23=K23,"FFD",""),IF(H23=K23,"BFD",""),IF(I23=K23,"WFD",""),IF(J23=K23,"CTP",""))</x:f>
        <x:v>IG, FFD, BFD, WFD, CTP</x:v>
      </x:c>
      <x:c r="M23" s="14" t="n">
        <x:f>IFERROR((F23-$K23)/$K23,"")</x:f>
        <x:v>0</x:v>
      </x:c>
      <x:c r="N23" s="14" t="n">
        <x:f>IFERROR((G23-$K23)/$K23,"")</x:f>
        <x:v>0</x:v>
      </x:c>
      <x:c r="O23" s="14" t="n">
        <x:f>IFERROR((H23-$K23)/$K23,"")</x:f>
        <x:v>0</x:v>
      </x:c>
      <x:c r="P23" s="14" t="n">
        <x:f>IFERROR((I23-$K23)/$K23,"")</x:f>
        <x:v>0</x:v>
      </x:c>
      <x:c r="Q23" s="14" t="n">
        <x:f>IFERROR((J23-$K23)/$K23,"")</x:f>
        <x:v>0</x:v>
      </x:c>
      <x:c r="R23" t="n">
        <x:f>--(F23=$K23)</x:f>
        <x:v>1</x:v>
      </x:c>
      <x:c r="S23" t="n">
        <x:f>--(G23=$K23)</x:f>
        <x:v>1</x:v>
      </x:c>
      <x:c r="T23" t="n">
        <x:f>--(H23=$K23)</x:f>
        <x:v>1</x:v>
      </x:c>
      <x:c r="U23" t="n">
        <x:f>--(I23=$K23)</x:f>
        <x:v>1</x:v>
      </x:c>
      <x:c r="V23" t="n">
        <x:f>--(J23=$K23)</x:f>
        <x:v>1</x:v>
      </x:c>
    </x:row>
    <x:row r="24" ht="18" customHeight="1">
      <x:c r="A24" t="str">
        <x:v>bpps_d10000n25m5w1500_3000s100_1000f1_seed0</x:v>
      </x:c>
      <x:c r="B24" s="16" t="n">
        <x:v>25</x:v>
      </x:c>
      <x:c r="C24" s="16" t="n">
        <x:v>5</x:v>
      </x:c>
      <x:c r="D24" s="16" t="n">
        <x:v>10000</x:v>
      </x:c>
      <x:c r="E24" s="16" t="n">
        <x:v>23</x:v>
      </x:c>
      <x:c r="F24" s="12" t="n">
        <x:v>104</x:v>
      </x:c>
      <x:c r="G24" s="12" t="n">
        <x:v>122</x:v>
      </x:c>
      <x:c r="H24" s="12" t="n">
        <x:v>141</x:v>
      </x:c>
      <x:c r="I24" s="12" t="n">
        <x:v>137</x:v>
      </x:c>
      <x:c r="J24" s="12" t="n">
        <x:v>115</x:v>
      </x:c>
      <x:c r="K24" s="12" t="n">
        <x:f>MIN(F24:J24)</x:f>
        <x:v>104</x:v>
      </x:c>
      <x:c r="L24" t="str">
        <x:f>TEXTJOIN(", ",TRUE,IF(F24=K24,"IG",""),IF(G24=K24,"FFD",""),IF(H24=K24,"BFD",""),IF(I24=K24,"WFD",""),IF(J24=K24,"CTP",""))</x:f>
        <x:v>IG</x:v>
      </x:c>
      <x:c r="M24" s="14" t="n">
        <x:f>IFERROR((F24-$K24)/$K24,"")</x:f>
        <x:v>0</x:v>
      </x:c>
      <x:c r="N24" s="14" t="n">
        <x:f>IFERROR((G24-$K24)/$K24,"")</x:f>
        <x:v>0.17307692307692307</x:v>
      </x:c>
      <x:c r="O24" s="14" t="n">
        <x:f>IFERROR((H24-$K24)/$K24,"")</x:f>
        <x:v>0.3557692307692308</x:v>
      </x:c>
      <x:c r="P24" s="14" t="n">
        <x:f>IFERROR((I24-$K24)/$K24,"")</x:f>
        <x:v>0.3173076923076923</x:v>
      </x:c>
      <x:c r="Q24" s="14" t="n">
        <x:f>IFERROR((J24-$K24)/$K24,"")</x:f>
        <x:v>0.10576923076923077</x:v>
      </x:c>
      <x:c r="R24" t="n">
        <x:f>--(F24=$K24)</x:f>
        <x:v>1</x:v>
      </x:c>
      <x:c r="S24" t="n">
        <x:f>--(G24=$K24)</x:f>
        <x:v>0</x:v>
      </x:c>
      <x:c r="T24" t="n">
        <x:f>--(H24=$K24)</x:f>
        <x:v>0</x:v>
      </x:c>
      <x:c r="U24" t="n">
        <x:f>--(I24=$K24)</x:f>
        <x:v>0</x:v>
      </x:c>
      <x:c r="V24" t="n">
        <x:f>--(J24=$K24)</x:f>
        <x:v>0</x:v>
      </x:c>
    </x:row>
    <x:row r="25" ht="18" customHeight="1">
      <x:c r="A25" t="str">
        <x:v>bpps_d10000n25m5w1500_3000s100_1000f1_seed1</x:v>
      </x:c>
      <x:c r="B25" s="16" t="n">
        <x:v>25</x:v>
      </x:c>
      <x:c r="C25" s="16" t="n">
        <x:v>5</x:v>
      </x:c>
      <x:c r="D25" s="16" t="n">
        <x:v>10000</x:v>
      </x:c>
      <x:c r="E25" s="16" t="n">
        <x:v>22</x:v>
      </x:c>
      <x:c r="F25" s="12" t="n">
        <x:v>83</x:v>
      </x:c>
      <x:c r="G25" s="12" t="n">
        <x:v>113</x:v>
      </x:c>
      <x:c r="H25" s="12" t="n">
        <x:v>104</x:v>
      </x:c>
      <x:c r="I25" s="12" t="n">
        <x:v>114</x:v>
      </x:c>
      <x:c r="J25" s="12" t="n">
        <x:v>93</x:v>
      </x:c>
      <x:c r="K25" s="12" t="n">
        <x:f>MIN(F25:J25)</x:f>
        <x:v>83</x:v>
      </x:c>
      <x:c r="L25" t="str">
        <x:f>TEXTJOIN(", ",TRUE,IF(F25=K25,"IG",""),IF(G25=K25,"FFD",""),IF(H25=K25,"BFD",""),IF(I25=K25,"WFD",""),IF(J25=K25,"CTP",""))</x:f>
        <x:v>IG</x:v>
      </x:c>
      <x:c r="M25" s="14" t="n">
        <x:f>IFERROR((F25-$K25)/$K25,"")</x:f>
        <x:v>0</x:v>
      </x:c>
      <x:c r="N25" s="14" t="n">
        <x:f>IFERROR((G25-$K25)/$K25,"")</x:f>
        <x:v>0.3614457831325301</x:v>
      </x:c>
      <x:c r="O25" s="14" t="n">
        <x:f>IFERROR((H25-$K25)/$K25,"")</x:f>
        <x:v>0.25301204819277107</x:v>
      </x:c>
      <x:c r="P25" s="14" t="n">
        <x:f>IFERROR((I25-$K25)/$K25,"")</x:f>
        <x:v>0.37349397590361444</x:v>
      </x:c>
      <x:c r="Q25" s="14" t="n">
        <x:f>IFERROR((J25-$K25)/$K25,"")</x:f>
        <x:v>0.12048192771084337</x:v>
      </x:c>
      <x:c r="R25" t="n">
        <x:f>--(F25=$K25)</x:f>
        <x:v>1</x:v>
      </x:c>
      <x:c r="S25" t="n">
        <x:f>--(G25=$K25)</x:f>
        <x:v>0</x:v>
      </x:c>
      <x:c r="T25" t="n">
        <x:f>--(H25=$K25)</x:f>
        <x:v>0</x:v>
      </x:c>
      <x:c r="U25" t="n">
        <x:f>--(I25=$K25)</x:f>
        <x:v>0</x:v>
      </x:c>
      <x:c r="V25" t="n">
        <x:f>--(J25=$K25)</x:f>
        <x:v>0</x:v>
      </x:c>
    </x:row>
    <x:row r="26" ht="18" customHeight="1">
      <x:c r="A26" t="str">
        <x:v>bpps_d10000n25m5w500_1500s1000_2000f0_seed0</x:v>
      </x:c>
      <x:c r="B26" s="16" t="n">
        <x:v>25</x:v>
      </x:c>
      <x:c r="C26" s="16" t="n">
        <x:v>5</x:v>
      </x:c>
      <x:c r="D26" s="16" t="n">
        <x:v>10000</x:v>
      </x:c>
      <x:c r="E26" s="16" t="n">
        <x:v>27</x:v>
      </x:c>
      <x:c r="F26" s="12" t="n">
        <x:v>5</x:v>
      </x:c>
      <x:c r="G26" s="12" t="n">
        <x:v>6</x:v>
      </x:c>
      <x:c r="H26" s="12" t="n">
        <x:v>6</x:v>
      </x:c>
      <x:c r="I26" s="12" t="n">
        <x:v>6</x:v>
      </x:c>
      <x:c r="J26" s="12" t="n">
        <x:v>6</x:v>
      </x:c>
      <x:c r="K26" s="12" t="n">
        <x:f>MIN(F26:J26)</x:f>
        <x:v>5</x:v>
      </x:c>
      <x:c r="L26" t="str">
        <x:f>TEXTJOIN(", ",TRUE,IF(F26=K26,"IG",""),IF(G26=K26,"FFD",""),IF(H26=K26,"BFD",""),IF(I26=K26,"WFD",""),IF(J26=K26,"CTP",""))</x:f>
        <x:v>IG</x:v>
      </x:c>
      <x:c r="M26" s="14" t="n">
        <x:f>IFERROR((F26-$K26)/$K26,"")</x:f>
        <x:v>0</x:v>
      </x:c>
      <x:c r="N26" s="14" t="n">
        <x:f>IFERROR((G26-$K26)/$K26,"")</x:f>
        <x:v>0.2</x:v>
      </x:c>
      <x:c r="O26" s="14" t="n">
        <x:f>IFERROR((H26-$K26)/$K26,"")</x:f>
        <x:v>0.2</x:v>
      </x:c>
      <x:c r="P26" s="14" t="n">
        <x:f>IFERROR((I26-$K26)/$K26,"")</x:f>
        <x:v>0.2</x:v>
      </x:c>
      <x:c r="Q26" s="14" t="n">
        <x:f>IFERROR((J26-$K26)/$K26,"")</x:f>
        <x:v>0.2</x:v>
      </x:c>
      <x:c r="R26" t="n">
        <x:f>--(F26=$K26)</x:f>
        <x:v>1</x:v>
      </x:c>
      <x:c r="S26" t="n">
        <x:f>--(G26=$K26)</x:f>
        <x:v>0</x:v>
      </x:c>
      <x:c r="T26" t="n">
        <x:f>--(H26=$K26)</x:f>
        <x:v>0</x:v>
      </x:c>
      <x:c r="U26" t="n">
        <x:f>--(I26=$K26)</x:f>
        <x:v>0</x:v>
      </x:c>
      <x:c r="V26" t="n">
        <x:f>--(J26=$K26)</x:f>
        <x:v>0</x:v>
      </x:c>
    </x:row>
    <x:row r="27" ht="18" customHeight="1">
      <x:c r="A27" t="str">
        <x:v>bpps_d10000n25m5w500_1500s1000_2000f0_seed1</x:v>
      </x:c>
      <x:c r="B27" s="16" t="n">
        <x:v>25</x:v>
      </x:c>
      <x:c r="C27" s="16" t="n">
        <x:v>5</x:v>
      </x:c>
      <x:c r="D27" s="16" t="n">
        <x:v>10000</x:v>
      </x:c>
      <x:c r="E27" s="16" t="n">
        <x:v>34</x:v>
      </x:c>
      <x:c r="F27" s="12" t="n">
        <x:v>5</x:v>
      </x:c>
      <x:c r="G27" s="12" t="n">
        <x:v>5</x:v>
      </x:c>
      <x:c r="H27" s="12" t="n">
        <x:v>5</x:v>
      </x:c>
      <x:c r="I27" s="12" t="n">
        <x:v>5</x:v>
      </x:c>
      <x:c r="J27" s="12" t="n">
        <x:v>5</x:v>
      </x:c>
      <x:c r="K27" s="12" t="n">
        <x:f>MIN(F27:J27)</x:f>
        <x:v>5</x:v>
      </x:c>
      <x:c r="L27" t="str">
        <x:f>TEXTJOIN(", ",TRUE,IF(F27=K27,"IG",""),IF(G27=K27,"FFD",""),IF(H27=K27,"BFD",""),IF(I27=K27,"WFD",""),IF(J27=K27,"CTP",""))</x:f>
        <x:v>IG, FFD, BFD, WFD, CTP</x:v>
      </x:c>
      <x:c r="M27" s="14" t="n">
        <x:f>IFERROR((F27-$K27)/$K27,"")</x:f>
        <x:v>0</x:v>
      </x:c>
      <x:c r="N27" s="14" t="n">
        <x:f>IFERROR((G27-$K27)/$K27,"")</x:f>
        <x:v>0</x:v>
      </x:c>
      <x:c r="O27" s="14" t="n">
        <x:f>IFERROR((H27-$K27)/$K27,"")</x:f>
        <x:v>0</x:v>
      </x:c>
      <x:c r="P27" s="14" t="n">
        <x:f>IFERROR((I27-$K27)/$K27,"")</x:f>
        <x:v>0</x:v>
      </x:c>
      <x:c r="Q27" s="14" t="n">
        <x:f>IFERROR((J27-$K27)/$K27,"")</x:f>
        <x:v>0</x:v>
      </x:c>
      <x:c r="R27" t="n">
        <x:f>--(F27=$K27)</x:f>
        <x:v>1</x:v>
      </x:c>
      <x:c r="S27" t="n">
        <x:f>--(G27=$K27)</x:f>
        <x:v>1</x:v>
      </x:c>
      <x:c r="T27" t="n">
        <x:f>--(H27=$K27)</x:f>
        <x:v>1</x:v>
      </x:c>
      <x:c r="U27" t="n">
        <x:f>--(I27=$K27)</x:f>
        <x:v>1</x:v>
      </x:c>
      <x:c r="V27" t="n">
        <x:f>--(J27=$K27)</x:f>
        <x:v>1</x:v>
      </x:c>
    </x:row>
    <x:row r="28" ht="18" customHeight="1">
      <x:c r="A28" t="str">
        <x:v>bpps_d10000n25m5w500_1500s1000_2000f1_seed0</x:v>
      </x:c>
      <x:c r="B28" s="16" t="n">
        <x:v>25</x:v>
      </x:c>
      <x:c r="C28" s="16" t="n">
        <x:v>5</x:v>
      </x:c>
      <x:c r="D28" s="16" t="n">
        <x:v>10000</x:v>
      </x:c>
      <x:c r="E28" s="16" t="n">
        <x:v>31</x:v>
      </x:c>
      <x:c r="F28" s="12" t="n">
        <x:v>84</x:v>
      </x:c>
      <x:c r="G28" s="12" t="n">
        <x:v>110</x:v>
      </x:c>
      <x:c r="H28" s="12" t="n">
        <x:v>112</x:v>
      </x:c>
      <x:c r="I28" s="12" t="n">
        <x:v>126</x:v>
      </x:c>
      <x:c r="J28" s="12" t="n">
        <x:v>94</x:v>
      </x:c>
      <x:c r="K28" s="12" t="n">
        <x:f>MIN(F28:J28)</x:f>
        <x:v>84</x:v>
      </x:c>
      <x:c r="L28" t="str">
        <x:f>TEXTJOIN(", ",TRUE,IF(F28=K28,"IG",""),IF(G28=K28,"FFD",""),IF(H28=K28,"BFD",""),IF(I28=K28,"WFD",""),IF(J28=K28,"CTP",""))</x:f>
        <x:v>IG</x:v>
      </x:c>
      <x:c r="M28" s="14" t="n">
        <x:f>IFERROR((F28-$K28)/$K28,"")</x:f>
        <x:v>0</x:v>
      </x:c>
      <x:c r="N28" s="14" t="n">
        <x:f>IFERROR((G28-$K28)/$K28,"")</x:f>
        <x:v>0.30952380952380953</x:v>
      </x:c>
      <x:c r="O28" s="14" t="n">
        <x:f>IFERROR((H28-$K28)/$K28,"")</x:f>
        <x:v>0.3333333333333333</x:v>
      </x:c>
      <x:c r="P28" s="14" t="n">
        <x:f>IFERROR((I28-$K28)/$K28,"")</x:f>
        <x:v>0.5</x:v>
      </x:c>
      <x:c r="Q28" s="14" t="n">
        <x:f>IFERROR((J28-$K28)/$K28,"")</x:f>
        <x:v>0.11904761904761904</x:v>
      </x:c>
      <x:c r="R28" t="n">
        <x:f>--(F28=$K28)</x:f>
        <x:v>1</x:v>
      </x:c>
      <x:c r="S28" t="n">
        <x:f>--(G28=$K28)</x:f>
        <x:v>0</x:v>
      </x:c>
      <x:c r="T28" t="n">
        <x:f>--(H28=$K28)</x:f>
        <x:v>0</x:v>
      </x:c>
      <x:c r="U28" t="n">
        <x:f>--(I28=$K28)</x:f>
        <x:v>0</x:v>
      </x:c>
      <x:c r="V28" t="n">
        <x:f>--(J28=$K28)</x:f>
        <x:v>0</x:v>
      </x:c>
    </x:row>
    <x:row r="29" ht="18" customHeight="1">
      <x:c r="A29" t="str">
        <x:v>bpps_d10000n25m5w500_1500s1000_2000f1_seed1</x:v>
      </x:c>
      <x:c r="B29" s="16" t="n">
        <x:v>25</x:v>
      </x:c>
      <x:c r="C29" s="16" t="n">
        <x:v>5</x:v>
      </x:c>
      <x:c r="D29" s="16" t="n">
        <x:v>10000</x:v>
      </x:c>
      <x:c r="E29" s="16" t="n">
        <x:v>32</x:v>
      </x:c>
      <x:c r="F29" s="12" t="n">
        <x:v>60</x:v>
      </x:c>
      <x:c r="G29" s="12" t="n">
        <x:v>86</x:v>
      </x:c>
      <x:c r="H29" s="12" t="n">
        <x:v>83</x:v>
      </x:c>
      <x:c r="I29" s="12" t="n">
        <x:v>84</x:v>
      </x:c>
      <x:c r="J29" s="12" t="n">
        <x:v>68</x:v>
      </x:c>
      <x:c r="K29" s="12" t="n">
        <x:f>MIN(F29:J29)</x:f>
        <x:v>60</x:v>
      </x:c>
      <x:c r="L29" t="str">
        <x:f>TEXTJOIN(", ",TRUE,IF(F29=K29,"IG",""),IF(G29=K29,"FFD",""),IF(H29=K29,"BFD",""),IF(I29=K29,"WFD",""),IF(J29=K29,"CTP",""))</x:f>
        <x:v>IG</x:v>
      </x:c>
      <x:c r="M29" s="14" t="n">
        <x:f>IFERROR((F29-$K29)/$K29,"")</x:f>
        <x:v>0</x:v>
      </x:c>
      <x:c r="N29" s="14" t="n">
        <x:f>IFERROR((G29-$K29)/$K29,"")</x:f>
        <x:v>0.43333333333333335</x:v>
      </x:c>
      <x:c r="O29" s="14" t="n">
        <x:f>IFERROR((H29-$K29)/$K29,"")</x:f>
        <x:v>0.38333333333333336</x:v>
      </x:c>
      <x:c r="P29" s="14" t="n">
        <x:f>IFERROR((I29-$K29)/$K29,"")</x:f>
        <x:v>0.4</x:v>
      </x:c>
      <x:c r="Q29" s="14" t="n">
        <x:f>IFERROR((J29-$K29)/$K29,"")</x:f>
        <x:v>0.13333333333333333</x:v>
      </x:c>
      <x:c r="R29" t="n">
        <x:f>--(F29=$K29)</x:f>
        <x:v>1</x:v>
      </x:c>
      <x:c r="S29" t="n">
        <x:f>--(G29=$K29)</x:f>
        <x:v>0</x:v>
      </x:c>
      <x:c r="T29" t="n">
        <x:f>--(H29=$K29)</x:f>
        <x:v>0</x:v>
      </x:c>
      <x:c r="U29" t="n">
        <x:f>--(I29=$K29)</x:f>
        <x:v>0</x:v>
      </x:c>
      <x:c r="V29" t="n">
        <x:f>--(J29=$K29)</x:f>
        <x:v>0</x:v>
      </x:c>
    </x:row>
    <x:row r="30" ht="18" customHeight="1">
      <x:c r="A30" t="str">
        <x:v>bpps_d10000n25m5w500_1500s100_1000f0_seed0</x:v>
      </x:c>
      <x:c r="B30" s="16" t="n">
        <x:v>25</x:v>
      </x:c>
      <x:c r="C30" s="16" t="n">
        <x:v>5</x:v>
      </x:c>
      <x:c r="D30" s="16" t="n">
        <x:v>10000</x:v>
      </x:c>
      <x:c r="E30" s="16" t="n">
        <x:v>25</x:v>
      </x:c>
      <x:c r="F30" s="12" t="n">
        <x:v>4</x:v>
      </x:c>
      <x:c r="G30" s="12" t="n">
        <x:v>4</x:v>
      </x:c>
      <x:c r="H30" s="12" t="n">
        <x:v>4</x:v>
      </x:c>
      <x:c r="I30" s="12" t="n">
        <x:v>4</x:v>
      </x:c>
      <x:c r="J30" s="12" t="n">
        <x:v>5</x:v>
      </x:c>
      <x:c r="K30" s="12" t="n">
        <x:f>MIN(F30:J30)</x:f>
        <x:v>4</x:v>
      </x:c>
      <x:c r="L30" t="str">
        <x:f>TEXTJOIN(", ",TRUE,IF(F30=K30,"IG",""),IF(G30=K30,"FFD",""),IF(H30=K30,"BFD",""),IF(I30=K30,"WFD",""),IF(J30=K30,"CTP",""))</x:f>
        <x:v>IG, FFD, BFD, WFD</x:v>
      </x:c>
      <x:c r="M30" s="14" t="n">
        <x:f>IFERROR((F30-$K30)/$K30,"")</x:f>
        <x:v>0</x:v>
      </x:c>
      <x:c r="N30" s="14" t="n">
        <x:f>IFERROR((G30-$K30)/$K30,"")</x:f>
        <x:v>0</x:v>
      </x:c>
      <x:c r="O30" s="14" t="n">
        <x:f>IFERROR((H30-$K30)/$K30,"")</x:f>
        <x:v>0</x:v>
      </x:c>
      <x:c r="P30" s="14" t="n">
        <x:f>IFERROR((I30-$K30)/$K30,"")</x:f>
        <x:v>0</x:v>
      </x:c>
      <x:c r="Q30" s="14" t="n">
        <x:f>IFERROR((J30-$K30)/$K30,"")</x:f>
        <x:v>0.25</x:v>
      </x:c>
      <x:c r="R30" t="n">
        <x:f>--(F30=$K30)</x:f>
        <x:v>1</x:v>
      </x:c>
      <x:c r="S30" t="n">
        <x:f>--(G30=$K30)</x:f>
        <x:v>1</x:v>
      </x:c>
      <x:c r="T30" t="n">
        <x:f>--(H30=$K30)</x:f>
        <x:v>1</x:v>
      </x:c>
      <x:c r="U30" t="n">
        <x:f>--(I30=$K30)</x:f>
        <x:v>1</x:v>
      </x:c>
      <x:c r="V30" t="n">
        <x:f>--(J30=$K30)</x:f>
        <x:v>0</x:v>
      </x:c>
    </x:row>
    <x:row r="31" ht="18" customHeight="1">
      <x:c r="A31" t="str">
        <x:v>bpps_d10000n25m5w500_1500s100_1000f0_seed1</x:v>
      </x:c>
      <x:c r="B31" s="16" t="n">
        <x:v>25</x:v>
      </x:c>
      <x:c r="C31" s="16" t="n">
        <x:v>5</x:v>
      </x:c>
      <x:c r="D31" s="16" t="n">
        <x:v>10000</x:v>
      </x:c>
      <x:c r="E31" s="16" t="n">
        <x:v>29</x:v>
      </x:c>
      <x:c r="F31" s="12" t="n">
        <x:v>4</x:v>
      </x:c>
      <x:c r="G31" s="12" t="n">
        <x:v>4</x:v>
      </x:c>
      <x:c r="H31" s="12" t="n">
        <x:v>4</x:v>
      </x:c>
      <x:c r="I31" s="12" t="n">
        <x:v>4</x:v>
      </x:c>
      <x:c r="J31" s="12" t="n">
        <x:v>5</x:v>
      </x:c>
      <x:c r="K31" s="12" t="n">
        <x:f>MIN(F31:J31)</x:f>
        <x:v>4</x:v>
      </x:c>
      <x:c r="L31" t="str">
        <x:f>TEXTJOIN(", ",TRUE,IF(F31=K31,"IG",""),IF(G31=K31,"FFD",""),IF(H31=K31,"BFD",""),IF(I31=K31,"WFD",""),IF(J31=K31,"CTP",""))</x:f>
        <x:v>IG, FFD, BFD, WFD</x:v>
      </x:c>
      <x:c r="M31" s="14" t="n">
        <x:f>IFERROR((F31-$K31)/$K31,"")</x:f>
        <x:v>0</x:v>
      </x:c>
      <x:c r="N31" s="14" t="n">
        <x:f>IFERROR((G31-$K31)/$K31,"")</x:f>
        <x:v>0</x:v>
      </x:c>
      <x:c r="O31" s="14" t="n">
        <x:f>IFERROR((H31-$K31)/$K31,"")</x:f>
        <x:v>0</x:v>
      </x:c>
      <x:c r="P31" s="14" t="n">
        <x:f>IFERROR((I31-$K31)/$K31,"")</x:f>
        <x:v>0</x:v>
      </x:c>
      <x:c r="Q31" s="14" t="n">
        <x:f>IFERROR((J31-$K31)/$K31,"")</x:f>
        <x:v>0.25</x:v>
      </x:c>
      <x:c r="R31" t="n">
        <x:f>--(F31=$K31)</x:f>
        <x:v>1</x:v>
      </x:c>
      <x:c r="S31" t="n">
        <x:f>--(G31=$K31)</x:f>
        <x:v>1</x:v>
      </x:c>
      <x:c r="T31" t="n">
        <x:f>--(H31=$K31)</x:f>
        <x:v>1</x:v>
      </x:c>
      <x:c r="U31" t="n">
        <x:f>--(I31=$K31)</x:f>
        <x:v>1</x:v>
      </x:c>
      <x:c r="V31" t="n">
        <x:f>--(J31=$K31)</x:f>
        <x:v>0</x:v>
      </x:c>
    </x:row>
    <x:row r="32" ht="18" customHeight="1">
      <x:c r="A32" t="str">
        <x:v>bpps_d10000n25m5w500_1500s100_1000f1_seed0</x:v>
      </x:c>
      <x:c r="B32" s="16" t="n">
        <x:v>25</x:v>
      </x:c>
      <x:c r="C32" s="16" t="n">
        <x:v>5</x:v>
      </x:c>
      <x:c r="D32" s="16" t="n">
        <x:v>10000</x:v>
      </x:c>
      <x:c r="E32" s="16" t="n">
        <x:v>35</x:v>
      </x:c>
      <x:c r="F32" s="12" t="n">
        <x:v>78</x:v>
      </x:c>
      <x:c r="G32" s="12" t="n">
        <x:v>103</x:v>
      </x:c>
      <x:c r="H32" s="12" t="n">
        <x:v>101</x:v>
      </x:c>
      <x:c r="I32" s="12" t="n">
        <x:v>106</x:v>
      </x:c>
      <x:c r="J32" s="12" t="n">
        <x:v>88</x:v>
      </x:c>
      <x:c r="K32" s="12" t="n">
        <x:f>MIN(F32:J32)</x:f>
        <x:v>78</x:v>
      </x:c>
      <x:c r="L32" t="str">
        <x:f>TEXTJOIN(", ",TRUE,IF(F32=K32,"IG",""),IF(G32=K32,"FFD",""),IF(H32=K32,"BFD",""),IF(I32=K32,"WFD",""),IF(J32=K32,"CTP",""))</x:f>
        <x:v>IG</x:v>
      </x:c>
      <x:c r="M32" s="14" t="n">
        <x:f>IFERROR((F32-$K32)/$K32,"")</x:f>
        <x:v>0</x:v>
      </x:c>
      <x:c r="N32" s="14" t="n">
        <x:f>IFERROR((G32-$K32)/$K32,"")</x:f>
        <x:v>0.32051282051282054</x:v>
      </x:c>
      <x:c r="O32" s="14" t="n">
        <x:f>IFERROR((H32-$K32)/$K32,"")</x:f>
        <x:v>0.2948717948717949</x:v>
      </x:c>
      <x:c r="P32" s="14" t="n">
        <x:f>IFERROR((I32-$K32)/$K32,"")</x:f>
        <x:v>0.358974358974359</x:v>
      </x:c>
      <x:c r="Q32" s="14" t="n">
        <x:f>IFERROR((J32-$K32)/$K32,"")</x:f>
        <x:v>0.1282051282051282</x:v>
      </x:c>
      <x:c r="R32" t="n">
        <x:f>--(F32=$K32)</x:f>
        <x:v>1</x:v>
      </x:c>
      <x:c r="S32" t="n">
        <x:f>--(G32=$K32)</x:f>
        <x:v>0</x:v>
      </x:c>
      <x:c r="T32" t="n">
        <x:f>--(H32=$K32)</x:f>
        <x:v>0</x:v>
      </x:c>
      <x:c r="U32" t="n">
        <x:f>--(I32=$K32)</x:f>
        <x:v>0</x:v>
      </x:c>
      <x:c r="V32" t="n">
        <x:f>--(J32=$K32)</x:f>
        <x:v>0</x:v>
      </x:c>
    </x:row>
    <x:row r="33" ht="18" customHeight="1">
      <x:c r="A33" t="str">
        <x:v>bpps_d10000n25m5w500_1500s100_1000f1_seed1</x:v>
      </x:c>
      <x:c r="B33" s="16" t="n">
        <x:v>25</x:v>
      </x:c>
      <x:c r="C33" s="16" t="n">
        <x:v>5</x:v>
      </x:c>
      <x:c r="D33" s="16" t="n">
        <x:v>10000</x:v>
      </x:c>
      <x:c r="E33" s="16" t="n">
        <x:v>30</x:v>
      </x:c>
      <x:c r="F33" s="12" t="n">
        <x:v>64</x:v>
      </x:c>
      <x:c r="G33" s="12" t="n">
        <x:v>75</x:v>
      </x:c>
      <x:c r="H33" s="12" t="n">
        <x:v>75</x:v>
      </x:c>
      <x:c r="I33" s="12" t="n">
        <x:v>69</x:v>
      </x:c>
      <x:c r="J33" s="12" t="n">
        <x:v>64</x:v>
      </x:c>
      <x:c r="K33" s="12" t="n">
        <x:f>MIN(F33:J33)</x:f>
        <x:v>64</x:v>
      </x:c>
      <x:c r="L33" t="str">
        <x:f>TEXTJOIN(", ",TRUE,IF(F33=K33,"IG",""),IF(G33=K33,"FFD",""),IF(H33=K33,"BFD",""),IF(I33=K33,"WFD",""),IF(J33=K33,"CTP",""))</x:f>
        <x:v>IG, CTP</x:v>
      </x:c>
      <x:c r="M33" s="14" t="n">
        <x:f>IFERROR((F33-$K33)/$K33,"")</x:f>
        <x:v>0</x:v>
      </x:c>
      <x:c r="N33" s="14" t="n">
        <x:f>IFERROR((G33-$K33)/$K33,"")</x:f>
        <x:v>0.171875</x:v>
      </x:c>
      <x:c r="O33" s="14" t="n">
        <x:f>IFERROR((H33-$K33)/$K33,"")</x:f>
        <x:v>0.171875</x:v>
      </x:c>
      <x:c r="P33" s="14" t="n">
        <x:f>IFERROR((I33-$K33)/$K33,"")</x:f>
        <x:v>0.078125</x:v>
      </x:c>
      <x:c r="Q33" s="14" t="n">
        <x:f>IFERROR((J33-$K33)/$K33,"")</x:f>
        <x:v>0</x:v>
      </x:c>
      <x:c r="R33" t="n">
        <x:f>--(F33=$K33)</x:f>
        <x:v>1</x:v>
      </x:c>
      <x:c r="S33" t="n">
        <x:f>--(G33=$K33)</x:f>
        <x:v>0</x:v>
      </x:c>
      <x:c r="T33" t="n">
        <x:f>--(H33=$K33)</x:f>
        <x:v>0</x:v>
      </x:c>
      <x:c r="U33" t="n">
        <x:f>--(I33=$K33)</x:f>
        <x:v>0</x:v>
      </x:c>
      <x:c r="V33" t="n">
        <x:f>--(J33=$K33)</x:f>
        <x:v>1</x:v>
      </x:c>
    </x:row>
    <x:row r="34" ht="18" customHeight="1">
      <x:c r="A34" t="str">
        <x:v>bpps_d1000n25m10w150_300s100_200f0_seed0</x:v>
      </x:c>
      <x:c r="B34" s="16" t="n">
        <x:v>25</x:v>
      </x:c>
      <x:c r="C34" s="16" t="n">
        <x:v>10</x:v>
      </x:c>
      <x:c r="D34" s="16" t="n">
        <x:v>1000</x:v>
      </x:c>
      <x:c r="E34" s="16" t="n">
        <x:v>28</x:v>
      </x:c>
      <x:c r="F34" s="12" t="n">
        <x:v>9</x:v>
      </x:c>
      <x:c r="G34" s="12" t="n">
        <x:v>10</x:v>
      </x:c>
      <x:c r="H34" s="12" t="n">
        <x:v>10</x:v>
      </x:c>
      <x:c r="I34" s="12" t="n">
        <x:v>10</x:v>
      </x:c>
      <x:c r="J34" s="12" t="n">
        <x:v>10</x:v>
      </x:c>
      <x:c r="K34" s="12" t="n">
        <x:f>MIN(F34:J34)</x:f>
        <x:v>9</x:v>
      </x:c>
      <x:c r="L34" t="str">
        <x:f>TEXTJOIN(", ",TRUE,IF(F34=K34,"IG",""),IF(G34=K34,"FFD",""),IF(H34=K34,"BFD",""),IF(I34=K34,"WFD",""),IF(J34=K34,"CTP",""))</x:f>
        <x:v>IG</x:v>
      </x:c>
      <x:c r="M34" s="14" t="n">
        <x:f>IFERROR((F34-$K34)/$K34,"")</x:f>
        <x:v>0</x:v>
      </x:c>
      <x:c r="N34" s="14" t="n">
        <x:f>IFERROR((G34-$K34)/$K34,"")</x:f>
        <x:v>0.1111111111111111</x:v>
      </x:c>
      <x:c r="O34" s="14" t="n">
        <x:f>IFERROR((H34-$K34)/$K34,"")</x:f>
        <x:v>0.1111111111111111</x:v>
      </x:c>
      <x:c r="P34" s="14" t="n">
        <x:f>IFERROR((I34-$K34)/$K34,"")</x:f>
        <x:v>0.1111111111111111</x:v>
      </x:c>
      <x:c r="Q34" s="14" t="n">
        <x:f>IFERROR((J34-$K34)/$K34,"")</x:f>
        <x:v>0.1111111111111111</x:v>
      </x:c>
      <x:c r="R34" t="n">
        <x:f>--(F34=$K34)</x:f>
        <x:v>1</x:v>
      </x:c>
      <x:c r="S34" t="n">
        <x:f>--(G34=$K34)</x:f>
        <x:v>0</x:v>
      </x:c>
      <x:c r="T34" t="n">
        <x:f>--(H34=$K34)</x:f>
        <x:v>0</x:v>
      </x:c>
      <x:c r="U34" t="n">
        <x:f>--(I34=$K34)</x:f>
        <x:v>0</x:v>
      </x:c>
      <x:c r="V34" t="n">
        <x:f>--(J34=$K34)</x:f>
        <x:v>0</x:v>
      </x:c>
    </x:row>
    <x:row r="35" ht="18" customHeight="1">
      <x:c r="A35" t="str">
        <x:v>bpps_d1000n25m10w150_300s100_200f0_seed1</x:v>
      </x:c>
      <x:c r="B35" s="16" t="n">
        <x:v>25</x:v>
      </x:c>
      <x:c r="C35" s="16" t="n">
        <x:v>10</x:v>
      </x:c>
      <x:c r="D35" s="16" t="n">
        <x:v>1000</x:v>
      </x:c>
      <x:c r="E35" s="16" t="n">
        <x:v>44</x:v>
      </x:c>
      <x:c r="F35" s="12" t="n">
        <x:v>9</x:v>
      </x:c>
      <x:c r="G35" s="12" t="n">
        <x:v>11</x:v>
      </x:c>
      <x:c r="H35" s="12" t="n">
        <x:v>11</x:v>
      </x:c>
      <x:c r="I35" s="12" t="n">
        <x:v>11</x:v>
      </x:c>
      <x:c r="J35" s="12" t="n">
        <x:v>9</x:v>
      </x:c>
      <x:c r="K35" s="12" t="n">
        <x:f>MIN(F35:J35)</x:f>
        <x:v>9</x:v>
      </x:c>
      <x:c r="L35" t="str">
        <x:f>TEXTJOIN(", ",TRUE,IF(F35=K35,"IG",""),IF(G35=K35,"FFD",""),IF(H35=K35,"BFD",""),IF(I35=K35,"WFD",""),IF(J35=K35,"CTP",""))</x:f>
        <x:v>IG, CTP</x:v>
      </x:c>
      <x:c r="M35" s="14" t="n">
        <x:f>IFERROR((F35-$K35)/$K35,"")</x:f>
        <x:v>0</x:v>
      </x:c>
      <x:c r="N35" s="14" t="n">
        <x:f>IFERROR((G35-$K35)/$K35,"")</x:f>
        <x:v>0.2222222222222222</x:v>
      </x:c>
      <x:c r="O35" s="14" t="n">
        <x:f>IFERROR((H35-$K35)/$K35,"")</x:f>
        <x:v>0.2222222222222222</x:v>
      </x:c>
      <x:c r="P35" s="14" t="n">
        <x:f>IFERROR((I35-$K35)/$K35,"")</x:f>
        <x:v>0.2222222222222222</x:v>
      </x:c>
      <x:c r="Q35" s="14" t="n">
        <x:f>IFERROR((J35-$K35)/$K35,"")</x:f>
        <x:v>0</x:v>
      </x:c>
      <x:c r="R35" t="n">
        <x:f>--(F35=$K35)</x:f>
        <x:v>1</x:v>
      </x:c>
      <x:c r="S35" t="n">
        <x:f>--(G35=$K35)</x:f>
        <x:v>0</x:v>
      </x:c>
      <x:c r="T35" t="n">
        <x:f>--(H35=$K35)</x:f>
        <x:v>0</x:v>
      </x:c>
      <x:c r="U35" t="n">
        <x:f>--(I35=$K35)</x:f>
        <x:v>0</x:v>
      </x:c>
      <x:c r="V35" t="n">
        <x:f>--(J35=$K35)</x:f>
        <x:v>1</x:v>
      </x:c>
    </x:row>
    <x:row r="36" ht="18" customHeight="1">
      <x:c r="A36" t="str">
        <x:v>bpps_d1000n25m10w150_300s100_200f1_seed0</x:v>
      </x:c>
      <x:c r="B36" s="16" t="n">
        <x:v>25</x:v>
      </x:c>
      <x:c r="C36" s="16" t="n">
        <x:v>10</x:v>
      </x:c>
      <x:c r="D36" s="16" t="n">
        <x:v>1000</x:v>
      </x:c>
      <x:c r="E36" s="16" t="n">
        <x:v>31</x:v>
      </x:c>
      <x:c r="F36" s="12" t="n">
        <x:v>124</x:v>
      </x:c>
      <x:c r="G36" s="12" t="n">
        <x:v>155</x:v>
      </x:c>
      <x:c r="H36" s="12" t="n">
        <x:v>163</x:v>
      </x:c>
      <x:c r="I36" s="12" t="n">
        <x:v>154</x:v>
      </x:c>
      <x:c r="J36" s="12" t="n">
        <x:v>124</x:v>
      </x:c>
      <x:c r="K36" s="12" t="n">
        <x:f>MIN(F36:J36)</x:f>
        <x:v>124</x:v>
      </x:c>
      <x:c r="L36" t="str">
        <x:f>TEXTJOIN(", ",TRUE,IF(F36=K36,"IG",""),IF(G36=K36,"FFD",""),IF(H36=K36,"BFD",""),IF(I36=K36,"WFD",""),IF(J36=K36,"CTP",""))</x:f>
        <x:v>IG, CTP</x:v>
      </x:c>
      <x:c r="M36" s="14" t="n">
        <x:f>IFERROR((F36-$K36)/$K36,"")</x:f>
        <x:v>0</x:v>
      </x:c>
      <x:c r="N36" s="14" t="n">
        <x:f>IFERROR((G36-$K36)/$K36,"")</x:f>
        <x:v>0.25</x:v>
      </x:c>
      <x:c r="O36" s="14" t="n">
        <x:f>IFERROR((H36-$K36)/$K36,"")</x:f>
        <x:v>0.31451612903225806</x:v>
      </x:c>
      <x:c r="P36" s="14" t="n">
        <x:f>IFERROR((I36-$K36)/$K36,"")</x:f>
        <x:v>0.24193548387096775</x:v>
      </x:c>
      <x:c r="Q36" s="14" t="n">
        <x:f>IFERROR((J36-$K36)/$K36,"")</x:f>
        <x:v>0</x:v>
      </x:c>
      <x:c r="R36" t="n">
        <x:f>--(F36=$K36)</x:f>
        <x:v>1</x:v>
      </x:c>
      <x:c r="S36" t="n">
        <x:f>--(G36=$K36)</x:f>
        <x:v>0</x:v>
      </x:c>
      <x:c r="T36" t="n">
        <x:f>--(H36=$K36)</x:f>
        <x:v>0</x:v>
      </x:c>
      <x:c r="U36" t="n">
        <x:f>--(I36=$K36)</x:f>
        <x:v>0</x:v>
      </x:c>
      <x:c r="V36" t="n">
        <x:f>--(J36=$K36)</x:f>
        <x:v>1</x:v>
      </x:c>
    </x:row>
    <x:row r="37" ht="18" customHeight="1">
      <x:c r="A37" t="str">
        <x:v>bpps_d1000n25m10w150_300s100_200f1_seed1</x:v>
      </x:c>
      <x:c r="B37" s="16" t="n">
        <x:v>25</x:v>
      </x:c>
      <x:c r="C37" s="16" t="n">
        <x:v>10</x:v>
      </x:c>
      <x:c r="D37" s="16" t="n">
        <x:v>1000</x:v>
      </x:c>
      <x:c r="E37" s="16" t="n">
        <x:v>27</x:v>
      </x:c>
      <x:c r="F37" s="12" t="n">
        <x:v>114</x:v>
      </x:c>
      <x:c r="G37" s="12" t="n">
        <x:v>156</x:v>
      </x:c>
      <x:c r="H37" s="12" t="n">
        <x:v>156</x:v>
      </x:c>
      <x:c r="I37" s="12" t="n">
        <x:v>155</x:v>
      </x:c>
      <x:c r="J37" s="12" t="n">
        <x:v>119</x:v>
      </x:c>
      <x:c r="K37" s="12" t="n">
        <x:f>MIN(F37:J37)</x:f>
        <x:v>114</x:v>
      </x:c>
      <x:c r="L37" t="str">
        <x:f>TEXTJOIN(", ",TRUE,IF(F37=K37,"IG",""),IF(G37=K37,"FFD",""),IF(H37=K37,"BFD",""),IF(I37=K37,"WFD",""),IF(J37=K37,"CTP",""))</x:f>
        <x:v>IG</x:v>
      </x:c>
      <x:c r="M37" s="14" t="n">
        <x:f>IFERROR((F37-$K37)/$K37,"")</x:f>
        <x:v>0</x:v>
      </x:c>
      <x:c r="N37" s="14" t="n">
        <x:f>IFERROR((G37-$K37)/$K37,"")</x:f>
        <x:v>0.3684210526315789</x:v>
      </x:c>
      <x:c r="O37" s="14" t="n">
        <x:f>IFERROR((H37-$K37)/$K37,"")</x:f>
        <x:v>0.3684210526315789</x:v>
      </x:c>
      <x:c r="P37" s="14" t="n">
        <x:f>IFERROR((I37-$K37)/$K37,"")</x:f>
        <x:v>0.35964912280701755</x:v>
      </x:c>
      <x:c r="Q37" s="14" t="n">
        <x:f>IFERROR((J37-$K37)/$K37,"")</x:f>
        <x:v>0.043859649122807015</x:v>
      </x:c>
      <x:c r="R37" t="n">
        <x:f>--(F37=$K37)</x:f>
        <x:v>1</x:v>
      </x:c>
      <x:c r="S37" t="n">
        <x:f>--(G37=$K37)</x:f>
        <x:v>0</x:v>
      </x:c>
      <x:c r="T37" t="n">
        <x:f>--(H37=$K37)</x:f>
        <x:v>0</x:v>
      </x:c>
      <x:c r="U37" t="n">
        <x:f>--(I37=$K37)</x:f>
        <x:v>0</x:v>
      </x:c>
      <x:c r="V37" t="n">
        <x:f>--(J37=$K37)</x:f>
        <x:v>0</x:v>
      </x:c>
    </x:row>
    <x:row r="38" ht="18" customHeight="1">
      <x:c r="A38" t="str">
        <x:v>bpps_d1000n25m10w150_300s10_100f0_seed0</x:v>
      </x:c>
      <x:c r="B38" s="16" t="n">
        <x:v>25</x:v>
      </x:c>
      <x:c r="C38" s="16" t="n">
        <x:v>10</x:v>
      </x:c>
      <x:c r="D38" s="16" t="n">
        <x:v>1000</x:v>
      </x:c>
      <x:c r="E38" s="16" t="n">
        <x:v>32</x:v>
      </x:c>
      <x:c r="F38" s="12" t="n">
        <x:v>8</x:v>
      </x:c>
      <x:c r="G38" s="12" t="n">
        <x:v>8</x:v>
      </x:c>
      <x:c r="H38" s="12" t="n">
        <x:v>8</x:v>
      </x:c>
      <x:c r="I38" s="12" t="n">
        <x:v>8</x:v>
      </x:c>
      <x:c r="J38" s="12" t="n">
        <x:v>8</x:v>
      </x:c>
      <x:c r="K38" s="12" t="n">
        <x:f>MIN(F38:J38)</x:f>
        <x:v>8</x:v>
      </x:c>
      <x:c r="L38" t="str">
        <x:f>TEXTJOIN(", ",TRUE,IF(F38=K38,"IG",""),IF(G38=K38,"FFD",""),IF(H38=K38,"BFD",""),IF(I38=K38,"WFD",""),IF(J38=K38,"CTP",""))</x:f>
        <x:v>IG, FFD, BFD, WFD, CTP</x:v>
      </x:c>
      <x:c r="M38" s="14" t="n">
        <x:f>IFERROR((F38-$K38)/$K38,"")</x:f>
        <x:v>0</x:v>
      </x:c>
      <x:c r="N38" s="14" t="n">
        <x:f>IFERROR((G38-$K38)/$K38,"")</x:f>
        <x:v>0</x:v>
      </x:c>
      <x:c r="O38" s="14" t="n">
        <x:f>IFERROR((H38-$K38)/$K38,"")</x:f>
        <x:v>0</x:v>
      </x:c>
      <x:c r="P38" s="14" t="n">
        <x:f>IFERROR((I38-$K38)/$K38,"")</x:f>
        <x:v>0</x:v>
      </x:c>
      <x:c r="Q38" s="14" t="n">
        <x:f>IFERROR((J38-$K38)/$K38,"")</x:f>
        <x:v>0</x:v>
      </x:c>
      <x:c r="R38" t="n">
        <x:f>--(F38=$K38)</x:f>
        <x:v>1</x:v>
      </x:c>
      <x:c r="S38" t="n">
        <x:f>--(G38=$K38)</x:f>
        <x:v>1</x:v>
      </x:c>
      <x:c r="T38" t="n">
        <x:f>--(H38=$K38)</x:f>
        <x:v>1</x:v>
      </x:c>
      <x:c r="U38" t="n">
        <x:f>--(I38=$K38)</x:f>
        <x:v>1</x:v>
      </x:c>
      <x:c r="V38" t="n">
        <x:f>--(J38=$K38)</x:f>
        <x:v>1</x:v>
      </x:c>
    </x:row>
    <x:row r="39" ht="18" customHeight="1">
      <x:c r="A39" t="str">
        <x:v>bpps_d1000n25m10w150_300s10_100f0_seed1</x:v>
      </x:c>
      <x:c r="B39" s="16" t="n">
        <x:v>25</x:v>
      </x:c>
      <x:c r="C39" s="16" t="n">
        <x:v>10</x:v>
      </x:c>
      <x:c r="D39" s="16" t="n">
        <x:v>1000</x:v>
      </x:c>
      <x:c r="E39" s="16" t="n">
        <x:v>38</x:v>
      </x:c>
      <x:c r="F39" s="12" t="n">
        <x:v>8</x:v>
      </x:c>
      <x:c r="G39" s="12" t="n">
        <x:v>8</x:v>
      </x:c>
      <x:c r="H39" s="12" t="n">
        <x:v>8</x:v>
      </x:c>
      <x:c r="I39" s="12" t="n">
        <x:v>8</x:v>
      </x:c>
      <x:c r="J39" s="12" t="n">
        <x:v>8</x:v>
      </x:c>
      <x:c r="K39" s="12" t="n">
        <x:f>MIN(F39:J39)</x:f>
        <x:v>8</x:v>
      </x:c>
      <x:c r="L39" t="str">
        <x:f>TEXTJOIN(", ",TRUE,IF(F39=K39,"IG",""),IF(G39=K39,"FFD",""),IF(H39=K39,"BFD",""),IF(I39=K39,"WFD",""),IF(J39=K39,"CTP",""))</x:f>
        <x:v>IG, FFD, BFD, WFD, CTP</x:v>
      </x:c>
      <x:c r="M39" s="14" t="n">
        <x:f>IFERROR((F39-$K39)/$K39,"")</x:f>
        <x:v>0</x:v>
      </x:c>
      <x:c r="N39" s="14" t="n">
        <x:f>IFERROR((G39-$K39)/$K39,"")</x:f>
        <x:v>0</x:v>
      </x:c>
      <x:c r="O39" s="14" t="n">
        <x:f>IFERROR((H39-$K39)/$K39,"")</x:f>
        <x:v>0</x:v>
      </x:c>
      <x:c r="P39" s="14" t="n">
        <x:f>IFERROR((I39-$K39)/$K39,"")</x:f>
        <x:v>0</x:v>
      </x:c>
      <x:c r="Q39" s="14" t="n">
        <x:f>IFERROR((J39-$K39)/$K39,"")</x:f>
        <x:v>0</x:v>
      </x:c>
      <x:c r="R39" t="n">
        <x:f>--(F39=$K39)</x:f>
        <x:v>1</x:v>
      </x:c>
      <x:c r="S39" t="n">
        <x:f>--(G39=$K39)</x:f>
        <x:v>1</x:v>
      </x:c>
      <x:c r="T39" t="n">
        <x:f>--(H39=$K39)</x:f>
        <x:v>1</x:v>
      </x:c>
      <x:c r="U39" t="n">
        <x:f>--(I39=$K39)</x:f>
        <x:v>1</x:v>
      </x:c>
      <x:c r="V39" t="n">
        <x:f>--(J39=$K39)</x:f>
        <x:v>1</x:v>
      </x:c>
    </x:row>
    <x:row r="40" ht="18" customHeight="1">
      <x:c r="A40" t="str">
        <x:v>bpps_d1000n25m10w150_300s10_100f1_seed0</x:v>
      </x:c>
      <x:c r="B40" s="16" t="n">
        <x:v>25</x:v>
      </x:c>
      <x:c r="C40" s="16" t="n">
        <x:v>10</x:v>
      </x:c>
      <x:c r="D40" s="16" t="n">
        <x:v>1000</x:v>
      </x:c>
      <x:c r="E40" s="16" t="n">
        <x:v>23</x:v>
      </x:c>
      <x:c r="F40" s="12" t="n">
        <x:v>105</x:v>
      </x:c>
      <x:c r="G40" s="12" t="n">
        <x:v>149</x:v>
      </x:c>
      <x:c r="H40" s="12" t="n">
        <x:v>149</x:v>
      </x:c>
      <x:c r="I40" s="12" t="n">
        <x:v>147</x:v>
      </x:c>
      <x:c r="J40" s="12" t="n">
        <x:v>105</x:v>
      </x:c>
      <x:c r="K40" s="12" t="n">
        <x:f>MIN(F40:J40)</x:f>
        <x:v>105</x:v>
      </x:c>
      <x:c r="L40" t="str">
        <x:f>TEXTJOIN(", ",TRUE,IF(F40=K40,"IG",""),IF(G40=K40,"FFD",""),IF(H40=K40,"BFD",""),IF(I40=K40,"WFD",""),IF(J40=K40,"CTP",""))</x:f>
        <x:v>IG, CTP</x:v>
      </x:c>
      <x:c r="M40" s="14" t="n">
        <x:f>IFERROR((F40-$K40)/$K40,"")</x:f>
        <x:v>0</x:v>
      </x:c>
      <x:c r="N40" s="14" t="n">
        <x:f>IFERROR((G40-$K40)/$K40,"")</x:f>
        <x:v>0.41904761904761906</x:v>
      </x:c>
      <x:c r="O40" s="14" t="n">
        <x:f>IFERROR((H40-$K40)/$K40,"")</x:f>
        <x:v>0.41904761904761906</x:v>
      </x:c>
      <x:c r="P40" s="14" t="n">
        <x:f>IFERROR((I40-$K40)/$K40,"")</x:f>
        <x:v>0.4</x:v>
      </x:c>
      <x:c r="Q40" s="14" t="n">
        <x:f>IFERROR((J40-$K40)/$K40,"")</x:f>
        <x:v>0</x:v>
      </x:c>
      <x:c r="R40" t="n">
        <x:f>--(F40=$K40)</x:f>
        <x:v>1</x:v>
      </x:c>
      <x:c r="S40" t="n">
        <x:f>--(G40=$K40)</x:f>
        <x:v>0</x:v>
      </x:c>
      <x:c r="T40" t="n">
        <x:f>--(H40=$K40)</x:f>
        <x:v>0</x:v>
      </x:c>
      <x:c r="U40" t="n">
        <x:f>--(I40=$K40)</x:f>
        <x:v>0</x:v>
      </x:c>
      <x:c r="V40" t="n">
        <x:f>--(J40=$K40)</x:f>
        <x:v>1</x:v>
      </x:c>
    </x:row>
    <x:row r="41" ht="18" customHeight="1">
      <x:c r="A41" t="str">
        <x:v>bpps_d1000n25m10w150_300s10_100f1_seed1</x:v>
      </x:c>
      <x:c r="B41" s="16" t="n">
        <x:v>25</x:v>
      </x:c>
      <x:c r="C41" s="16" t="n">
        <x:v>10</x:v>
      </x:c>
      <x:c r="D41" s="16" t="n">
        <x:v>1000</x:v>
      </x:c>
      <x:c r="E41" s="16" t="n">
        <x:v>30</x:v>
      </x:c>
      <x:c r="F41" s="12" t="n">
        <x:v>100</x:v>
      </x:c>
      <x:c r="G41" s="12" t="n">
        <x:v>116</x:v>
      </x:c>
      <x:c r="H41" s="12" t="n">
        <x:v>116</x:v>
      </x:c>
      <x:c r="I41" s="12" t="n">
        <x:v>125</x:v>
      </x:c>
      <x:c r="J41" s="12" t="n">
        <x:v>100</x:v>
      </x:c>
      <x:c r="K41" s="12" t="n">
        <x:f>MIN(F41:J41)</x:f>
        <x:v>100</x:v>
      </x:c>
      <x:c r="L41" t="str">
        <x:f>TEXTJOIN(", ",TRUE,IF(F41=K41,"IG",""),IF(G41=K41,"FFD",""),IF(H41=K41,"BFD",""),IF(I41=K41,"WFD",""),IF(J41=K41,"CTP",""))</x:f>
        <x:v>IG, CTP</x:v>
      </x:c>
      <x:c r="M41" s="14" t="n">
        <x:f>IFERROR((F41-$K41)/$K41,"")</x:f>
        <x:v>0</x:v>
      </x:c>
      <x:c r="N41" s="14" t="n">
        <x:f>IFERROR((G41-$K41)/$K41,"")</x:f>
        <x:v>0.16</x:v>
      </x:c>
      <x:c r="O41" s="14" t="n">
        <x:f>IFERROR((H41-$K41)/$K41,"")</x:f>
        <x:v>0.16</x:v>
      </x:c>
      <x:c r="P41" s="14" t="n">
        <x:f>IFERROR((I41-$K41)/$K41,"")</x:f>
        <x:v>0.25</x:v>
      </x:c>
      <x:c r="Q41" s="14" t="n">
        <x:f>IFERROR((J41-$K41)/$K41,"")</x:f>
        <x:v>0</x:v>
      </x:c>
      <x:c r="R41" t="n">
        <x:f>--(F41=$K41)</x:f>
        <x:v>1</x:v>
      </x:c>
      <x:c r="S41" t="n">
        <x:f>--(G41=$K41)</x:f>
        <x:v>0</x:v>
      </x:c>
      <x:c r="T41" t="n">
        <x:f>--(H41=$K41)</x:f>
        <x:v>0</x:v>
      </x:c>
      <x:c r="U41" t="n">
        <x:f>--(I41=$K41)</x:f>
        <x:v>0</x:v>
      </x:c>
      <x:c r="V41" t="n">
        <x:f>--(J41=$K41)</x:f>
        <x:v>1</x:v>
      </x:c>
    </x:row>
    <x:row r="42" ht="18" customHeight="1">
      <x:c r="A42" t="str">
        <x:v>bpps_d1000n25m10w50_150s100_200f0_seed0</x:v>
      </x:c>
      <x:c r="B42" s="16" t="n">
        <x:v>25</x:v>
      </x:c>
      <x:c r="C42" s="16" t="n">
        <x:v>10</x:v>
      </x:c>
      <x:c r="D42" s="16" t="n">
        <x:v>1000</x:v>
      </x:c>
      <x:c r="E42" s="16" t="n">
        <x:v>29</x:v>
      </x:c>
      <x:c r="F42" s="12" t="n">
        <x:v>5</x:v>
      </x:c>
      <x:c r="G42" s="12" t="n">
        <x:v>5</x:v>
      </x:c>
      <x:c r="H42" s="12" t="n">
        <x:v>6</x:v>
      </x:c>
      <x:c r="I42" s="12" t="n">
        <x:v>6</x:v>
      </x:c>
      <x:c r="J42" s="12" t="n">
        <x:v>5</x:v>
      </x:c>
      <x:c r="K42" s="12" t="n">
        <x:f>MIN(F42:J42)</x:f>
        <x:v>5</x:v>
      </x:c>
      <x:c r="L42" t="str">
        <x:f>TEXTJOIN(", ",TRUE,IF(F42=K42,"IG",""),IF(G42=K42,"FFD",""),IF(H42=K42,"BFD",""),IF(I42=K42,"WFD",""),IF(J42=K42,"CTP",""))</x:f>
        <x:v>IG, FFD, CTP</x:v>
      </x:c>
      <x:c r="M42" s="14" t="n">
        <x:f>IFERROR((F42-$K42)/$K42,"")</x:f>
        <x:v>0</x:v>
      </x:c>
      <x:c r="N42" s="14" t="n">
        <x:f>IFERROR((G42-$K42)/$K42,"")</x:f>
        <x:v>0</x:v>
      </x:c>
      <x:c r="O42" s="14" t="n">
        <x:f>IFERROR((H42-$K42)/$K42,"")</x:f>
        <x:v>0.2</x:v>
      </x:c>
      <x:c r="P42" s="14" t="n">
        <x:f>IFERROR((I42-$K42)/$K42,"")</x:f>
        <x:v>0.2</x:v>
      </x:c>
      <x:c r="Q42" s="14" t="n">
        <x:f>IFERROR((J42-$K42)/$K42,"")</x:f>
        <x:v>0</x:v>
      </x:c>
      <x:c r="R42" t="n">
        <x:f>--(F42=$K42)</x:f>
        <x:v>1</x:v>
      </x:c>
      <x:c r="S42" t="n">
        <x:f>--(G42=$K42)</x:f>
        <x:v>1</x:v>
      </x:c>
      <x:c r="T42" t="n">
        <x:f>--(H42=$K42)</x:f>
        <x:v>0</x:v>
      </x:c>
      <x:c r="U42" t="n">
        <x:f>--(I42=$K42)</x:f>
        <x:v>0</x:v>
      </x:c>
      <x:c r="V42" t="n">
        <x:f>--(J42=$K42)</x:f>
        <x:v>1</x:v>
      </x:c>
    </x:row>
    <x:row r="43" ht="18" customHeight="1">
      <x:c r="A43" t="str">
        <x:v>bpps_d1000n25m10w50_150s100_200f0_seed1</x:v>
      </x:c>
      <x:c r="B43" s="16" t="n">
        <x:v>25</x:v>
      </x:c>
      <x:c r="C43" s="16" t="n">
        <x:v>10</x:v>
      </x:c>
      <x:c r="D43" s="16" t="n">
        <x:v>1000</x:v>
      </x:c>
      <x:c r="E43" s="16" t="n">
        <x:v>30</x:v>
      </x:c>
      <x:c r="F43" s="12" t="n">
        <x:v>5</x:v>
      </x:c>
      <x:c r="G43" s="12" t="n">
        <x:v>6</x:v>
      </x:c>
      <x:c r="H43" s="12" t="n">
        <x:v>6</x:v>
      </x:c>
      <x:c r="I43" s="12" t="n">
        <x:v>6</x:v>
      </x:c>
      <x:c r="J43" s="12" t="n">
        <x:v>5</x:v>
      </x:c>
      <x:c r="K43" s="12" t="n">
        <x:f>MIN(F43:J43)</x:f>
        <x:v>5</x:v>
      </x:c>
      <x:c r="L43" t="str">
        <x:f>TEXTJOIN(", ",TRUE,IF(F43=K43,"IG",""),IF(G43=K43,"FFD",""),IF(H43=K43,"BFD",""),IF(I43=K43,"WFD",""),IF(J43=K43,"CTP",""))</x:f>
        <x:v>IG, CTP</x:v>
      </x:c>
      <x:c r="M43" s="14" t="n">
        <x:f>IFERROR((F43-$K43)/$K43,"")</x:f>
        <x:v>0</x:v>
      </x:c>
      <x:c r="N43" s="14" t="n">
        <x:f>IFERROR((G43-$K43)/$K43,"")</x:f>
        <x:v>0.2</x:v>
      </x:c>
      <x:c r="O43" s="14" t="n">
        <x:f>IFERROR((H43-$K43)/$K43,"")</x:f>
        <x:v>0.2</x:v>
      </x:c>
      <x:c r="P43" s="14" t="n">
        <x:f>IFERROR((I43-$K43)/$K43,"")</x:f>
        <x:v>0.2</x:v>
      </x:c>
      <x:c r="Q43" s="14" t="n">
        <x:f>IFERROR((J43-$K43)/$K43,"")</x:f>
        <x:v>0</x:v>
      </x:c>
      <x:c r="R43" t="n">
        <x:f>--(F43=$K43)</x:f>
        <x:v>1</x:v>
      </x:c>
      <x:c r="S43" t="n">
        <x:f>--(G43=$K43)</x:f>
        <x:v>0</x:v>
      </x:c>
      <x:c r="T43" t="n">
        <x:f>--(H43=$K43)</x:f>
        <x:v>0</x:v>
      </x:c>
      <x:c r="U43" t="n">
        <x:f>--(I43=$K43)</x:f>
        <x:v>0</x:v>
      </x:c>
      <x:c r="V43" t="n">
        <x:f>--(J43=$K43)</x:f>
        <x:v>1</x:v>
      </x:c>
    </x:row>
    <x:row r="44" ht="18" customHeight="1">
      <x:c r="A44" t="str">
        <x:v>bpps_d1000n25m10w50_150s100_200f1_seed0</x:v>
      </x:c>
      <x:c r="B44" s="16" t="n">
        <x:v>25</x:v>
      </x:c>
      <x:c r="C44" s="16" t="n">
        <x:v>10</x:v>
      </x:c>
      <x:c r="D44" s="16" t="n">
        <x:v>1000</x:v>
      </x:c>
      <x:c r="E44" s="16" t="n">
        <x:v>24</x:v>
      </x:c>
      <x:c r="F44" s="12" t="n">
        <x:v>87</x:v>
      </x:c>
      <x:c r="G44" s="12" t="n">
        <x:v>114</x:v>
      </x:c>
      <x:c r="H44" s="12" t="n">
        <x:v>116</x:v>
      </x:c>
      <x:c r="I44" s="12" t="n">
        <x:v>115</x:v>
      </x:c>
      <x:c r="J44" s="12" t="n">
        <x:v>87</x:v>
      </x:c>
      <x:c r="K44" s="12" t="n">
        <x:f>MIN(F44:J44)</x:f>
        <x:v>87</x:v>
      </x:c>
      <x:c r="L44" t="str">
        <x:f>TEXTJOIN(", ",TRUE,IF(F44=K44,"IG",""),IF(G44=K44,"FFD",""),IF(H44=K44,"BFD",""),IF(I44=K44,"WFD",""),IF(J44=K44,"CTP",""))</x:f>
        <x:v>IG, CTP</x:v>
      </x:c>
      <x:c r="M44" s="14" t="n">
        <x:f>IFERROR((F44-$K44)/$K44,"")</x:f>
        <x:v>0</x:v>
      </x:c>
      <x:c r="N44" s="14" t="n">
        <x:f>IFERROR((G44-$K44)/$K44,"")</x:f>
        <x:v>0.3103448275862069</x:v>
      </x:c>
      <x:c r="O44" s="14" t="n">
        <x:f>IFERROR((H44-$K44)/$K44,"")</x:f>
        <x:v>0.3333333333333333</x:v>
      </x:c>
      <x:c r="P44" s="14" t="n">
        <x:f>IFERROR((I44-$K44)/$K44,"")</x:f>
        <x:v>0.3218390804597701</x:v>
      </x:c>
      <x:c r="Q44" s="14" t="n">
        <x:f>IFERROR((J44-$K44)/$K44,"")</x:f>
        <x:v>0</x:v>
      </x:c>
      <x:c r="R44" t="n">
        <x:f>--(F44=$K44)</x:f>
        <x:v>1</x:v>
      </x:c>
      <x:c r="S44" t="n">
        <x:f>--(G44=$K44)</x:f>
        <x:v>0</x:v>
      </x:c>
      <x:c r="T44" t="n">
        <x:f>--(H44=$K44)</x:f>
        <x:v>0</x:v>
      </x:c>
      <x:c r="U44" t="n">
        <x:f>--(I44=$K44)</x:f>
        <x:v>0</x:v>
      </x:c>
      <x:c r="V44" t="n">
        <x:f>--(J44=$K44)</x:f>
        <x:v>1</x:v>
      </x:c>
    </x:row>
    <x:row r="45" ht="18" customHeight="1">
      <x:c r="A45" t="str">
        <x:v>bpps_d1000n25m10w50_150s100_200f1_seed1</x:v>
      </x:c>
      <x:c r="B45" s="16" t="n">
        <x:v>25</x:v>
      </x:c>
      <x:c r="C45" s="16" t="n">
        <x:v>10</x:v>
      </x:c>
      <x:c r="D45" s="16" t="n">
        <x:v>1000</x:v>
      </x:c>
      <x:c r="E45" s="16" t="n">
        <x:v>30</x:v>
      </x:c>
      <x:c r="F45" s="12" t="n">
        <x:v>87</x:v>
      </x:c>
      <x:c r="G45" s="12" t="n">
        <x:v>107</x:v>
      </x:c>
      <x:c r="H45" s="12" t="n">
        <x:v>107</x:v>
      </x:c>
      <x:c r="I45" s="12" t="n">
        <x:v>114</x:v>
      </x:c>
      <x:c r="J45" s="12" t="n">
        <x:v>97</x:v>
      </x:c>
      <x:c r="K45" s="12" t="n">
        <x:f>MIN(F45:J45)</x:f>
        <x:v>87</x:v>
      </x:c>
      <x:c r="L45" t="str">
        <x:f>TEXTJOIN(", ",TRUE,IF(F45=K45,"IG",""),IF(G45=K45,"FFD",""),IF(H45=K45,"BFD",""),IF(I45=K45,"WFD",""),IF(J45=K45,"CTP",""))</x:f>
        <x:v>IG</x:v>
      </x:c>
      <x:c r="M45" s="14" t="n">
        <x:f>IFERROR((F45-$K45)/$K45,"")</x:f>
        <x:v>0</x:v>
      </x:c>
      <x:c r="N45" s="14" t="n">
        <x:f>IFERROR((G45-$K45)/$K45,"")</x:f>
        <x:v>0.22988505747126436</x:v>
      </x:c>
      <x:c r="O45" s="14" t="n">
        <x:f>IFERROR((H45-$K45)/$K45,"")</x:f>
        <x:v>0.22988505747126436</x:v>
      </x:c>
      <x:c r="P45" s="14" t="n">
        <x:f>IFERROR((I45-$K45)/$K45,"")</x:f>
        <x:v>0.3103448275862069</x:v>
      </x:c>
      <x:c r="Q45" s="14" t="n">
        <x:f>IFERROR((J45-$K45)/$K45,"")</x:f>
        <x:v>0.11494252873563218</x:v>
      </x:c>
      <x:c r="R45" t="n">
        <x:f>--(F45=$K45)</x:f>
        <x:v>1</x:v>
      </x:c>
      <x:c r="S45" t="n">
        <x:f>--(G45=$K45)</x:f>
        <x:v>0</x:v>
      </x:c>
      <x:c r="T45" t="n">
        <x:f>--(H45=$K45)</x:f>
        <x:v>0</x:v>
      </x:c>
      <x:c r="U45" t="n">
        <x:f>--(I45=$K45)</x:f>
        <x:v>0</x:v>
      </x:c>
      <x:c r="V45" t="n">
        <x:f>--(J45=$K45)</x:f>
        <x:v>0</x:v>
      </x:c>
    </x:row>
    <x:row r="46" ht="18" customHeight="1">
      <x:c r="A46" t="str">
        <x:v>bpps_d1000n25m10w50_150s10_100f0_seed0</x:v>
      </x:c>
      <x:c r="B46" s="16" t="n">
        <x:v>25</x:v>
      </x:c>
      <x:c r="C46" s="16" t="n">
        <x:v>10</x:v>
      </x:c>
      <x:c r="D46" s="16" t="n">
        <x:v>1000</x:v>
      </x:c>
      <x:c r="E46" s="16" t="n">
        <x:v>28</x:v>
      </x:c>
      <x:c r="F46" s="12" t="n">
        <x:v>4</x:v>
      </x:c>
      <x:c r="G46" s="12" t="n">
        <x:v>4</x:v>
      </x:c>
      <x:c r="H46" s="12" t="n">
        <x:v>4</x:v>
      </x:c>
      <x:c r="I46" s="12" t="n">
        <x:v>4</x:v>
      </x:c>
      <x:c r="J46" s="12" t="n">
        <x:v>5</x:v>
      </x:c>
      <x:c r="K46" s="12" t="n">
        <x:f>MIN(F46:J46)</x:f>
        <x:v>4</x:v>
      </x:c>
      <x:c r="L46" t="str">
        <x:f>TEXTJOIN(", ",TRUE,IF(F46=K46,"IG",""),IF(G46=K46,"FFD",""),IF(H46=K46,"BFD",""),IF(I46=K46,"WFD",""),IF(J46=K46,"CTP",""))</x:f>
        <x:v>IG, FFD, BFD, WFD</x:v>
      </x:c>
      <x:c r="M46" s="14" t="n">
        <x:f>IFERROR((F46-$K46)/$K46,"")</x:f>
        <x:v>0</x:v>
      </x:c>
      <x:c r="N46" s="14" t="n">
        <x:f>IFERROR((G46-$K46)/$K46,"")</x:f>
        <x:v>0</x:v>
      </x:c>
      <x:c r="O46" s="14" t="n">
        <x:f>IFERROR((H46-$K46)/$K46,"")</x:f>
        <x:v>0</x:v>
      </x:c>
      <x:c r="P46" s="14" t="n">
        <x:f>IFERROR((I46-$K46)/$K46,"")</x:f>
        <x:v>0</x:v>
      </x:c>
      <x:c r="Q46" s="14" t="n">
        <x:f>IFERROR((J46-$K46)/$K46,"")</x:f>
        <x:v>0.25</x:v>
      </x:c>
      <x:c r="R46" t="n">
        <x:f>--(F46=$K46)</x:f>
        <x:v>1</x:v>
      </x:c>
      <x:c r="S46" t="n">
        <x:f>--(G46=$K46)</x:f>
        <x:v>1</x:v>
      </x:c>
      <x:c r="T46" t="n">
        <x:f>--(H46=$K46)</x:f>
        <x:v>1</x:v>
      </x:c>
      <x:c r="U46" t="n">
        <x:f>--(I46=$K46)</x:f>
        <x:v>1</x:v>
      </x:c>
      <x:c r="V46" t="n">
        <x:f>--(J46=$K46)</x:f>
        <x:v>0</x:v>
      </x:c>
    </x:row>
    <x:row r="47" ht="18" customHeight="1">
      <x:c r="A47" t="str">
        <x:v>bpps_d1000n25m10w50_150s10_100f0_seed1</x:v>
      </x:c>
      <x:c r="B47" s="16" t="n">
        <x:v>25</x:v>
      </x:c>
      <x:c r="C47" s="16" t="n">
        <x:v>10</x:v>
      </x:c>
      <x:c r="D47" s="16" t="n">
        <x:v>1000</x:v>
      </x:c>
      <x:c r="E47" s="16" t="n">
        <x:v>27</x:v>
      </x:c>
      <x:c r="F47" s="12" t="n">
        <x:v>4</x:v>
      </x:c>
      <x:c r="G47" s="12" t="n">
        <x:v>4</x:v>
      </x:c>
      <x:c r="H47" s="12" t="n">
        <x:v>4</x:v>
      </x:c>
      <x:c r="I47" s="12" t="n">
        <x:v>4</x:v>
      </x:c>
      <x:c r="J47" s="12" t="n">
        <x:v>5</x:v>
      </x:c>
      <x:c r="K47" s="12" t="n">
        <x:f>MIN(F47:J47)</x:f>
        <x:v>4</x:v>
      </x:c>
      <x:c r="L47" t="str">
        <x:f>TEXTJOIN(", ",TRUE,IF(F47=K47,"IG",""),IF(G47=K47,"FFD",""),IF(H47=K47,"BFD",""),IF(I47=K47,"WFD",""),IF(J47=K47,"CTP",""))</x:f>
        <x:v>IG, FFD, BFD, WFD</x:v>
      </x:c>
      <x:c r="M47" s="14" t="n">
        <x:f>IFERROR((F47-$K47)/$K47,"")</x:f>
        <x:v>0</x:v>
      </x:c>
      <x:c r="N47" s="14" t="n">
        <x:f>IFERROR((G47-$K47)/$K47,"")</x:f>
        <x:v>0</x:v>
      </x:c>
      <x:c r="O47" s="14" t="n">
        <x:f>IFERROR((H47-$K47)/$K47,"")</x:f>
        <x:v>0</x:v>
      </x:c>
      <x:c r="P47" s="14" t="n">
        <x:f>IFERROR((I47-$K47)/$K47,"")</x:f>
        <x:v>0</x:v>
      </x:c>
      <x:c r="Q47" s="14" t="n">
        <x:f>IFERROR((J47-$K47)/$K47,"")</x:f>
        <x:v>0.25</x:v>
      </x:c>
      <x:c r="R47" t="n">
        <x:f>--(F47=$K47)</x:f>
        <x:v>1</x:v>
      </x:c>
      <x:c r="S47" t="n">
        <x:f>--(G47=$K47)</x:f>
        <x:v>1</x:v>
      </x:c>
      <x:c r="T47" t="n">
        <x:f>--(H47=$K47)</x:f>
        <x:v>1</x:v>
      </x:c>
      <x:c r="U47" t="n">
        <x:f>--(I47=$K47)</x:f>
        <x:v>1</x:v>
      </x:c>
      <x:c r="V47" t="n">
        <x:f>--(J47=$K47)</x:f>
        <x:v>0</x:v>
      </x:c>
    </x:row>
    <x:row r="48" ht="18" customHeight="1">
      <x:c r="A48" t="str">
        <x:v>bpps_d1000n25m10w50_150s10_100f1_seed0</x:v>
      </x:c>
      <x:c r="B48" s="16" t="n">
        <x:v>25</x:v>
      </x:c>
      <x:c r="C48" s="16" t="n">
        <x:v>10</x:v>
      </x:c>
      <x:c r="D48" s="16" t="n">
        <x:v>1000</x:v>
      </x:c>
      <x:c r="E48" s="16" t="n">
        <x:v>38</x:v>
      </x:c>
      <x:c r="F48" s="12" t="n">
        <x:v>83</x:v>
      </x:c>
      <x:c r="G48" s="12" t="n">
        <x:v>97</x:v>
      </x:c>
      <x:c r="H48" s="12" t="n">
        <x:v>99</x:v>
      </x:c>
      <x:c r="I48" s="12" t="n">
        <x:v>93</x:v>
      </x:c>
      <x:c r="J48" s="12" t="n">
        <x:v>83</x:v>
      </x:c>
      <x:c r="K48" s="12" t="n">
        <x:f>MIN(F48:J48)</x:f>
        <x:v>83</x:v>
      </x:c>
      <x:c r="L48" t="str">
        <x:f>TEXTJOIN(", ",TRUE,IF(F48=K48,"IG",""),IF(G48=K48,"FFD",""),IF(H48=K48,"BFD",""),IF(I48=K48,"WFD",""),IF(J48=K48,"CTP",""))</x:f>
        <x:v>IG, CTP</x:v>
      </x:c>
      <x:c r="M48" s="14" t="n">
        <x:f>IFERROR((F48-$K48)/$K48,"")</x:f>
        <x:v>0</x:v>
      </x:c>
      <x:c r="N48" s="14" t="n">
        <x:f>IFERROR((G48-$K48)/$K48,"")</x:f>
        <x:v>0.1686746987951807</x:v>
      </x:c>
      <x:c r="O48" s="14" t="n">
        <x:f>IFERROR((H48-$K48)/$K48,"")</x:f>
        <x:v>0.1927710843373494</x:v>
      </x:c>
      <x:c r="P48" s="14" t="n">
        <x:f>IFERROR((I48-$K48)/$K48,"")</x:f>
        <x:v>0.12048192771084337</x:v>
      </x:c>
      <x:c r="Q48" s="14" t="n">
        <x:f>IFERROR((J48-$K48)/$K48,"")</x:f>
        <x:v>0</x:v>
      </x:c>
      <x:c r="R48" t="n">
        <x:f>--(F48=$K48)</x:f>
        <x:v>1</x:v>
      </x:c>
      <x:c r="S48" t="n">
        <x:f>--(G48=$K48)</x:f>
        <x:v>0</x:v>
      </x:c>
      <x:c r="T48" t="n">
        <x:f>--(H48=$K48)</x:f>
        <x:v>0</x:v>
      </x:c>
      <x:c r="U48" t="n">
        <x:f>--(I48=$K48)</x:f>
        <x:v>0</x:v>
      </x:c>
      <x:c r="V48" t="n">
        <x:f>--(J48=$K48)</x:f>
        <x:v>1</x:v>
      </x:c>
    </x:row>
    <x:row r="49" ht="18" customHeight="1">
      <x:c r="A49" t="str">
        <x:v>bpps_d1000n25m10w50_150s10_100f1_seed1</x:v>
      </x:c>
      <x:c r="B49" s="16" t="n">
        <x:v>25</x:v>
      </x:c>
      <x:c r="C49" s="16" t="n">
        <x:v>10</x:v>
      </x:c>
      <x:c r="D49" s="16" t="n">
        <x:v>1000</x:v>
      </x:c>
      <x:c r="E49" s="16" t="n">
        <x:v>28</x:v>
      </x:c>
      <x:c r="F49" s="12" t="n">
        <x:v>79</x:v>
      </x:c>
      <x:c r="G49" s="12" t="n">
        <x:v>95</x:v>
      </x:c>
      <x:c r="H49" s="12" t="n">
        <x:v>95</x:v>
      </x:c>
      <x:c r="I49" s="12" t="n">
        <x:v>93</x:v>
      </x:c>
      <x:c r="J49" s="12" t="n">
        <x:v>89</x:v>
      </x:c>
      <x:c r="K49" s="12" t="n">
        <x:f>MIN(F49:J49)</x:f>
        <x:v>79</x:v>
      </x:c>
      <x:c r="L49" t="str">
        <x:f>TEXTJOIN(", ",TRUE,IF(F49=K49,"IG",""),IF(G49=K49,"FFD",""),IF(H49=K49,"BFD",""),IF(I49=K49,"WFD",""),IF(J49=K49,"CTP",""))</x:f>
        <x:v>IG</x:v>
      </x:c>
      <x:c r="M49" s="14" t="n">
        <x:f>IFERROR((F49-$K49)/$K49,"")</x:f>
        <x:v>0</x:v>
      </x:c>
      <x:c r="N49" s="14" t="n">
        <x:f>IFERROR((G49-$K49)/$K49,"")</x:f>
        <x:v>0.20253164556962025</x:v>
      </x:c>
      <x:c r="O49" s="14" t="n">
        <x:f>IFERROR((H49-$K49)/$K49,"")</x:f>
        <x:v>0.20253164556962025</x:v>
      </x:c>
      <x:c r="P49" s="14" t="n">
        <x:f>IFERROR((I49-$K49)/$K49,"")</x:f>
        <x:v>0.17721518987341772</x:v>
      </x:c>
      <x:c r="Q49" s="14" t="n">
        <x:f>IFERROR((J49-$K49)/$K49,"")</x:f>
        <x:v>0.12658227848101267</x:v>
      </x:c>
      <x:c r="R49" t="n">
        <x:f>--(F49=$K49)</x:f>
        <x:v>1</x:v>
      </x:c>
      <x:c r="S49" t="n">
        <x:f>--(G49=$K49)</x:f>
        <x:v>0</x:v>
      </x:c>
      <x:c r="T49" t="n">
        <x:f>--(H49=$K49)</x:f>
        <x:v>0</x:v>
      </x:c>
      <x:c r="U49" t="n">
        <x:f>--(I49=$K49)</x:f>
        <x:v>0</x:v>
      </x:c>
      <x:c r="V49" t="n">
        <x:f>--(J49=$K49)</x:f>
        <x:v>0</x:v>
      </x:c>
    </x:row>
    <x:row r="50" ht="18" customHeight="1">
      <x:c r="A50" t="str">
        <x:v>bpps_d1000n25m5w150_300s100_200f0_seed0</x:v>
      </x:c>
      <x:c r="B50" s="16" t="n">
        <x:v>25</x:v>
      </x:c>
      <x:c r="C50" s="16" t="n">
        <x:v>5</x:v>
      </x:c>
      <x:c r="D50" s="16" t="n">
        <x:v>1000</x:v>
      </x:c>
      <x:c r="E50" s="16" t="n">
        <x:v>30</x:v>
      </x:c>
      <x:c r="F50" s="12" t="n">
        <x:v>8</x:v>
      </x:c>
      <x:c r="G50" s="12" t="n">
        <x:v>9</x:v>
      </x:c>
      <x:c r="H50" s="12" t="n">
        <x:v>9</x:v>
      </x:c>
      <x:c r="I50" s="12" t="n">
        <x:v>9</x:v>
      </x:c>
      <x:c r="J50" s="12" t="n">
        <x:v>9</x:v>
      </x:c>
      <x:c r="K50" s="12" t="n">
        <x:f>MIN(F50:J50)</x:f>
        <x:v>8</x:v>
      </x:c>
      <x:c r="L50" t="str">
        <x:f>TEXTJOIN(", ",TRUE,IF(F50=K50,"IG",""),IF(G50=K50,"FFD",""),IF(H50=K50,"BFD",""),IF(I50=K50,"WFD",""),IF(J50=K50,"CTP",""))</x:f>
        <x:v>IG</x:v>
      </x:c>
      <x:c r="M50" s="14" t="n">
        <x:f>IFERROR((F50-$K50)/$K50,"")</x:f>
        <x:v>0</x:v>
      </x:c>
      <x:c r="N50" s="14" t="n">
        <x:f>IFERROR((G50-$K50)/$K50,"")</x:f>
        <x:v>0.125</x:v>
      </x:c>
      <x:c r="O50" s="14" t="n">
        <x:f>IFERROR((H50-$K50)/$K50,"")</x:f>
        <x:v>0.125</x:v>
      </x:c>
      <x:c r="P50" s="14" t="n">
        <x:f>IFERROR((I50-$K50)/$K50,"")</x:f>
        <x:v>0.125</x:v>
      </x:c>
      <x:c r="Q50" s="14" t="n">
        <x:f>IFERROR((J50-$K50)/$K50,"")</x:f>
        <x:v>0.125</x:v>
      </x:c>
      <x:c r="R50" t="n">
        <x:f>--(F50=$K50)</x:f>
        <x:v>1</x:v>
      </x:c>
      <x:c r="S50" t="n">
        <x:f>--(G50=$K50)</x:f>
        <x:v>0</x:v>
      </x:c>
      <x:c r="T50" t="n">
        <x:f>--(H50=$K50)</x:f>
        <x:v>0</x:v>
      </x:c>
      <x:c r="U50" t="n">
        <x:f>--(I50=$K50)</x:f>
        <x:v>0</x:v>
      </x:c>
      <x:c r="V50" t="n">
        <x:f>--(J50=$K50)</x:f>
        <x:v>0</x:v>
      </x:c>
    </x:row>
    <x:row r="51" ht="18" customHeight="1">
      <x:c r="A51" t="str">
        <x:v>bpps_d1000n25m5w150_300s100_200f0_seed1</x:v>
      </x:c>
      <x:c r="B51" s="16" t="n">
        <x:v>25</x:v>
      </x:c>
      <x:c r="C51" s="16" t="n">
        <x:v>5</x:v>
      </x:c>
      <x:c r="D51" s="16" t="n">
        <x:v>1000</x:v>
      </x:c>
      <x:c r="E51" s="16" t="n">
        <x:v>25</x:v>
      </x:c>
      <x:c r="F51" s="12" t="n">
        <x:v>8</x:v>
      </x:c>
      <x:c r="G51" s="12" t="n">
        <x:v>9</x:v>
      </x:c>
      <x:c r="H51" s="12" t="n">
        <x:v>9</x:v>
      </x:c>
      <x:c r="I51" s="12" t="n">
        <x:v>9</x:v>
      </x:c>
      <x:c r="J51" s="12" t="n">
        <x:v>9</x:v>
      </x:c>
      <x:c r="K51" s="12" t="n">
        <x:f>MIN(F51:J51)</x:f>
        <x:v>8</x:v>
      </x:c>
      <x:c r="L51" t="str">
        <x:f>TEXTJOIN(", ",TRUE,IF(F51=K51,"IG",""),IF(G51=K51,"FFD",""),IF(H51=K51,"BFD",""),IF(I51=K51,"WFD",""),IF(J51=K51,"CTP",""))</x:f>
        <x:v>IG</x:v>
      </x:c>
      <x:c r="M51" s="14" t="n">
        <x:f>IFERROR((F51-$K51)/$K51,"")</x:f>
        <x:v>0</x:v>
      </x:c>
      <x:c r="N51" s="14" t="n">
        <x:f>IFERROR((G51-$K51)/$K51,"")</x:f>
        <x:v>0.125</x:v>
      </x:c>
      <x:c r="O51" s="14" t="n">
        <x:f>IFERROR((H51-$K51)/$K51,"")</x:f>
        <x:v>0.125</x:v>
      </x:c>
      <x:c r="P51" s="14" t="n">
        <x:f>IFERROR((I51-$K51)/$K51,"")</x:f>
        <x:v>0.125</x:v>
      </x:c>
      <x:c r="Q51" s="14" t="n">
        <x:f>IFERROR((J51-$K51)/$K51,"")</x:f>
        <x:v>0.125</x:v>
      </x:c>
      <x:c r="R51" t="n">
        <x:f>--(F51=$K51)</x:f>
        <x:v>1</x:v>
      </x:c>
      <x:c r="S51" t="n">
        <x:f>--(G51=$K51)</x:f>
        <x:v>0</x:v>
      </x:c>
      <x:c r="T51" t="n">
        <x:f>--(H51=$K51)</x:f>
        <x:v>0</x:v>
      </x:c>
      <x:c r="U51" t="n">
        <x:f>--(I51=$K51)</x:f>
        <x:v>0</x:v>
      </x:c>
      <x:c r="V51" t="n">
        <x:f>--(J51=$K51)</x:f>
        <x:v>0</x:v>
      </x:c>
    </x:row>
    <x:row r="52" ht="18" customHeight="1">
      <x:c r="A52" t="str">
        <x:v>bpps_d1000n25m5w150_300s100_200f1_seed0</x:v>
      </x:c>
      <x:c r="B52" s="16" t="n">
        <x:v>25</x:v>
      </x:c>
      <x:c r="C52" s="16" t="n">
        <x:v>5</x:v>
      </x:c>
      <x:c r="D52" s="16" t="n">
        <x:v>1000</x:v>
      </x:c>
      <x:c r="E52" s="16" t="n">
        <x:v>33</x:v>
      </x:c>
      <x:c r="F52" s="12" t="n">
        <x:v>114</x:v>
      </x:c>
      <x:c r="G52" s="12" t="n">
        <x:v>135</x:v>
      </x:c>
      <x:c r="H52" s="12" t="n">
        <x:v>146</x:v>
      </x:c>
      <x:c r="I52" s="12" t="n">
        <x:v>135</x:v>
      </x:c>
      <x:c r="J52" s="12" t="n">
        <x:v>133</x:v>
      </x:c>
      <x:c r="K52" s="12" t="n">
        <x:f>MIN(F52:J52)</x:f>
        <x:v>114</x:v>
      </x:c>
      <x:c r="L52" t="str">
        <x:f>TEXTJOIN(", ",TRUE,IF(F52=K52,"IG",""),IF(G52=K52,"FFD",""),IF(H52=K52,"BFD",""),IF(I52=K52,"WFD",""),IF(J52=K52,"CTP",""))</x:f>
        <x:v>IG</x:v>
      </x:c>
      <x:c r="M52" s="14" t="n">
        <x:f>IFERROR((F52-$K52)/$K52,"")</x:f>
        <x:v>0</x:v>
      </x:c>
      <x:c r="N52" s="14" t="n">
        <x:f>IFERROR((G52-$K52)/$K52,"")</x:f>
        <x:v>0.18421052631578946</x:v>
      </x:c>
      <x:c r="O52" s="14" t="n">
        <x:f>IFERROR((H52-$K52)/$K52,"")</x:f>
        <x:v>0.2807017543859649</x:v>
      </x:c>
      <x:c r="P52" s="14" t="n">
        <x:f>IFERROR((I52-$K52)/$K52,"")</x:f>
        <x:v>0.18421052631578946</x:v>
      </x:c>
      <x:c r="Q52" s="14" t="n">
        <x:f>IFERROR((J52-$K52)/$K52,"")</x:f>
        <x:v>0.16666666666666666</x:v>
      </x:c>
      <x:c r="R52" t="n">
        <x:f>--(F52=$K52)</x:f>
        <x:v>1</x:v>
      </x:c>
      <x:c r="S52" t="n">
        <x:f>--(G52=$K52)</x:f>
        <x:v>0</x:v>
      </x:c>
      <x:c r="T52" t="n">
        <x:f>--(H52=$K52)</x:f>
        <x:v>0</x:v>
      </x:c>
      <x:c r="U52" t="n">
        <x:f>--(I52=$K52)</x:f>
        <x:v>0</x:v>
      </x:c>
      <x:c r="V52" t="n">
        <x:f>--(J52=$K52)</x:f>
        <x:v>0</x:v>
      </x:c>
    </x:row>
    <x:row r="53" ht="18" customHeight="1">
      <x:c r="A53" t="str">
        <x:v>bpps_d1000n25m5w150_300s100_200f1_seed1</x:v>
      </x:c>
      <x:c r="B53" s="16" t="n">
        <x:v>25</x:v>
      </x:c>
      <x:c r="C53" s="16" t="n">
        <x:v>5</x:v>
      </x:c>
      <x:c r="D53" s="16" t="n">
        <x:v>1000</x:v>
      </x:c>
      <x:c r="E53" s="16" t="n">
        <x:v>26</x:v>
      </x:c>
      <x:c r="F53" s="12" t="n">
        <x:v>104</x:v>
      </x:c>
      <x:c r="G53" s="12" t="n">
        <x:v>133</x:v>
      </x:c>
      <x:c r="H53" s="12" t="n">
        <x:v>133</x:v>
      </x:c>
      <x:c r="I53" s="12" t="n">
        <x:v>130</x:v>
      </x:c>
      <x:c r="J53" s="12" t="n">
        <x:v>107</x:v>
      </x:c>
      <x:c r="K53" s="12" t="n">
        <x:f>MIN(F53:J53)</x:f>
        <x:v>104</x:v>
      </x:c>
      <x:c r="L53" t="str">
        <x:f>TEXTJOIN(", ",TRUE,IF(F53=K53,"IG",""),IF(G53=K53,"FFD",""),IF(H53=K53,"BFD",""),IF(I53=K53,"WFD",""),IF(J53=K53,"CTP",""))</x:f>
        <x:v>IG</x:v>
      </x:c>
      <x:c r="M53" s="14" t="n">
        <x:f>IFERROR((F53-$K53)/$K53,"")</x:f>
        <x:v>0</x:v>
      </x:c>
      <x:c r="N53" s="14" t="n">
        <x:f>IFERROR((G53-$K53)/$K53,"")</x:f>
        <x:v>0.27884615384615385</x:v>
      </x:c>
      <x:c r="O53" s="14" t="n">
        <x:f>IFERROR((H53-$K53)/$K53,"")</x:f>
        <x:v>0.27884615384615385</x:v>
      </x:c>
      <x:c r="P53" s="14" t="n">
        <x:f>IFERROR((I53-$K53)/$K53,"")</x:f>
        <x:v>0.25</x:v>
      </x:c>
      <x:c r="Q53" s="14" t="n">
        <x:f>IFERROR((J53-$K53)/$K53,"")</x:f>
        <x:v>0.028846153846153848</x:v>
      </x:c>
      <x:c r="R53" t="n">
        <x:f>--(F53=$K53)</x:f>
        <x:v>1</x:v>
      </x:c>
      <x:c r="S53" t="n">
        <x:f>--(G53=$K53)</x:f>
        <x:v>0</x:v>
      </x:c>
      <x:c r="T53" t="n">
        <x:f>--(H53=$K53)</x:f>
        <x:v>0</x:v>
      </x:c>
      <x:c r="U53" t="n">
        <x:f>--(I53=$K53)</x:f>
        <x:v>0</x:v>
      </x:c>
      <x:c r="V53" t="n">
        <x:f>--(J53=$K53)</x:f>
        <x:v>0</x:v>
      </x:c>
    </x:row>
    <x:row r="54" ht="18" customHeight="1">
      <x:c r="A54" t="str">
        <x:v>bpps_d1000n25m5w150_300s10_100f0_seed0</x:v>
      </x:c>
      <x:c r="B54" s="16" t="n">
        <x:v>25</x:v>
      </x:c>
      <x:c r="C54" s="16" t="n">
        <x:v>5</x:v>
      </x:c>
      <x:c r="D54" s="16" t="n">
        <x:v>1000</x:v>
      </x:c>
      <x:c r="E54" s="16" t="n">
        <x:v>32</x:v>
      </x:c>
      <x:c r="F54" s="12" t="n">
        <x:v>7</x:v>
      </x:c>
      <x:c r="G54" s="12" t="n">
        <x:v>8</x:v>
      </x:c>
      <x:c r="H54" s="12" t="n">
        <x:v>7</x:v>
      </x:c>
      <x:c r="I54" s="12" t="n">
        <x:v>8</x:v>
      </x:c>
      <x:c r="J54" s="12" t="n">
        <x:v>7</x:v>
      </x:c>
      <x:c r="K54" s="12" t="n">
        <x:f>MIN(F54:J54)</x:f>
        <x:v>7</x:v>
      </x:c>
      <x:c r="L54" t="str">
        <x:f>TEXTJOIN(", ",TRUE,IF(F54=K54,"IG",""),IF(G54=K54,"FFD",""),IF(H54=K54,"BFD",""),IF(I54=K54,"WFD",""),IF(J54=K54,"CTP",""))</x:f>
        <x:v>IG, BFD, CTP</x:v>
      </x:c>
      <x:c r="M54" s="14" t="n">
        <x:f>IFERROR((F54-$K54)/$K54,"")</x:f>
        <x:v>0</x:v>
      </x:c>
      <x:c r="N54" s="14" t="n">
        <x:f>IFERROR((G54-$K54)/$K54,"")</x:f>
        <x:v>0.14285714285714285</x:v>
      </x:c>
      <x:c r="O54" s="14" t="n">
        <x:f>IFERROR((H54-$K54)/$K54,"")</x:f>
        <x:v>0</x:v>
      </x:c>
      <x:c r="P54" s="14" t="n">
        <x:f>IFERROR((I54-$K54)/$K54,"")</x:f>
        <x:v>0.14285714285714285</x:v>
      </x:c>
      <x:c r="Q54" s="14" t="n">
        <x:f>IFERROR((J54-$K54)/$K54,"")</x:f>
        <x:v>0</x:v>
      </x:c>
      <x:c r="R54" t="n">
        <x:f>--(F54=$K54)</x:f>
        <x:v>1</x:v>
      </x:c>
      <x:c r="S54" t="n">
        <x:f>--(G54=$K54)</x:f>
        <x:v>0</x:v>
      </x:c>
      <x:c r="T54" t="n">
        <x:f>--(H54=$K54)</x:f>
        <x:v>1</x:v>
      </x:c>
      <x:c r="U54" t="n">
        <x:f>--(I54=$K54)</x:f>
        <x:v>0</x:v>
      </x:c>
      <x:c r="V54" t="n">
        <x:f>--(J54=$K54)</x:f>
        <x:v>1</x:v>
      </x:c>
    </x:row>
    <x:row r="55" ht="18" customHeight="1">
      <x:c r="A55" t="str">
        <x:v>bpps_d1000n25m5w150_300s10_100f0_seed1</x:v>
      </x:c>
      <x:c r="B55" s="16" t="n">
        <x:v>25</x:v>
      </x:c>
      <x:c r="C55" s="16" t="n">
        <x:v>5</x:v>
      </x:c>
      <x:c r="D55" s="16" t="n">
        <x:v>1000</x:v>
      </x:c>
      <x:c r="E55" s="16" t="n">
        <x:v>33</x:v>
      </x:c>
      <x:c r="F55" s="12" t="n">
        <x:v>7</x:v>
      </x:c>
      <x:c r="G55" s="12" t="n">
        <x:v>7</x:v>
      </x:c>
      <x:c r="H55" s="12" t="n">
        <x:v>7</x:v>
      </x:c>
      <x:c r="I55" s="12" t="n">
        <x:v>7</x:v>
      </x:c>
      <x:c r="J55" s="12" t="n">
        <x:v>8</x:v>
      </x:c>
      <x:c r="K55" s="12" t="n">
        <x:f>MIN(F55:J55)</x:f>
        <x:v>7</x:v>
      </x:c>
      <x:c r="L55" t="str">
        <x:f>TEXTJOIN(", ",TRUE,IF(F55=K55,"IG",""),IF(G55=K55,"FFD",""),IF(H55=K55,"BFD",""),IF(I55=K55,"WFD",""),IF(J55=K55,"CTP",""))</x:f>
        <x:v>IG, FFD, BFD, WFD</x:v>
      </x:c>
      <x:c r="M55" s="14" t="n">
        <x:f>IFERROR((F55-$K55)/$K55,"")</x:f>
        <x:v>0</x:v>
      </x:c>
      <x:c r="N55" s="14" t="n">
        <x:f>IFERROR((G55-$K55)/$K55,"")</x:f>
        <x:v>0</x:v>
      </x:c>
      <x:c r="O55" s="14" t="n">
        <x:f>IFERROR((H55-$K55)/$K55,"")</x:f>
        <x:v>0</x:v>
      </x:c>
      <x:c r="P55" s="14" t="n">
        <x:f>IFERROR((I55-$K55)/$K55,"")</x:f>
        <x:v>0</x:v>
      </x:c>
      <x:c r="Q55" s="14" t="n">
        <x:f>IFERROR((J55-$K55)/$K55,"")</x:f>
        <x:v>0.14285714285714285</x:v>
      </x:c>
      <x:c r="R55" t="n">
        <x:f>--(F55=$K55)</x:f>
        <x:v>1</x:v>
      </x:c>
      <x:c r="S55" t="n">
        <x:f>--(G55=$K55)</x:f>
        <x:v>1</x:v>
      </x:c>
      <x:c r="T55" t="n">
        <x:f>--(H55=$K55)</x:f>
        <x:v>1</x:v>
      </x:c>
      <x:c r="U55" t="n">
        <x:f>--(I55=$K55)</x:f>
        <x:v>1</x:v>
      </x:c>
      <x:c r="V55" t="n">
        <x:f>--(J55=$K55)</x:f>
        <x:v>0</x:v>
      </x:c>
    </x:row>
    <x:row r="56" ht="18" customHeight="1">
      <x:c r="A56" t="str">
        <x:v>bpps_d1000n25m5w150_300s10_100f1_seed0</x:v>
      </x:c>
      <x:c r="B56" s="16" t="n">
        <x:v>25</x:v>
      </x:c>
      <x:c r="C56" s="16" t="n">
        <x:v>5</x:v>
      </x:c>
      <x:c r="D56" s="16" t="n">
        <x:v>1000</x:v>
      </x:c>
      <x:c r="E56" s="16" t="n">
        <x:v>28</x:v>
      </x:c>
      <x:c r="F56" s="12" t="n">
        <x:v>104</x:v>
      </x:c>
      <x:c r="G56" s="12" t="n">
        <x:v>129</x:v>
      </x:c>
      <x:c r="H56" s="12" t="n">
        <x:v>129</x:v>
      </x:c>
      <x:c r="I56" s="12" t="n">
        <x:v>137</x:v>
      </x:c>
      <x:c r="J56" s="12" t="n">
        <x:v>118</x:v>
      </x:c>
      <x:c r="K56" s="12" t="n">
        <x:f>MIN(F56:J56)</x:f>
        <x:v>104</x:v>
      </x:c>
      <x:c r="L56" t="str">
        <x:f>TEXTJOIN(", ",TRUE,IF(F56=K56,"IG",""),IF(G56=K56,"FFD",""),IF(H56=K56,"BFD",""),IF(I56=K56,"WFD",""),IF(J56=K56,"CTP",""))</x:f>
        <x:v>IG</x:v>
      </x:c>
      <x:c r="M56" s="14" t="n">
        <x:f>IFERROR((F56-$K56)/$K56,"")</x:f>
        <x:v>0</x:v>
      </x:c>
      <x:c r="N56" s="14" t="n">
        <x:f>IFERROR((G56-$K56)/$K56,"")</x:f>
        <x:v>0.2403846153846154</x:v>
      </x:c>
      <x:c r="O56" s="14" t="n">
        <x:f>IFERROR((H56-$K56)/$K56,"")</x:f>
        <x:v>0.2403846153846154</x:v>
      </x:c>
      <x:c r="P56" s="14" t="n">
        <x:f>IFERROR((I56-$K56)/$K56,"")</x:f>
        <x:v>0.3173076923076923</x:v>
      </x:c>
      <x:c r="Q56" s="14" t="n">
        <x:f>IFERROR((J56-$K56)/$K56,"")</x:f>
        <x:v>0.1346153846153846</x:v>
      </x:c>
      <x:c r="R56" t="n">
        <x:f>--(F56=$K56)</x:f>
        <x:v>1</x:v>
      </x:c>
      <x:c r="S56" t="n">
        <x:f>--(G56=$K56)</x:f>
        <x:v>0</x:v>
      </x:c>
      <x:c r="T56" t="n">
        <x:f>--(H56=$K56)</x:f>
        <x:v>0</x:v>
      </x:c>
      <x:c r="U56" t="n">
        <x:f>--(I56=$K56)</x:f>
        <x:v>0</x:v>
      </x:c>
      <x:c r="V56" t="n">
        <x:f>--(J56=$K56)</x:f>
        <x:v>0</x:v>
      </x:c>
    </x:row>
    <x:row r="57" ht="18" customHeight="1">
      <x:c r="A57" t="str">
        <x:v>bpps_d1000n25m5w150_300s10_100f1_seed1</x:v>
      </x:c>
      <x:c r="B57" s="16" t="n">
        <x:v>25</x:v>
      </x:c>
      <x:c r="C57" s="16" t="n">
        <x:v>5</x:v>
      </x:c>
      <x:c r="D57" s="16" t="n">
        <x:v>1000</x:v>
      </x:c>
      <x:c r="E57" s="16" t="n">
        <x:v>28</x:v>
      </x:c>
      <x:c r="F57" s="12" t="n">
        <x:v>95</x:v>
      </x:c>
      <x:c r="G57" s="12" t="n">
        <x:v>109</x:v>
      </x:c>
      <x:c r="H57" s="12" t="n">
        <x:v>111</x:v>
      </x:c>
      <x:c r="I57" s="12" t="n">
        <x:v>106</x:v>
      </x:c>
      <x:c r="J57" s="12" t="n">
        <x:v>98</x:v>
      </x:c>
      <x:c r="K57" s="12" t="n">
        <x:f>MIN(F57:J57)</x:f>
        <x:v>95</x:v>
      </x:c>
      <x:c r="L57" t="str">
        <x:f>TEXTJOIN(", ",TRUE,IF(F57=K57,"IG",""),IF(G57=K57,"FFD",""),IF(H57=K57,"BFD",""),IF(I57=K57,"WFD",""),IF(J57=K57,"CTP",""))</x:f>
        <x:v>IG</x:v>
      </x:c>
      <x:c r="M57" s="14" t="n">
        <x:f>IFERROR((F57-$K57)/$K57,"")</x:f>
        <x:v>0</x:v>
      </x:c>
      <x:c r="N57" s="14" t="n">
        <x:f>IFERROR((G57-$K57)/$K57,"")</x:f>
        <x:v>0.14736842105263157</x:v>
      </x:c>
      <x:c r="O57" s="14" t="n">
        <x:f>IFERROR((H57-$K57)/$K57,"")</x:f>
        <x:v>0.16842105263157894</x:v>
      </x:c>
      <x:c r="P57" s="14" t="n">
        <x:f>IFERROR((I57-$K57)/$K57,"")</x:f>
        <x:v>0.11578947368421053</x:v>
      </x:c>
      <x:c r="Q57" s="14" t="n">
        <x:f>IFERROR((J57-$K57)/$K57,"")</x:f>
        <x:v>0.031578947368421054</x:v>
      </x:c>
      <x:c r="R57" t="n">
        <x:f>--(F57=$K57)</x:f>
        <x:v>1</x:v>
      </x:c>
      <x:c r="S57" t="n">
        <x:f>--(G57=$K57)</x:f>
        <x:v>0</x:v>
      </x:c>
      <x:c r="T57" t="n">
        <x:f>--(H57=$K57)</x:f>
        <x:v>0</x:v>
      </x:c>
      <x:c r="U57" t="n">
        <x:f>--(I57=$K57)</x:f>
        <x:v>0</x:v>
      </x:c>
      <x:c r="V57" t="n">
        <x:f>--(J57=$K57)</x:f>
        <x:v>0</x:v>
      </x:c>
    </x:row>
    <x:row r="58" ht="18" customHeight="1">
      <x:c r="A58" t="str">
        <x:v>bpps_d1000n25m5w50_150s100_200f0_seed0</x:v>
      </x:c>
      <x:c r="B58" s="16" t="n">
        <x:v>25</x:v>
      </x:c>
      <x:c r="C58" s="16" t="n">
        <x:v>5</x:v>
      </x:c>
      <x:c r="D58" s="16" t="n">
        <x:v>1000</x:v>
      </x:c>
      <x:c r="E58" s="16" t="n">
        <x:v>34</x:v>
      </x:c>
      <x:c r="F58" s="12" t="n">
        <x:v>5</x:v>
      </x:c>
      <x:c r="G58" s="12" t="n">
        <x:v>5</x:v>
      </x:c>
      <x:c r="H58" s="12" t="n">
        <x:v>5</x:v>
      </x:c>
      <x:c r="I58" s="12" t="n">
        <x:v>5</x:v>
      </x:c>
      <x:c r="J58" s="12" t="n">
        <x:v>5</x:v>
      </x:c>
      <x:c r="K58" s="12" t="n">
        <x:f>MIN(F58:J58)</x:f>
        <x:v>5</x:v>
      </x:c>
      <x:c r="L58" t="str">
        <x:f>TEXTJOIN(", ",TRUE,IF(F58=K58,"IG",""),IF(G58=K58,"FFD",""),IF(H58=K58,"BFD",""),IF(I58=K58,"WFD",""),IF(J58=K58,"CTP",""))</x:f>
        <x:v>IG, FFD, BFD, WFD, CTP</x:v>
      </x:c>
      <x:c r="M58" s="14" t="n">
        <x:f>IFERROR((F58-$K58)/$K58,"")</x:f>
        <x:v>0</x:v>
      </x:c>
      <x:c r="N58" s="14" t="n">
        <x:f>IFERROR((G58-$K58)/$K58,"")</x:f>
        <x:v>0</x:v>
      </x:c>
      <x:c r="O58" s="14" t="n">
        <x:f>IFERROR((H58-$K58)/$K58,"")</x:f>
        <x:v>0</x:v>
      </x:c>
      <x:c r="P58" s="14" t="n">
        <x:f>IFERROR((I58-$K58)/$K58,"")</x:f>
        <x:v>0</x:v>
      </x:c>
      <x:c r="Q58" s="14" t="n">
        <x:f>IFERROR((J58-$K58)/$K58,"")</x:f>
        <x:v>0</x:v>
      </x:c>
      <x:c r="R58" t="n">
        <x:f>--(F58=$K58)</x:f>
        <x:v>1</x:v>
      </x:c>
      <x:c r="S58" t="n">
        <x:f>--(G58=$K58)</x:f>
        <x:v>1</x:v>
      </x:c>
      <x:c r="T58" t="n">
        <x:f>--(H58=$K58)</x:f>
        <x:v>1</x:v>
      </x:c>
      <x:c r="U58" t="n">
        <x:f>--(I58=$K58)</x:f>
        <x:v>1</x:v>
      </x:c>
      <x:c r="V58" t="n">
        <x:f>--(J58=$K58)</x:f>
        <x:v>1</x:v>
      </x:c>
    </x:row>
    <x:row r="59" ht="18" customHeight="1">
      <x:c r="A59" t="str">
        <x:v>bpps_d1000n25m5w50_150s100_200f0_seed1</x:v>
      </x:c>
      <x:c r="B59" s="16" t="n">
        <x:v>25</x:v>
      </x:c>
      <x:c r="C59" s="16" t="n">
        <x:v>5</x:v>
      </x:c>
      <x:c r="D59" s="16" t="n">
        <x:v>1000</x:v>
      </x:c>
      <x:c r="E59" s="16" t="n">
        <x:v>29</x:v>
      </x:c>
      <x:c r="F59" s="12" t="n">
        <x:v>5</x:v>
      </x:c>
      <x:c r="G59" s="12" t="n">
        <x:v>5</x:v>
      </x:c>
      <x:c r="H59" s="12" t="n">
        <x:v>5</x:v>
      </x:c>
      <x:c r="I59" s="12" t="n">
        <x:v>5</x:v>
      </x:c>
      <x:c r="J59" s="12" t="n">
        <x:v>5</x:v>
      </x:c>
      <x:c r="K59" s="12" t="n">
        <x:f>MIN(F59:J59)</x:f>
        <x:v>5</x:v>
      </x:c>
      <x:c r="L59" t="str">
        <x:f>TEXTJOIN(", ",TRUE,IF(F59=K59,"IG",""),IF(G59=K59,"FFD",""),IF(H59=K59,"BFD",""),IF(I59=K59,"WFD",""),IF(J59=K59,"CTP",""))</x:f>
        <x:v>IG, FFD, BFD, WFD, CTP</x:v>
      </x:c>
      <x:c r="M59" s="14" t="n">
        <x:f>IFERROR((F59-$K59)/$K59,"")</x:f>
        <x:v>0</x:v>
      </x:c>
      <x:c r="N59" s="14" t="n">
        <x:f>IFERROR((G59-$K59)/$K59,"")</x:f>
        <x:v>0</x:v>
      </x:c>
      <x:c r="O59" s="14" t="n">
        <x:f>IFERROR((H59-$K59)/$K59,"")</x:f>
        <x:v>0</x:v>
      </x:c>
      <x:c r="P59" s="14" t="n">
        <x:f>IFERROR((I59-$K59)/$K59,"")</x:f>
        <x:v>0</x:v>
      </x:c>
      <x:c r="Q59" s="14" t="n">
        <x:f>IFERROR((J59-$K59)/$K59,"")</x:f>
        <x:v>0</x:v>
      </x:c>
      <x:c r="R59" t="n">
        <x:f>--(F59=$K59)</x:f>
        <x:v>1</x:v>
      </x:c>
      <x:c r="S59" t="n">
        <x:f>--(G59=$K59)</x:f>
        <x:v>1</x:v>
      </x:c>
      <x:c r="T59" t="n">
        <x:f>--(H59=$K59)</x:f>
        <x:v>1</x:v>
      </x:c>
      <x:c r="U59" t="n">
        <x:f>--(I59=$K59)</x:f>
        <x:v>1</x:v>
      </x:c>
      <x:c r="V59" t="n">
        <x:f>--(J59=$K59)</x:f>
        <x:v>1</x:v>
      </x:c>
    </x:row>
    <x:row r="60" ht="18" customHeight="1">
      <x:c r="A60" t="str">
        <x:v>bpps_d1000n25m5w50_150s100_200f1_seed0</x:v>
      </x:c>
      <x:c r="B60" s="16" t="n">
        <x:v>25</x:v>
      </x:c>
      <x:c r="C60" s="16" t="n">
        <x:v>5</x:v>
      </x:c>
      <x:c r="D60" s="16" t="n">
        <x:v>1000</x:v>
      </x:c>
      <x:c r="E60" s="16" t="n">
        <x:v>33</x:v>
      </x:c>
      <x:c r="F60" s="12" t="n">
        <x:v>77</x:v>
      </x:c>
      <x:c r="G60" s="12" t="n">
        <x:v>84</x:v>
      </x:c>
      <x:c r="H60" s="12" t="n">
        <x:v>85</x:v>
      </x:c>
      <x:c r="I60" s="12" t="n">
        <x:v>89</x:v>
      </x:c>
      <x:c r="J60" s="12" t="n">
        <x:v>77</x:v>
      </x:c>
      <x:c r="K60" s="12" t="n">
        <x:f>MIN(F60:J60)</x:f>
        <x:v>77</x:v>
      </x:c>
      <x:c r="L60" t="str">
        <x:f>TEXTJOIN(", ",TRUE,IF(F60=K60,"IG",""),IF(G60=K60,"FFD",""),IF(H60=K60,"BFD",""),IF(I60=K60,"WFD",""),IF(J60=K60,"CTP",""))</x:f>
        <x:v>IG, CTP</x:v>
      </x:c>
      <x:c r="M60" s="14" t="n">
        <x:f>IFERROR((F60-$K60)/$K60,"")</x:f>
        <x:v>0</x:v>
      </x:c>
      <x:c r="N60" s="14" t="n">
        <x:f>IFERROR((G60-$K60)/$K60,"")</x:f>
        <x:v>0.09090909090909091</x:v>
      </x:c>
      <x:c r="O60" s="14" t="n">
        <x:f>IFERROR((H60-$K60)/$K60,"")</x:f>
        <x:v>0.1038961038961039</x:v>
      </x:c>
      <x:c r="P60" s="14" t="n">
        <x:f>IFERROR((I60-$K60)/$K60,"")</x:f>
        <x:v>0.15584415584415584</x:v>
      </x:c>
      <x:c r="Q60" s="14" t="n">
        <x:f>IFERROR((J60-$K60)/$K60,"")</x:f>
        <x:v>0</x:v>
      </x:c>
      <x:c r="R60" t="n">
        <x:f>--(F60=$K60)</x:f>
        <x:v>1</x:v>
      </x:c>
      <x:c r="S60" t="n">
        <x:f>--(G60=$K60)</x:f>
        <x:v>0</x:v>
      </x:c>
      <x:c r="T60" t="n">
        <x:f>--(H60=$K60)</x:f>
        <x:v>0</x:v>
      </x:c>
      <x:c r="U60" t="n">
        <x:f>--(I60=$K60)</x:f>
        <x:v>0</x:v>
      </x:c>
      <x:c r="V60" t="n">
        <x:f>--(J60=$K60)</x:f>
        <x:v>1</x:v>
      </x:c>
    </x:row>
    <x:row r="61" ht="18" customHeight="1">
      <x:c r="A61" t="str">
        <x:v>bpps_d1000n25m5w50_150s100_200f1_seed1</x:v>
      </x:c>
      <x:c r="B61" s="16" t="n">
        <x:v>25</x:v>
      </x:c>
      <x:c r="C61" s="16" t="n">
        <x:v>5</x:v>
      </x:c>
      <x:c r="D61" s="16" t="n">
        <x:v>1000</x:v>
      </x:c>
      <x:c r="E61" s="16" t="n">
        <x:v>32</x:v>
      </x:c>
      <x:c r="F61" s="12" t="n">
        <x:v>61</x:v>
      </x:c>
      <x:c r="G61" s="12" t="n">
        <x:v>80</x:v>
      </x:c>
      <x:c r="H61" s="12" t="n">
        <x:v>80</x:v>
      </x:c>
      <x:c r="I61" s="12" t="n">
        <x:v>78</x:v>
      </x:c>
      <x:c r="J61" s="12" t="n">
        <x:v>71</x:v>
      </x:c>
      <x:c r="K61" s="12" t="n">
        <x:f>MIN(F61:J61)</x:f>
        <x:v>61</x:v>
      </x:c>
      <x:c r="L61" t="str">
        <x:f>TEXTJOIN(", ",TRUE,IF(F61=K61,"IG",""),IF(G61=K61,"FFD",""),IF(H61=K61,"BFD",""),IF(I61=K61,"WFD",""),IF(J61=K61,"CTP",""))</x:f>
        <x:v>IG</x:v>
      </x:c>
      <x:c r="M61" s="14" t="n">
        <x:f>IFERROR((F61-$K61)/$K61,"")</x:f>
        <x:v>0</x:v>
      </x:c>
      <x:c r="N61" s="14" t="n">
        <x:f>IFERROR((G61-$K61)/$K61,"")</x:f>
        <x:v>0.3114754098360656</x:v>
      </x:c>
      <x:c r="O61" s="14" t="n">
        <x:f>IFERROR((H61-$K61)/$K61,"")</x:f>
        <x:v>0.3114754098360656</x:v>
      </x:c>
      <x:c r="P61" s="14" t="n">
        <x:f>IFERROR((I61-$K61)/$K61,"")</x:f>
        <x:v>0.2786885245901639</x:v>
      </x:c>
      <x:c r="Q61" s="14" t="n">
        <x:f>IFERROR((J61-$K61)/$K61,"")</x:f>
        <x:v>0.16393442622950818</x:v>
      </x:c>
      <x:c r="R61" t="n">
        <x:f>--(F61=$K61)</x:f>
        <x:v>1</x:v>
      </x:c>
      <x:c r="S61" t="n">
        <x:f>--(G61=$K61)</x:f>
        <x:v>0</x:v>
      </x:c>
      <x:c r="T61" t="n">
        <x:f>--(H61=$K61)</x:f>
        <x:v>0</x:v>
      </x:c>
      <x:c r="U61" t="n">
        <x:f>--(I61=$K61)</x:f>
        <x:v>0</x:v>
      </x:c>
      <x:c r="V61" t="n">
        <x:f>--(J61=$K61)</x:f>
        <x:v>0</x:v>
      </x:c>
    </x:row>
    <x:row r="62" ht="18" customHeight="1">
      <x:c r="A62" t="str">
        <x:v>bpps_d1000n25m5w50_150s10_100f0_seed0</x:v>
      </x:c>
      <x:c r="B62" s="16" t="n">
        <x:v>25</x:v>
      </x:c>
      <x:c r="C62" s="16" t="n">
        <x:v>5</x:v>
      </x:c>
      <x:c r="D62" s="16" t="n">
        <x:v>1000</x:v>
      </x:c>
      <x:c r="E62" s="16" t="n">
        <x:v>27</x:v>
      </x:c>
      <x:c r="F62" s="12" t="n">
        <x:v>4</x:v>
      </x:c>
      <x:c r="G62" s="12" t="n">
        <x:v>4</x:v>
      </x:c>
      <x:c r="H62" s="12" t="n">
        <x:v>4</x:v>
      </x:c>
      <x:c r="I62" s="12" t="n">
        <x:v>4</x:v>
      </x:c>
      <x:c r="J62" s="12" t="n">
        <x:v>4</x:v>
      </x:c>
      <x:c r="K62" s="12" t="n">
        <x:f>MIN(F62:J62)</x:f>
        <x:v>4</x:v>
      </x:c>
      <x:c r="L62" t="str">
        <x:f>TEXTJOIN(", ",TRUE,IF(F62=K62,"IG",""),IF(G62=K62,"FFD",""),IF(H62=K62,"BFD",""),IF(I62=K62,"WFD",""),IF(J62=K62,"CTP",""))</x:f>
        <x:v>IG, FFD, BFD, WFD, CTP</x:v>
      </x:c>
      <x:c r="M62" s="14" t="n">
        <x:f>IFERROR((F62-$K62)/$K62,"")</x:f>
        <x:v>0</x:v>
      </x:c>
      <x:c r="N62" s="14" t="n">
        <x:f>IFERROR((G62-$K62)/$K62,"")</x:f>
        <x:v>0</x:v>
      </x:c>
      <x:c r="O62" s="14" t="n">
        <x:f>IFERROR((H62-$K62)/$K62,"")</x:f>
        <x:v>0</x:v>
      </x:c>
      <x:c r="P62" s="14" t="n">
        <x:f>IFERROR((I62-$K62)/$K62,"")</x:f>
        <x:v>0</x:v>
      </x:c>
      <x:c r="Q62" s="14" t="n">
        <x:f>IFERROR((J62-$K62)/$K62,"")</x:f>
        <x:v>0</x:v>
      </x:c>
      <x:c r="R62" t="n">
        <x:f>--(F62=$K62)</x:f>
        <x:v>1</x:v>
      </x:c>
      <x:c r="S62" t="n">
        <x:f>--(G62=$K62)</x:f>
        <x:v>1</x:v>
      </x:c>
      <x:c r="T62" t="n">
        <x:f>--(H62=$K62)</x:f>
        <x:v>1</x:v>
      </x:c>
      <x:c r="U62" t="n">
        <x:f>--(I62=$K62)</x:f>
        <x:v>1</x:v>
      </x:c>
      <x:c r="V62" t="n">
        <x:f>--(J62=$K62)</x:f>
        <x:v>1</x:v>
      </x:c>
    </x:row>
    <x:row r="63" ht="18" customHeight="1">
      <x:c r="A63" t="str">
        <x:v>bpps_d1000n25m5w50_150s10_100f0_seed1</x:v>
      </x:c>
      <x:c r="B63" s="16" t="n">
        <x:v>25</x:v>
      </x:c>
      <x:c r="C63" s="16" t="n">
        <x:v>5</x:v>
      </x:c>
      <x:c r="D63" s="16" t="n">
        <x:v>1000</x:v>
      </x:c>
      <x:c r="E63" s="16" t="n">
        <x:v>34</x:v>
      </x:c>
      <x:c r="F63" s="12" t="n">
        <x:v>3</x:v>
      </x:c>
      <x:c r="G63" s="12" t="n">
        <x:v>4</x:v>
      </x:c>
      <x:c r="H63" s="12" t="n">
        <x:v>4</x:v>
      </x:c>
      <x:c r="I63" s="12" t="n">
        <x:v>4</x:v>
      </x:c>
      <x:c r="J63" s="12" t="n">
        <x:v>5</x:v>
      </x:c>
      <x:c r="K63" s="12" t="n">
        <x:f>MIN(F63:J63)</x:f>
        <x:v>3</x:v>
      </x:c>
      <x:c r="L63" t="str">
        <x:f>TEXTJOIN(", ",TRUE,IF(F63=K63,"IG",""),IF(G63=K63,"FFD",""),IF(H63=K63,"BFD",""),IF(I63=K63,"WFD",""),IF(J63=K63,"CTP",""))</x:f>
        <x:v>IG</x:v>
      </x:c>
      <x:c r="M63" s="14" t="n">
        <x:f>IFERROR((F63-$K63)/$K63,"")</x:f>
        <x:v>0</x:v>
      </x:c>
      <x:c r="N63" s="14" t="n">
        <x:f>IFERROR((G63-$K63)/$K63,"")</x:f>
        <x:v>0.3333333333333333</x:v>
      </x:c>
      <x:c r="O63" s="14" t="n">
        <x:f>IFERROR((H63-$K63)/$K63,"")</x:f>
        <x:v>0.3333333333333333</x:v>
      </x:c>
      <x:c r="P63" s="14" t="n">
        <x:f>IFERROR((I63-$K63)/$K63,"")</x:f>
        <x:v>0.3333333333333333</x:v>
      </x:c>
      <x:c r="Q63" s="14" t="n">
        <x:f>IFERROR((J63-$K63)/$K63,"")</x:f>
        <x:v>0.6666666666666666</x:v>
      </x:c>
      <x:c r="R63" t="n">
        <x:f>--(F63=$K63)</x:f>
        <x:v>1</x:v>
      </x:c>
      <x:c r="S63" t="n">
        <x:f>--(G63=$K63)</x:f>
        <x:v>0</x:v>
      </x:c>
      <x:c r="T63" t="n">
        <x:f>--(H63=$K63)</x:f>
        <x:v>0</x:v>
      </x:c>
      <x:c r="U63" t="n">
        <x:f>--(I63=$K63)</x:f>
        <x:v>0</x:v>
      </x:c>
      <x:c r="V63" t="n">
        <x:f>--(J63=$K63)</x:f>
        <x:v>0</x:v>
      </x:c>
    </x:row>
    <x:row r="64" ht="18" customHeight="1">
      <x:c r="A64" t="str">
        <x:v>bpps_d1000n25m5w50_150s10_100f1_seed0</x:v>
      </x:c>
      <x:c r="B64" s="16" t="n">
        <x:v>25</x:v>
      </x:c>
      <x:c r="C64" s="16" t="n">
        <x:v>5</x:v>
      </x:c>
      <x:c r="D64" s="16" t="n">
        <x:v>1000</x:v>
      </x:c>
      <x:c r="E64" s="16" t="n">
        <x:v>23</x:v>
      </x:c>
      <x:c r="F64" s="12" t="n">
        <x:v>62</x:v>
      </x:c>
      <x:c r="G64" s="12" t="n">
        <x:v>78</x:v>
      </x:c>
      <x:c r="H64" s="12" t="n">
        <x:v>78</x:v>
      </x:c>
      <x:c r="I64" s="12" t="n">
        <x:v>86</x:v>
      </x:c>
      <x:c r="J64" s="12" t="n">
        <x:v>63</x:v>
      </x:c>
      <x:c r="K64" s="12" t="n">
        <x:f>MIN(F64:J64)</x:f>
        <x:v>62</x:v>
      </x:c>
      <x:c r="L64" t="str">
        <x:f>TEXTJOIN(", ",TRUE,IF(F64=K64,"IG",""),IF(G64=K64,"FFD",""),IF(H64=K64,"BFD",""),IF(I64=K64,"WFD",""),IF(J64=K64,"CTP",""))</x:f>
        <x:v>IG</x:v>
      </x:c>
      <x:c r="M64" s="14" t="n">
        <x:f>IFERROR((F64-$K64)/$K64,"")</x:f>
        <x:v>0</x:v>
      </x:c>
      <x:c r="N64" s="14" t="n">
        <x:f>IFERROR((G64-$K64)/$K64,"")</x:f>
        <x:v>0.25806451612903225</x:v>
      </x:c>
      <x:c r="O64" s="14" t="n">
        <x:f>IFERROR((H64-$K64)/$K64,"")</x:f>
        <x:v>0.25806451612903225</x:v>
      </x:c>
      <x:c r="P64" s="14" t="n">
        <x:f>IFERROR((I64-$K64)/$K64,"")</x:f>
        <x:v>0.3870967741935484</x:v>
      </x:c>
      <x:c r="Q64" s="14" t="n">
        <x:f>IFERROR((J64-$K64)/$K64,"")</x:f>
        <x:v>0.016129032258064516</x:v>
      </x:c>
      <x:c r="R64" t="n">
        <x:f>--(F64=$K64)</x:f>
        <x:v>1</x:v>
      </x:c>
      <x:c r="S64" t="n">
        <x:f>--(G64=$K64)</x:f>
        <x:v>0</x:v>
      </x:c>
      <x:c r="T64" t="n">
        <x:f>--(H64=$K64)</x:f>
        <x:v>0</x:v>
      </x:c>
      <x:c r="U64" t="n">
        <x:f>--(I64=$K64)</x:f>
        <x:v>0</x:v>
      </x:c>
      <x:c r="V64" t="n">
        <x:f>--(J64=$K64)</x:f>
        <x:v>0</x:v>
      </x:c>
    </x:row>
    <x:row r="65" ht="18" customHeight="1">
      <x:c r="A65" t="str">
        <x:v>bpps_d1000n25m5w50_150s10_100f1_seed1</x:v>
      </x:c>
      <x:c r="B65" s="16" t="n">
        <x:v>25</x:v>
      </x:c>
      <x:c r="C65" s="16" t="n">
        <x:v>5</x:v>
      </x:c>
      <x:c r="D65" s="16" t="n">
        <x:v>1000</x:v>
      </x:c>
      <x:c r="E65" s="16" t="n">
        <x:v>40</x:v>
      </x:c>
      <x:c r="F65" s="12" t="n">
        <x:v>60</x:v>
      </x:c>
      <x:c r="G65" s="12" t="n">
        <x:v>71</x:v>
      </x:c>
      <x:c r="H65" s="12" t="n">
        <x:v>71</x:v>
      </x:c>
      <x:c r="I65" s="12" t="n">
        <x:v>74</x:v>
      </x:c>
      <x:c r="J65" s="12" t="n">
        <x:v>70</x:v>
      </x:c>
      <x:c r="K65" s="12" t="n">
        <x:f>MIN(F65:J65)</x:f>
        <x:v>60</x:v>
      </x:c>
      <x:c r="L65" t="str">
        <x:f>TEXTJOIN(", ",TRUE,IF(F65=K65,"IG",""),IF(G65=K65,"FFD",""),IF(H65=K65,"BFD",""),IF(I65=K65,"WFD",""),IF(J65=K65,"CTP",""))</x:f>
        <x:v>IG</x:v>
      </x:c>
      <x:c r="M65" s="14" t="n">
        <x:f>IFERROR((F65-$K65)/$K65,"")</x:f>
        <x:v>0</x:v>
      </x:c>
      <x:c r="N65" s="14" t="n">
        <x:f>IFERROR((G65-$K65)/$K65,"")</x:f>
        <x:v>0.18333333333333332</x:v>
      </x:c>
      <x:c r="O65" s="14" t="n">
        <x:f>IFERROR((H65-$K65)/$K65,"")</x:f>
        <x:v>0.18333333333333332</x:v>
      </x:c>
      <x:c r="P65" s="14" t="n">
        <x:f>IFERROR((I65-$K65)/$K65,"")</x:f>
        <x:v>0.23333333333333334</x:v>
      </x:c>
      <x:c r="Q65" s="14" t="n">
        <x:f>IFERROR((J65-$K65)/$K65,"")</x:f>
        <x:v>0.16666666666666666</x:v>
      </x:c>
      <x:c r="R65" t="n">
        <x:f>--(F65=$K65)</x:f>
        <x:v>1</x:v>
      </x:c>
      <x:c r="S65" t="n">
        <x:f>--(G65=$K65)</x:f>
        <x:v>0</x:v>
      </x:c>
      <x:c r="T65" t="n">
        <x:f>--(H65=$K65)</x:f>
        <x:v>0</x:v>
      </x:c>
      <x:c r="U65" t="n">
        <x:f>--(I65=$K65)</x:f>
        <x:v>0</x:v>
      </x:c>
      <x:c r="V65" t="n">
        <x:f>--(J65=$K65)</x:f>
        <x:v>0</x:v>
      </x:c>
    </x:row>
    <x:row r="66" ht="18" customHeight="1">
      <x:c r="A66" t="str">
        <x:v>bpps_d200n25m10w10_30s20_40f0_seed0</x:v>
      </x:c>
      <x:c r="B66" s="16" t="n">
        <x:v>25</x:v>
      </x:c>
      <x:c r="C66" s="16" t="n">
        <x:v>10</x:v>
      </x:c>
      <x:c r="D66" s="16" t="n">
        <x:v>200</x:v>
      </x:c>
      <x:c r="E66" s="16" t="n">
        <x:v>25</x:v>
      </x:c>
      <x:c r="F66" s="12" t="n">
        <x:v>5</x:v>
      </x:c>
      <x:c r="G66" s="12" t="n">
        <x:v>6</x:v>
      </x:c>
      <x:c r="H66" s="12" t="n">
        <x:v>6</x:v>
      </x:c>
      <x:c r="I66" s="12" t="n">
        <x:v>6</x:v>
      </x:c>
      <x:c r="J66" s="12" t="n">
        <x:v>5</x:v>
      </x:c>
      <x:c r="K66" s="12" t="n">
        <x:f>MIN(F66:J66)</x:f>
        <x:v>5</x:v>
      </x:c>
      <x:c r="L66" t="str">
        <x:f>TEXTJOIN(", ",TRUE,IF(F66=K66,"IG",""),IF(G66=K66,"FFD",""),IF(H66=K66,"BFD",""),IF(I66=K66,"WFD",""),IF(J66=K66,"CTP",""))</x:f>
        <x:v>IG, CTP</x:v>
      </x:c>
      <x:c r="M66" s="14" t="n">
        <x:f>IFERROR((F66-$K66)/$K66,"")</x:f>
        <x:v>0</x:v>
      </x:c>
      <x:c r="N66" s="14" t="n">
        <x:f>IFERROR((G66-$K66)/$K66,"")</x:f>
        <x:v>0.2</x:v>
      </x:c>
      <x:c r="O66" s="14" t="n">
        <x:f>IFERROR((H66-$K66)/$K66,"")</x:f>
        <x:v>0.2</x:v>
      </x:c>
      <x:c r="P66" s="14" t="n">
        <x:f>IFERROR((I66-$K66)/$K66,"")</x:f>
        <x:v>0.2</x:v>
      </x:c>
      <x:c r="Q66" s="14" t="n">
        <x:f>IFERROR((J66-$K66)/$K66,"")</x:f>
        <x:v>0</x:v>
      </x:c>
      <x:c r="R66" t="n">
        <x:f>--(F66=$K66)</x:f>
        <x:v>1</x:v>
      </x:c>
      <x:c r="S66" t="n">
        <x:f>--(G66=$K66)</x:f>
        <x:v>0</x:v>
      </x:c>
      <x:c r="T66" t="n">
        <x:f>--(H66=$K66)</x:f>
        <x:v>0</x:v>
      </x:c>
      <x:c r="U66" t="n">
        <x:f>--(I66=$K66)</x:f>
        <x:v>0</x:v>
      </x:c>
      <x:c r="V66" t="n">
        <x:f>--(J66=$K66)</x:f>
        <x:v>1</x:v>
      </x:c>
    </x:row>
    <x:row r="67" ht="18" customHeight="1">
      <x:c r="A67" t="str">
        <x:v>bpps_d200n25m10w10_30s20_40f0_seed1</x:v>
      </x:c>
      <x:c r="B67" s="16" t="n">
        <x:v>25</x:v>
      </x:c>
      <x:c r="C67" s="16" t="n">
        <x:v>10</x:v>
      </x:c>
      <x:c r="D67" s="16" t="n">
        <x:v>200</x:v>
      </x:c>
      <x:c r="E67" s="16" t="n">
        <x:v>34</x:v>
      </x:c>
      <x:c r="F67" s="12" t="n">
        <x:v>5</x:v>
      </x:c>
      <x:c r="G67" s="12" t="n">
        <x:v>6</x:v>
      </x:c>
      <x:c r="H67" s="12" t="n">
        <x:v>6</x:v>
      </x:c>
      <x:c r="I67" s="12" t="n">
        <x:v>6</x:v>
      </x:c>
      <x:c r="J67" s="12" t="n">
        <x:v>6</x:v>
      </x:c>
      <x:c r="K67" s="12" t="n">
        <x:f>MIN(F67:J67)</x:f>
        <x:v>5</x:v>
      </x:c>
      <x:c r="L67" t="str">
        <x:f>TEXTJOIN(", ",TRUE,IF(F67=K67,"IG",""),IF(G67=K67,"FFD",""),IF(H67=K67,"BFD",""),IF(I67=K67,"WFD",""),IF(J67=K67,"CTP",""))</x:f>
        <x:v>IG</x:v>
      </x:c>
      <x:c r="M67" s="14" t="n">
        <x:f>IFERROR((F67-$K67)/$K67,"")</x:f>
        <x:v>0</x:v>
      </x:c>
      <x:c r="N67" s="14" t="n">
        <x:f>IFERROR((G67-$K67)/$K67,"")</x:f>
        <x:v>0.2</x:v>
      </x:c>
      <x:c r="O67" s="14" t="n">
        <x:f>IFERROR((H67-$K67)/$K67,"")</x:f>
        <x:v>0.2</x:v>
      </x:c>
      <x:c r="P67" s="14" t="n">
        <x:f>IFERROR((I67-$K67)/$K67,"")</x:f>
        <x:v>0.2</x:v>
      </x:c>
      <x:c r="Q67" s="14" t="n">
        <x:f>IFERROR((J67-$K67)/$K67,"")</x:f>
        <x:v>0.2</x:v>
      </x:c>
      <x:c r="R67" t="n">
        <x:f>--(F67=$K67)</x:f>
        <x:v>1</x:v>
      </x:c>
      <x:c r="S67" t="n">
        <x:f>--(G67=$K67)</x:f>
        <x:v>0</x:v>
      </x:c>
      <x:c r="T67" t="n">
        <x:f>--(H67=$K67)</x:f>
        <x:v>0</x:v>
      </x:c>
      <x:c r="U67" t="n">
        <x:f>--(I67=$K67)</x:f>
        <x:v>0</x:v>
      </x:c>
      <x:c r="V67" t="n">
        <x:f>--(J67=$K67)</x:f>
        <x:v>0</x:v>
      </x:c>
    </x:row>
    <x:row r="68" ht="18" customHeight="1">
      <x:c r="A68" t="str">
        <x:v>bpps_d200n25m10w10_30s20_40f1_seed0</x:v>
      </x:c>
      <x:c r="B68" s="16" t="n">
        <x:v>25</x:v>
      </x:c>
      <x:c r="C68" s="16" t="n">
        <x:v>10</x:v>
      </x:c>
      <x:c r="D68" s="16" t="n">
        <x:v>200</x:v>
      </x:c>
      <x:c r="E68" s="16" t="n">
        <x:v>28</x:v>
      </x:c>
      <x:c r="F68" s="12" t="n">
        <x:v>84</x:v>
      </x:c>
      <x:c r="G68" s="12" t="n">
        <x:v>110</x:v>
      </x:c>
      <x:c r="H68" s="12" t="n">
        <x:v>105</x:v>
      </x:c>
      <x:c r="I68" s="12" t="n">
        <x:v>117</x:v>
      </x:c>
      <x:c r="J68" s="12" t="n">
        <x:v>84</x:v>
      </x:c>
      <x:c r="K68" s="12" t="n">
        <x:f>MIN(F68:J68)</x:f>
        <x:v>84</x:v>
      </x:c>
      <x:c r="L68" t="str">
        <x:f>TEXTJOIN(", ",TRUE,IF(F68=K68,"IG",""),IF(G68=K68,"FFD",""),IF(H68=K68,"BFD",""),IF(I68=K68,"WFD",""),IF(J68=K68,"CTP",""))</x:f>
        <x:v>IG, CTP</x:v>
      </x:c>
      <x:c r="M68" s="14" t="n">
        <x:f>IFERROR((F68-$K68)/$K68,"")</x:f>
        <x:v>0</x:v>
      </x:c>
      <x:c r="N68" s="14" t="n">
        <x:f>IFERROR((G68-$K68)/$K68,"")</x:f>
        <x:v>0.30952380952380953</x:v>
      </x:c>
      <x:c r="O68" s="14" t="n">
        <x:f>IFERROR((H68-$K68)/$K68,"")</x:f>
        <x:v>0.25</x:v>
      </x:c>
      <x:c r="P68" s="14" t="n">
        <x:f>IFERROR((I68-$K68)/$K68,"")</x:f>
        <x:v>0.39285714285714285</x:v>
      </x:c>
      <x:c r="Q68" s="14" t="n">
        <x:f>IFERROR((J68-$K68)/$K68,"")</x:f>
        <x:v>0</x:v>
      </x:c>
      <x:c r="R68" t="n">
        <x:f>--(F68=$K68)</x:f>
        <x:v>1</x:v>
      </x:c>
      <x:c r="S68" t="n">
        <x:f>--(G68=$K68)</x:f>
        <x:v>0</x:v>
      </x:c>
      <x:c r="T68" t="n">
        <x:f>--(H68=$K68)</x:f>
        <x:v>0</x:v>
      </x:c>
      <x:c r="U68" t="n">
        <x:f>--(I68=$K68)</x:f>
        <x:v>0</x:v>
      </x:c>
      <x:c r="V68" t="n">
        <x:f>--(J68=$K68)</x:f>
        <x:v>1</x:v>
      </x:c>
    </x:row>
    <x:row r="69" ht="18" customHeight="1">
      <x:c r="A69" t="str">
        <x:v>bpps_d200n25m10w10_30s20_40f1_seed1</x:v>
      </x:c>
      <x:c r="B69" s="16" t="n">
        <x:v>25</x:v>
      </x:c>
      <x:c r="C69" s="16" t="n">
        <x:v>10</x:v>
      </x:c>
      <x:c r="D69" s="16" t="n">
        <x:v>200</x:v>
      </x:c>
      <x:c r="E69" s="16" t="n">
        <x:v>31</x:v>
      </x:c>
      <x:c r="F69" s="12" t="n">
        <x:v>95</x:v>
      </x:c>
      <x:c r="G69" s="12" t="n">
        <x:v>115</x:v>
      </x:c>
      <x:c r="H69" s="12" t="n">
        <x:v>115</x:v>
      </x:c>
      <x:c r="I69" s="12" t="n">
        <x:v>117</x:v>
      </x:c>
      <x:c r="J69" s="12" t="n">
        <x:v>105</x:v>
      </x:c>
      <x:c r="K69" s="12" t="n">
        <x:f>MIN(F69:J69)</x:f>
        <x:v>95</x:v>
      </x:c>
      <x:c r="L69" t="str">
        <x:f>TEXTJOIN(", ",TRUE,IF(F69=K69,"IG",""),IF(G69=K69,"FFD",""),IF(H69=K69,"BFD",""),IF(I69=K69,"WFD",""),IF(J69=K69,"CTP",""))</x:f>
        <x:v>IG</x:v>
      </x:c>
      <x:c r="M69" s="14" t="n">
        <x:f>IFERROR((F69-$K69)/$K69,"")</x:f>
        <x:v>0</x:v>
      </x:c>
      <x:c r="N69" s="14" t="n">
        <x:f>IFERROR((G69-$K69)/$K69,"")</x:f>
        <x:v>0.21052631578947367</x:v>
      </x:c>
      <x:c r="O69" s="14" t="n">
        <x:f>IFERROR((H69-$K69)/$K69,"")</x:f>
        <x:v>0.21052631578947367</x:v>
      </x:c>
      <x:c r="P69" s="14" t="n">
        <x:f>IFERROR((I69-$K69)/$K69,"")</x:f>
        <x:v>0.23157894736842105</x:v>
      </x:c>
      <x:c r="Q69" s="14" t="n">
        <x:f>IFERROR((J69-$K69)/$K69,"")</x:f>
        <x:v>0.10526315789473684</x:v>
      </x:c>
      <x:c r="R69" t="n">
        <x:f>--(F69=$K69)</x:f>
        <x:v>1</x:v>
      </x:c>
      <x:c r="S69" t="n">
        <x:f>--(G69=$K69)</x:f>
        <x:v>0</x:v>
      </x:c>
      <x:c r="T69" t="n">
        <x:f>--(H69=$K69)</x:f>
        <x:v>0</x:v>
      </x:c>
      <x:c r="U69" t="n">
        <x:f>--(I69=$K69)</x:f>
        <x:v>0</x:v>
      </x:c>
      <x:c r="V69" t="n">
        <x:f>--(J69=$K69)</x:f>
        <x:v>0</x:v>
      </x:c>
    </x:row>
    <x:row r="70" ht="18" customHeight="1">
      <x:c r="A70" t="str">
        <x:v>bpps_d200n25m10w10_30s2_20f0_seed0</x:v>
      </x:c>
      <x:c r="B70" s="16" t="n">
        <x:v>25</x:v>
      </x:c>
      <x:c r="C70" s="16" t="n">
        <x:v>10</x:v>
      </x:c>
      <x:c r="D70" s="16" t="n">
        <x:v>200</x:v>
      </x:c>
      <x:c r="E70" s="16" t="n">
        <x:v>34</x:v>
      </x:c>
      <x:c r="F70" s="12" t="n">
        <x:v>4</x:v>
      </x:c>
      <x:c r="G70" s="12" t="n">
        <x:v>4</x:v>
      </x:c>
      <x:c r="H70" s="12" t="n">
        <x:v>4</x:v>
      </x:c>
      <x:c r="I70" s="12" t="n">
        <x:v>4</x:v>
      </x:c>
      <x:c r="J70" s="12" t="n">
        <x:v>4</x:v>
      </x:c>
      <x:c r="K70" s="12" t="n">
        <x:f>MIN(F70:J70)</x:f>
        <x:v>4</x:v>
      </x:c>
      <x:c r="L70" t="str">
        <x:f>TEXTJOIN(", ",TRUE,IF(F70=K70,"IG",""),IF(G70=K70,"FFD",""),IF(H70=K70,"BFD",""),IF(I70=K70,"WFD",""),IF(J70=K70,"CTP",""))</x:f>
        <x:v>IG, FFD, BFD, WFD, CTP</x:v>
      </x:c>
      <x:c r="M70" s="14" t="n">
        <x:f>IFERROR((F70-$K70)/$K70,"")</x:f>
        <x:v>0</x:v>
      </x:c>
      <x:c r="N70" s="14" t="n">
        <x:f>IFERROR((G70-$K70)/$K70,"")</x:f>
        <x:v>0</x:v>
      </x:c>
      <x:c r="O70" s="14" t="n">
        <x:f>IFERROR((H70-$K70)/$K70,"")</x:f>
        <x:v>0</x:v>
      </x:c>
      <x:c r="P70" s="14" t="n">
        <x:f>IFERROR((I70-$K70)/$K70,"")</x:f>
        <x:v>0</x:v>
      </x:c>
      <x:c r="Q70" s="14" t="n">
        <x:f>IFERROR((J70-$K70)/$K70,"")</x:f>
        <x:v>0</x:v>
      </x:c>
      <x:c r="R70" t="n">
        <x:f>--(F70=$K70)</x:f>
        <x:v>1</x:v>
      </x:c>
      <x:c r="S70" t="n">
        <x:f>--(G70=$K70)</x:f>
        <x:v>1</x:v>
      </x:c>
      <x:c r="T70" t="n">
        <x:f>--(H70=$K70)</x:f>
        <x:v>1</x:v>
      </x:c>
      <x:c r="U70" t="n">
        <x:f>--(I70=$K70)</x:f>
        <x:v>1</x:v>
      </x:c>
      <x:c r="V70" t="n">
        <x:f>--(J70=$K70)</x:f>
        <x:v>1</x:v>
      </x:c>
    </x:row>
    <x:row r="71" ht="18" customHeight="1">
      <x:c r="A71" t="str">
        <x:v>bpps_d200n25m10w10_30s2_20f0_seed1</x:v>
      </x:c>
      <x:c r="B71" s="16" t="n">
        <x:v>25</x:v>
      </x:c>
      <x:c r="C71" s="16" t="n">
        <x:v>10</x:v>
      </x:c>
      <x:c r="D71" s="16" t="n">
        <x:v>200</x:v>
      </x:c>
      <x:c r="E71" s="16" t="n">
        <x:v>27</x:v>
      </x:c>
      <x:c r="F71" s="12" t="n">
        <x:v>4</x:v>
      </x:c>
      <x:c r="G71" s="12" t="n">
        <x:v>4</x:v>
      </x:c>
      <x:c r="H71" s="12" t="n">
        <x:v>4</x:v>
      </x:c>
      <x:c r="I71" s="12" t="n">
        <x:v>4</x:v>
      </x:c>
      <x:c r="J71" s="12" t="n">
        <x:v>4</x:v>
      </x:c>
      <x:c r="K71" s="12" t="n">
        <x:f>MIN(F71:J71)</x:f>
        <x:v>4</x:v>
      </x:c>
      <x:c r="L71" t="str">
        <x:f>TEXTJOIN(", ",TRUE,IF(F71=K71,"IG",""),IF(G71=K71,"FFD",""),IF(H71=K71,"BFD",""),IF(I71=K71,"WFD",""),IF(J71=K71,"CTP",""))</x:f>
        <x:v>IG, FFD, BFD, WFD, CTP</x:v>
      </x:c>
      <x:c r="M71" s="14" t="n">
        <x:f>IFERROR((F71-$K71)/$K71,"")</x:f>
        <x:v>0</x:v>
      </x:c>
      <x:c r="N71" s="14" t="n">
        <x:f>IFERROR((G71-$K71)/$K71,"")</x:f>
        <x:v>0</x:v>
      </x:c>
      <x:c r="O71" s="14" t="n">
        <x:f>IFERROR((H71-$K71)/$K71,"")</x:f>
        <x:v>0</x:v>
      </x:c>
      <x:c r="P71" s="14" t="n">
        <x:f>IFERROR((I71-$K71)/$K71,"")</x:f>
        <x:v>0</x:v>
      </x:c>
      <x:c r="Q71" s="14" t="n">
        <x:f>IFERROR((J71-$K71)/$K71,"")</x:f>
        <x:v>0</x:v>
      </x:c>
      <x:c r="R71" t="n">
        <x:f>--(F71=$K71)</x:f>
        <x:v>1</x:v>
      </x:c>
      <x:c r="S71" t="n">
        <x:f>--(G71=$K71)</x:f>
        <x:v>1</x:v>
      </x:c>
      <x:c r="T71" t="n">
        <x:f>--(H71=$K71)</x:f>
        <x:v>1</x:v>
      </x:c>
      <x:c r="U71" t="n">
        <x:f>--(I71=$K71)</x:f>
        <x:v>1</x:v>
      </x:c>
      <x:c r="V71" t="n">
        <x:f>--(J71=$K71)</x:f>
        <x:v>1</x:v>
      </x:c>
    </x:row>
    <x:row r="72" ht="18" customHeight="1">
      <x:c r="A72" t="str">
        <x:v>bpps_d200n25m10w10_30s2_20f1_seed0</x:v>
      </x:c>
      <x:c r="B72" s="16" t="n">
        <x:v>25</x:v>
      </x:c>
      <x:c r="C72" s="16" t="n">
        <x:v>10</x:v>
      </x:c>
      <x:c r="D72" s="16" t="n">
        <x:v>200</x:v>
      </x:c>
      <x:c r="E72" s="16" t="n">
        <x:v>27</x:v>
      </x:c>
      <x:c r="F72" s="12" t="n">
        <x:v>74</x:v>
      </x:c>
      <x:c r="G72" s="12" t="n">
        <x:v>83</x:v>
      </x:c>
      <x:c r="H72" s="12" t="n">
        <x:v>95</x:v>
      </x:c>
      <x:c r="I72" s="12" t="n">
        <x:v>82</x:v>
      </x:c>
      <x:c r="J72" s="12" t="n">
        <x:v>84</x:v>
      </x:c>
      <x:c r="K72" s="12" t="n">
        <x:f>MIN(F72:J72)</x:f>
        <x:v>74</x:v>
      </x:c>
      <x:c r="L72" t="str">
        <x:f>TEXTJOIN(", ",TRUE,IF(F72=K72,"IG",""),IF(G72=K72,"FFD",""),IF(H72=K72,"BFD",""),IF(I72=K72,"WFD",""),IF(J72=K72,"CTP",""))</x:f>
        <x:v>IG</x:v>
      </x:c>
      <x:c r="M72" s="14" t="n">
        <x:f>IFERROR((F72-$K72)/$K72,"")</x:f>
        <x:v>0</x:v>
      </x:c>
      <x:c r="N72" s="14" t="n">
        <x:f>IFERROR((G72-$K72)/$K72,"")</x:f>
        <x:v>0.12162162162162163</x:v>
      </x:c>
      <x:c r="O72" s="14" t="n">
        <x:f>IFERROR((H72-$K72)/$K72,"")</x:f>
        <x:v>0.28378378378378377</x:v>
      </x:c>
      <x:c r="P72" s="14" t="n">
        <x:f>IFERROR((I72-$K72)/$K72,"")</x:f>
        <x:v>0.10810810810810811</x:v>
      </x:c>
      <x:c r="Q72" s="14" t="n">
        <x:f>IFERROR((J72-$K72)/$K72,"")</x:f>
        <x:v>0.13513513513513514</x:v>
      </x:c>
      <x:c r="R72" t="n">
        <x:f>--(F72=$K72)</x:f>
        <x:v>1</x:v>
      </x:c>
      <x:c r="S72" t="n">
        <x:f>--(G72=$K72)</x:f>
        <x:v>0</x:v>
      </x:c>
      <x:c r="T72" t="n">
        <x:f>--(H72=$K72)</x:f>
        <x:v>0</x:v>
      </x:c>
      <x:c r="U72" t="n">
        <x:f>--(I72=$K72)</x:f>
        <x:v>0</x:v>
      </x:c>
      <x:c r="V72" t="n">
        <x:f>--(J72=$K72)</x:f>
        <x:v>0</x:v>
      </x:c>
    </x:row>
    <x:row r="73" ht="18" customHeight="1">
      <x:c r="A73" t="str">
        <x:v>bpps_d200n25m10w10_30s2_20f1_seed1</x:v>
      </x:c>
      <x:c r="B73" s="16" t="n">
        <x:v>25</x:v>
      </x:c>
      <x:c r="C73" s="16" t="n">
        <x:v>10</x:v>
      </x:c>
      <x:c r="D73" s="16" t="n">
        <x:v>200</x:v>
      </x:c>
      <x:c r="E73" s="16" t="n">
        <x:v>33</x:v>
      </x:c>
      <x:c r="F73" s="12" t="n">
        <x:v>81</x:v>
      </x:c>
      <x:c r="G73" s="12" t="n">
        <x:v>104</x:v>
      </x:c>
      <x:c r="H73" s="12" t="n">
        <x:v>101</x:v>
      </x:c>
      <x:c r="I73" s="12" t="n">
        <x:v>105</x:v>
      </x:c>
      <x:c r="J73" s="12" t="n">
        <x:v>91</x:v>
      </x:c>
      <x:c r="K73" s="12" t="n">
        <x:f>MIN(F73:J73)</x:f>
        <x:v>81</x:v>
      </x:c>
      <x:c r="L73" t="str">
        <x:f>TEXTJOIN(", ",TRUE,IF(F73=K73,"IG",""),IF(G73=K73,"FFD",""),IF(H73=K73,"BFD",""),IF(I73=K73,"WFD",""),IF(J73=K73,"CTP",""))</x:f>
        <x:v>IG</x:v>
      </x:c>
      <x:c r="M73" s="14" t="n">
        <x:f>IFERROR((F73-$K73)/$K73,"")</x:f>
        <x:v>0</x:v>
      </x:c>
      <x:c r="N73" s="14" t="n">
        <x:f>IFERROR((G73-$K73)/$K73,"")</x:f>
        <x:v>0.2839506172839506</x:v>
      </x:c>
      <x:c r="O73" s="14" t="n">
        <x:f>IFERROR((H73-$K73)/$K73,"")</x:f>
        <x:v>0.24691358024691357</x:v>
      </x:c>
      <x:c r="P73" s="14" t="n">
        <x:f>IFERROR((I73-$K73)/$K73,"")</x:f>
        <x:v>0.2962962962962963</x:v>
      </x:c>
      <x:c r="Q73" s="14" t="n">
        <x:f>IFERROR((J73-$K73)/$K73,"")</x:f>
        <x:v>0.12345679012345678</x:v>
      </x:c>
      <x:c r="R73" t="n">
        <x:f>--(F73=$K73)</x:f>
        <x:v>1</x:v>
      </x:c>
      <x:c r="S73" t="n">
        <x:f>--(G73=$K73)</x:f>
        <x:v>0</x:v>
      </x:c>
      <x:c r="T73" t="n">
        <x:f>--(H73=$K73)</x:f>
        <x:v>0</x:v>
      </x:c>
      <x:c r="U73" t="n">
        <x:f>--(I73=$K73)</x:f>
        <x:v>0</x:v>
      </x:c>
      <x:c r="V73" t="n">
        <x:f>--(J73=$K73)</x:f>
        <x:v>0</x:v>
      </x:c>
    </x:row>
    <x:row r="74" ht="18" customHeight="1">
      <x:c r="A74" t="str">
        <x:v>bpps_d200n25m10w30_60s20_40f0_seed0</x:v>
      </x:c>
      <x:c r="B74" s="16" t="n">
        <x:v>25</x:v>
      </x:c>
      <x:c r="C74" s="16" t="n">
        <x:v>10</x:v>
      </x:c>
      <x:c r="D74" s="16" t="n">
        <x:v>200</x:v>
      </x:c>
      <x:c r="E74" s="16" t="n">
        <x:v>32</x:v>
      </x:c>
      <x:c r="F74" s="12" t="n">
        <x:v>9</x:v>
      </x:c>
      <x:c r="G74" s="12" t="n">
        <x:v>10</x:v>
      </x:c>
      <x:c r="H74" s="12" t="n">
        <x:v>10</x:v>
      </x:c>
      <x:c r="I74" s="12" t="n">
        <x:v>10</x:v>
      </x:c>
      <x:c r="J74" s="12" t="n">
        <x:v>10</x:v>
      </x:c>
      <x:c r="K74" s="12" t="n">
        <x:f>MIN(F74:J74)</x:f>
        <x:v>9</x:v>
      </x:c>
      <x:c r="L74" t="str">
        <x:f>TEXTJOIN(", ",TRUE,IF(F74=K74,"IG",""),IF(G74=K74,"FFD",""),IF(H74=K74,"BFD",""),IF(I74=K74,"WFD",""),IF(J74=K74,"CTP",""))</x:f>
        <x:v>IG</x:v>
      </x:c>
      <x:c r="M74" s="14" t="n">
        <x:f>IFERROR((F74-$K74)/$K74,"")</x:f>
        <x:v>0</x:v>
      </x:c>
      <x:c r="N74" s="14" t="n">
        <x:f>IFERROR((G74-$K74)/$K74,"")</x:f>
        <x:v>0.1111111111111111</x:v>
      </x:c>
      <x:c r="O74" s="14" t="n">
        <x:f>IFERROR((H74-$K74)/$K74,"")</x:f>
        <x:v>0.1111111111111111</x:v>
      </x:c>
      <x:c r="P74" s="14" t="n">
        <x:f>IFERROR((I74-$K74)/$K74,"")</x:f>
        <x:v>0.1111111111111111</x:v>
      </x:c>
      <x:c r="Q74" s="14" t="n">
        <x:f>IFERROR((J74-$K74)/$K74,"")</x:f>
        <x:v>0.1111111111111111</x:v>
      </x:c>
      <x:c r="R74" t="n">
        <x:f>--(F74=$K74)</x:f>
        <x:v>1</x:v>
      </x:c>
      <x:c r="S74" t="n">
        <x:f>--(G74=$K74)</x:f>
        <x:v>0</x:v>
      </x:c>
      <x:c r="T74" t="n">
        <x:f>--(H74=$K74)</x:f>
        <x:v>0</x:v>
      </x:c>
      <x:c r="U74" t="n">
        <x:f>--(I74=$K74)</x:f>
        <x:v>0</x:v>
      </x:c>
      <x:c r="V74" t="n">
        <x:f>--(J74=$K74)</x:f>
        <x:v>0</x:v>
      </x:c>
    </x:row>
    <x:row r="75" ht="18" customHeight="1">
      <x:c r="A75" t="str">
        <x:v>bpps_d200n25m10w30_60s20_40f0_seed1</x:v>
      </x:c>
      <x:c r="B75" s="16" t="n">
        <x:v>25</x:v>
      </x:c>
      <x:c r="C75" s="16" t="n">
        <x:v>10</x:v>
      </x:c>
      <x:c r="D75" s="16" t="n">
        <x:v>200</x:v>
      </x:c>
      <x:c r="E75" s="16" t="n">
        <x:v>29</x:v>
      </x:c>
      <x:c r="F75" s="12" t="n">
        <x:v>9</x:v>
      </x:c>
      <x:c r="G75" s="12" t="n">
        <x:v>9</x:v>
      </x:c>
      <x:c r="H75" s="12" t="n">
        <x:v>9</x:v>
      </x:c>
      <x:c r="I75" s="12" t="n">
        <x:v>9</x:v>
      </x:c>
      <x:c r="J75" s="12" t="n">
        <x:v>11</x:v>
      </x:c>
      <x:c r="K75" s="12" t="n">
        <x:f>MIN(F75:J75)</x:f>
        <x:v>9</x:v>
      </x:c>
      <x:c r="L75" t="str">
        <x:f>TEXTJOIN(", ",TRUE,IF(F75=K75,"IG",""),IF(G75=K75,"FFD",""),IF(H75=K75,"BFD",""),IF(I75=K75,"WFD",""),IF(J75=K75,"CTP",""))</x:f>
        <x:v>IG, FFD, BFD, WFD</x:v>
      </x:c>
      <x:c r="M75" s="14" t="n">
        <x:f>IFERROR((F75-$K75)/$K75,"")</x:f>
        <x:v>0</x:v>
      </x:c>
      <x:c r="N75" s="14" t="n">
        <x:f>IFERROR((G75-$K75)/$K75,"")</x:f>
        <x:v>0</x:v>
      </x:c>
      <x:c r="O75" s="14" t="n">
        <x:f>IFERROR((H75-$K75)/$K75,"")</x:f>
        <x:v>0</x:v>
      </x:c>
      <x:c r="P75" s="14" t="n">
        <x:f>IFERROR((I75-$K75)/$K75,"")</x:f>
        <x:v>0</x:v>
      </x:c>
      <x:c r="Q75" s="14" t="n">
        <x:f>IFERROR((J75-$K75)/$K75,"")</x:f>
        <x:v>0.2222222222222222</x:v>
      </x:c>
      <x:c r="R75" t="n">
        <x:f>--(F75=$K75)</x:f>
        <x:v>1</x:v>
      </x:c>
      <x:c r="S75" t="n">
        <x:f>--(G75=$K75)</x:f>
        <x:v>1</x:v>
      </x:c>
      <x:c r="T75" t="n">
        <x:f>--(H75=$K75)</x:f>
        <x:v>1</x:v>
      </x:c>
      <x:c r="U75" t="n">
        <x:f>--(I75=$K75)</x:f>
        <x:v>1</x:v>
      </x:c>
      <x:c r="V75" t="n">
        <x:f>--(J75=$K75)</x:f>
        <x:v>0</x:v>
      </x:c>
    </x:row>
    <x:row r="76" ht="18" customHeight="1">
      <x:c r="A76" t="str">
        <x:v>bpps_d200n25m10w30_60s20_40f1_seed0</x:v>
      </x:c>
      <x:c r="B76" s="16" t="n">
        <x:v>25</x:v>
      </x:c>
      <x:c r="C76" s="16" t="n">
        <x:v>10</x:v>
      </x:c>
      <x:c r="D76" s="16" t="n">
        <x:v>200</x:v>
      </x:c>
      <x:c r="E76" s="16" t="n">
        <x:v>26</x:v>
      </x:c>
      <x:c r="F76" s="12" t="n">
        <x:v>119</x:v>
      </x:c>
      <x:c r="G76" s="12" t="n">
        <x:v>145</x:v>
      </x:c>
      <x:c r="H76" s="12" t="n">
        <x:v>145</x:v>
      </x:c>
      <x:c r="I76" s="12" t="n">
        <x:v>154</x:v>
      </x:c>
      <x:c r="J76" s="12" t="n">
        <x:v>128</x:v>
      </x:c>
      <x:c r="K76" s="12" t="n">
        <x:f>MIN(F76:J76)</x:f>
        <x:v>119</x:v>
      </x:c>
      <x:c r="L76" t="str">
        <x:f>TEXTJOIN(", ",TRUE,IF(F76=K76,"IG",""),IF(G76=K76,"FFD",""),IF(H76=K76,"BFD",""),IF(I76=K76,"WFD",""),IF(J76=K76,"CTP",""))</x:f>
        <x:v>IG</x:v>
      </x:c>
      <x:c r="M76" s="14" t="n">
        <x:f>IFERROR((F76-$K76)/$K76,"")</x:f>
        <x:v>0</x:v>
      </x:c>
      <x:c r="N76" s="14" t="n">
        <x:f>IFERROR((G76-$K76)/$K76,"")</x:f>
        <x:v>0.2184873949579832</x:v>
      </x:c>
      <x:c r="O76" s="14" t="n">
        <x:f>IFERROR((H76-$K76)/$K76,"")</x:f>
        <x:v>0.2184873949579832</x:v>
      </x:c>
      <x:c r="P76" s="14" t="n">
        <x:f>IFERROR((I76-$K76)/$K76,"")</x:f>
        <x:v>0.29411764705882354</x:v>
      </x:c>
      <x:c r="Q76" s="14" t="n">
        <x:f>IFERROR((J76-$K76)/$K76,"")</x:f>
        <x:v>0.07563025210084033</x:v>
      </x:c>
      <x:c r="R76" t="n">
        <x:f>--(F76=$K76)</x:f>
        <x:v>1</x:v>
      </x:c>
      <x:c r="S76" t="n">
        <x:f>--(G76=$K76)</x:f>
        <x:v>0</x:v>
      </x:c>
      <x:c r="T76" t="n">
        <x:f>--(H76=$K76)</x:f>
        <x:v>0</x:v>
      </x:c>
      <x:c r="U76" t="n">
        <x:f>--(I76=$K76)</x:f>
        <x:v>0</x:v>
      </x:c>
      <x:c r="V76" t="n">
        <x:f>--(J76=$K76)</x:f>
        <x:v>0</x:v>
      </x:c>
    </x:row>
    <x:row r="77" ht="18" customHeight="1">
      <x:c r="A77" t="str">
        <x:v>bpps_d200n25m10w30_60s20_40f1_seed1</x:v>
      </x:c>
      <x:c r="B77" s="16" t="n">
        <x:v>25</x:v>
      </x:c>
      <x:c r="C77" s="16" t="n">
        <x:v>10</x:v>
      </x:c>
      <x:c r="D77" s="16" t="n">
        <x:v>200</x:v>
      </x:c>
      <x:c r="E77" s="16" t="n">
        <x:v>34</x:v>
      </x:c>
      <x:c r="F77" s="12" t="n">
        <x:v>129</x:v>
      </x:c>
      <x:c r="G77" s="12" t="n">
        <x:v>145</x:v>
      </x:c>
      <x:c r="H77" s="12" t="n">
        <x:v>145</x:v>
      </x:c>
      <x:c r="I77" s="12" t="n">
        <x:v>161</x:v>
      </x:c>
      <x:c r="J77" s="12" t="n">
        <x:v>137</x:v>
      </x:c>
      <x:c r="K77" s="12" t="n">
        <x:f>MIN(F77:J77)</x:f>
        <x:v>129</x:v>
      </x:c>
      <x:c r="L77" t="str">
        <x:f>TEXTJOIN(", ",TRUE,IF(F77=K77,"IG",""),IF(G77=K77,"FFD",""),IF(H77=K77,"BFD",""),IF(I77=K77,"WFD",""),IF(J77=K77,"CTP",""))</x:f>
        <x:v>IG</x:v>
      </x:c>
      <x:c r="M77" s="14" t="n">
        <x:f>IFERROR((F77-$K77)/$K77,"")</x:f>
        <x:v>0</x:v>
      </x:c>
      <x:c r="N77" s="14" t="n">
        <x:f>IFERROR((G77-$K77)/$K77,"")</x:f>
        <x:v>0.12403100775193798</x:v>
      </x:c>
      <x:c r="O77" s="14" t="n">
        <x:f>IFERROR((H77-$K77)/$K77,"")</x:f>
        <x:v>0.12403100775193798</x:v>
      </x:c>
      <x:c r="P77" s="14" t="n">
        <x:f>IFERROR((I77-$K77)/$K77,"")</x:f>
        <x:v>0.24806201550387597</x:v>
      </x:c>
      <x:c r="Q77" s="14" t="n">
        <x:f>IFERROR((J77-$K77)/$K77,"")</x:f>
        <x:v>0.06201550387596899</x:v>
      </x:c>
      <x:c r="R77" t="n">
        <x:f>--(F77=$K77)</x:f>
        <x:v>1</x:v>
      </x:c>
      <x:c r="S77" t="n">
        <x:f>--(G77=$K77)</x:f>
        <x:v>0</x:v>
      </x:c>
      <x:c r="T77" t="n">
        <x:f>--(H77=$K77)</x:f>
        <x:v>0</x:v>
      </x:c>
      <x:c r="U77" t="n">
        <x:f>--(I77=$K77)</x:f>
        <x:v>0</x:v>
      </x:c>
      <x:c r="V77" t="n">
        <x:f>--(J77=$K77)</x:f>
        <x:v>0</x:v>
      </x:c>
    </x:row>
    <x:row r="78" ht="18" customHeight="1">
      <x:c r="A78" t="str">
        <x:v>bpps_d200n25m10w30_60s2_20f0_seed0</x:v>
      </x:c>
      <x:c r="B78" s="16" t="n">
        <x:v>25</x:v>
      </x:c>
      <x:c r="C78" s="16" t="n">
        <x:v>10</x:v>
      </x:c>
      <x:c r="D78" s="16" t="n">
        <x:v>200</x:v>
      </x:c>
      <x:c r="E78" s="16" t="n">
        <x:v>38</x:v>
      </x:c>
      <x:c r="F78" s="12" t="n">
        <x:v>7</x:v>
      </x:c>
      <x:c r="G78" s="12" t="n">
        <x:v>8</x:v>
      </x:c>
      <x:c r="H78" s="12" t="n">
        <x:v>8</x:v>
      </x:c>
      <x:c r="I78" s="12" t="n">
        <x:v>7</x:v>
      </x:c>
      <x:c r="J78" s="12" t="n">
        <x:v>8</x:v>
      </x:c>
      <x:c r="K78" s="12" t="n">
        <x:f>MIN(F78:J78)</x:f>
        <x:v>7</x:v>
      </x:c>
      <x:c r="L78" t="str">
        <x:f>TEXTJOIN(", ",TRUE,IF(F78=K78,"IG",""),IF(G78=K78,"FFD",""),IF(H78=K78,"BFD",""),IF(I78=K78,"WFD",""),IF(J78=K78,"CTP",""))</x:f>
        <x:v>IG, WFD</x:v>
      </x:c>
      <x:c r="M78" s="14" t="n">
        <x:f>IFERROR((F78-$K78)/$K78,"")</x:f>
        <x:v>0</x:v>
      </x:c>
      <x:c r="N78" s="14" t="n">
        <x:f>IFERROR((G78-$K78)/$K78,"")</x:f>
        <x:v>0.14285714285714285</x:v>
      </x:c>
      <x:c r="O78" s="14" t="n">
        <x:f>IFERROR((H78-$K78)/$K78,"")</x:f>
        <x:v>0.14285714285714285</x:v>
      </x:c>
      <x:c r="P78" s="14" t="n">
        <x:f>IFERROR((I78-$K78)/$K78,"")</x:f>
        <x:v>0</x:v>
      </x:c>
      <x:c r="Q78" s="14" t="n">
        <x:f>IFERROR((J78-$K78)/$K78,"")</x:f>
        <x:v>0.14285714285714285</x:v>
      </x:c>
      <x:c r="R78" t="n">
        <x:f>--(F78=$K78)</x:f>
        <x:v>1</x:v>
      </x:c>
      <x:c r="S78" t="n">
        <x:f>--(G78=$K78)</x:f>
        <x:v>0</x:v>
      </x:c>
      <x:c r="T78" t="n">
        <x:f>--(H78=$K78)</x:f>
        <x:v>0</x:v>
      </x:c>
      <x:c r="U78" t="n">
        <x:f>--(I78=$K78)</x:f>
        <x:v>1</x:v>
      </x:c>
      <x:c r="V78" t="n">
        <x:f>--(J78=$K78)</x:f>
        <x:v>0</x:v>
      </x:c>
    </x:row>
    <x:row r="79" ht="18" customHeight="1">
      <x:c r="A79" t="str">
        <x:v>bpps_d200n25m10w30_60s2_20f0_seed1</x:v>
      </x:c>
      <x:c r="B79" s="16" t="n">
        <x:v>25</x:v>
      </x:c>
      <x:c r="C79" s="16" t="n">
        <x:v>10</x:v>
      </x:c>
      <x:c r="D79" s="16" t="n">
        <x:v>200</x:v>
      </x:c>
      <x:c r="E79" s="16" t="n">
        <x:v>28</x:v>
      </x:c>
      <x:c r="F79" s="12" t="n">
        <x:v>7</x:v>
      </x:c>
      <x:c r="G79" s="12" t="n">
        <x:v>7</x:v>
      </x:c>
      <x:c r="H79" s="12" t="n">
        <x:v>7</x:v>
      </x:c>
      <x:c r="I79" s="12" t="n">
        <x:v>7</x:v>
      </x:c>
      <x:c r="J79" s="12" t="n">
        <x:v>8</x:v>
      </x:c>
      <x:c r="K79" s="12" t="n">
        <x:f>MIN(F79:J79)</x:f>
        <x:v>7</x:v>
      </x:c>
      <x:c r="L79" t="str">
        <x:f>TEXTJOIN(", ",TRUE,IF(F79=K79,"IG",""),IF(G79=K79,"FFD",""),IF(H79=K79,"BFD",""),IF(I79=K79,"WFD",""),IF(J79=K79,"CTP",""))</x:f>
        <x:v>IG, FFD, BFD, WFD</x:v>
      </x:c>
      <x:c r="M79" s="14" t="n">
        <x:f>IFERROR((F79-$K79)/$K79,"")</x:f>
        <x:v>0</x:v>
      </x:c>
      <x:c r="N79" s="14" t="n">
        <x:f>IFERROR((G79-$K79)/$K79,"")</x:f>
        <x:v>0</x:v>
      </x:c>
      <x:c r="O79" s="14" t="n">
        <x:f>IFERROR((H79-$K79)/$K79,"")</x:f>
        <x:v>0</x:v>
      </x:c>
      <x:c r="P79" s="14" t="n">
        <x:f>IFERROR((I79-$K79)/$K79,"")</x:f>
        <x:v>0</x:v>
      </x:c>
      <x:c r="Q79" s="14" t="n">
        <x:f>IFERROR((J79-$K79)/$K79,"")</x:f>
        <x:v>0.14285714285714285</x:v>
      </x:c>
      <x:c r="R79" t="n">
        <x:f>--(F79=$K79)</x:f>
        <x:v>1</x:v>
      </x:c>
      <x:c r="S79" t="n">
        <x:f>--(G79=$K79)</x:f>
        <x:v>1</x:v>
      </x:c>
      <x:c r="T79" t="n">
        <x:f>--(H79=$K79)</x:f>
        <x:v>1</x:v>
      </x:c>
      <x:c r="U79" t="n">
        <x:f>--(I79=$K79)</x:f>
        <x:v>1</x:v>
      </x:c>
      <x:c r="V79" t="n">
        <x:f>--(J79=$K79)</x:f>
        <x:v>0</x:v>
      </x:c>
    </x:row>
    <x:row r="80" ht="18" customHeight="1">
      <x:c r="A80" t="str">
        <x:v>bpps_d200n25m10w30_60s2_20f1_seed0</x:v>
      </x:c>
      <x:c r="B80" s="16" t="n">
        <x:v>25</x:v>
      </x:c>
      <x:c r="C80" s="16" t="n">
        <x:v>10</x:v>
      </x:c>
      <x:c r="D80" s="16" t="n">
        <x:v>200</x:v>
      </x:c>
      <x:c r="E80" s="16" t="n">
        <x:v>36</x:v>
      </x:c>
      <x:c r="F80" s="12" t="n">
        <x:v>108</x:v>
      </x:c>
      <x:c r="G80" s="12" t="n">
        <x:v>128</x:v>
      </x:c>
      <x:c r="H80" s="12" t="n">
        <x:v>128</x:v>
      </x:c>
      <x:c r="I80" s="12" t="n">
        <x:v>128</x:v>
      </x:c>
      <x:c r="J80" s="12" t="n">
        <x:v>108</x:v>
      </x:c>
      <x:c r="K80" s="12" t="n">
        <x:f>MIN(F80:J80)</x:f>
        <x:v>108</x:v>
      </x:c>
      <x:c r="L80" t="str">
        <x:f>TEXTJOIN(", ",TRUE,IF(F80=K80,"IG",""),IF(G80=K80,"FFD",""),IF(H80=K80,"BFD",""),IF(I80=K80,"WFD",""),IF(J80=K80,"CTP",""))</x:f>
        <x:v>IG, CTP</x:v>
      </x:c>
      <x:c r="M80" s="14" t="n">
        <x:f>IFERROR((F80-$K80)/$K80,"")</x:f>
        <x:v>0</x:v>
      </x:c>
      <x:c r="N80" s="14" t="n">
        <x:f>IFERROR((G80-$K80)/$K80,"")</x:f>
        <x:v>0.18518518518518517</x:v>
      </x:c>
      <x:c r="O80" s="14" t="n">
        <x:f>IFERROR((H80-$K80)/$K80,"")</x:f>
        <x:v>0.18518518518518517</x:v>
      </x:c>
      <x:c r="P80" s="14" t="n">
        <x:f>IFERROR((I80-$K80)/$K80,"")</x:f>
        <x:v>0.18518518518518517</x:v>
      </x:c>
      <x:c r="Q80" s="14" t="n">
        <x:f>IFERROR((J80-$K80)/$K80,"")</x:f>
        <x:v>0</x:v>
      </x:c>
      <x:c r="R80" t="n">
        <x:f>--(F80=$K80)</x:f>
        <x:v>1</x:v>
      </x:c>
      <x:c r="S80" t="n">
        <x:f>--(G80=$K80)</x:f>
        <x:v>0</x:v>
      </x:c>
      <x:c r="T80" t="n">
        <x:f>--(H80=$K80)</x:f>
        <x:v>0</x:v>
      </x:c>
      <x:c r="U80" t="n">
        <x:f>--(I80=$K80)</x:f>
        <x:v>0</x:v>
      </x:c>
      <x:c r="V80" t="n">
        <x:f>--(J80=$K80)</x:f>
        <x:v>1</x:v>
      </x:c>
    </x:row>
    <x:row r="81" ht="18" customHeight="1">
      <x:c r="A81" t="str">
        <x:v>bpps_d200n25m10w30_60s2_20f1_seed1</x:v>
      </x:c>
      <x:c r="B81" s="16" t="n">
        <x:v>25</x:v>
      </x:c>
      <x:c r="C81" s="16" t="n">
        <x:v>10</x:v>
      </x:c>
      <x:c r="D81" s="16" t="n">
        <x:v>200</x:v>
      </x:c>
      <x:c r="E81" s="16" t="n">
        <x:v>28</x:v>
      </x:c>
      <x:c r="F81" s="12" t="n">
        <x:v>103</x:v>
      </x:c>
      <x:c r="G81" s="12" t="n">
        <x:v>126</x:v>
      </x:c>
      <x:c r="H81" s="12" t="n">
        <x:v>126</x:v>
      </x:c>
      <x:c r="I81" s="12" t="n">
        <x:v>131</x:v>
      </x:c>
      <x:c r="J81" s="12" t="n">
        <x:v>112</x:v>
      </x:c>
      <x:c r="K81" s="12" t="n">
        <x:f>MIN(F81:J81)</x:f>
        <x:v>103</x:v>
      </x:c>
      <x:c r="L81" t="str">
        <x:f>TEXTJOIN(", ",TRUE,IF(F81=K81,"IG",""),IF(G81=K81,"FFD",""),IF(H81=K81,"BFD",""),IF(I81=K81,"WFD",""),IF(J81=K81,"CTP",""))</x:f>
        <x:v>IG</x:v>
      </x:c>
      <x:c r="M81" s="14" t="n">
        <x:f>IFERROR((F81-$K81)/$K81,"")</x:f>
        <x:v>0</x:v>
      </x:c>
      <x:c r="N81" s="14" t="n">
        <x:f>IFERROR((G81-$K81)/$K81,"")</x:f>
        <x:v>0.22330097087378642</x:v>
      </x:c>
      <x:c r="O81" s="14" t="n">
        <x:f>IFERROR((H81-$K81)/$K81,"")</x:f>
        <x:v>0.22330097087378642</x:v>
      </x:c>
      <x:c r="P81" s="14" t="n">
        <x:f>IFERROR((I81-$K81)/$K81,"")</x:f>
        <x:v>0.27184466019417475</x:v>
      </x:c>
      <x:c r="Q81" s="14" t="n">
        <x:f>IFERROR((J81-$K81)/$K81,"")</x:f>
        <x:v>0.08737864077669903</x:v>
      </x:c>
      <x:c r="R81" t="n">
        <x:f>--(F81=$K81)</x:f>
        <x:v>1</x:v>
      </x:c>
      <x:c r="S81" t="n">
        <x:f>--(G81=$K81)</x:f>
        <x:v>0</x:v>
      </x:c>
      <x:c r="T81" t="n">
        <x:f>--(H81=$K81)</x:f>
        <x:v>0</x:v>
      </x:c>
      <x:c r="U81" t="n">
        <x:f>--(I81=$K81)</x:f>
        <x:v>0</x:v>
      </x:c>
      <x:c r="V81" t="n">
        <x:f>--(J81=$K81)</x:f>
        <x:v>0</x:v>
      </x:c>
    </x:row>
    <x:row r="82" ht="18" customHeight="1">
      <x:c r="A82" t="str">
        <x:v>bpps_d200n25m5w10_30s20_40f0_seed0</x:v>
      </x:c>
      <x:c r="B82" s="16" t="n">
        <x:v>25</x:v>
      </x:c>
      <x:c r="C82" s="16" t="n">
        <x:v>5</x:v>
      </x:c>
      <x:c r="D82" s="16" t="n">
        <x:v>200</x:v>
      </x:c>
      <x:c r="E82" s="16" t="n">
        <x:v>28</x:v>
      </x:c>
      <x:c r="F82" s="12" t="n">
        <x:v>5</x:v>
      </x:c>
      <x:c r="G82" s="12" t="n">
        <x:v>5</x:v>
      </x:c>
      <x:c r="H82" s="12" t="n">
        <x:v>5</x:v>
      </x:c>
      <x:c r="I82" s="12" t="n">
        <x:v>5</x:v>
      </x:c>
      <x:c r="J82" s="12" t="n">
        <x:v>5</x:v>
      </x:c>
      <x:c r="K82" s="12" t="n">
        <x:f>MIN(F82:J82)</x:f>
        <x:v>5</x:v>
      </x:c>
      <x:c r="L82" t="str">
        <x:f>TEXTJOIN(", ",TRUE,IF(F82=K82,"IG",""),IF(G82=K82,"FFD",""),IF(H82=K82,"BFD",""),IF(I82=K82,"WFD",""),IF(J82=K82,"CTP",""))</x:f>
        <x:v>IG, FFD, BFD, WFD, CTP</x:v>
      </x:c>
      <x:c r="M82" s="14" t="n">
        <x:f>IFERROR((F82-$K82)/$K82,"")</x:f>
        <x:v>0</x:v>
      </x:c>
      <x:c r="N82" s="14" t="n">
        <x:f>IFERROR((G82-$K82)/$K82,"")</x:f>
        <x:v>0</x:v>
      </x:c>
      <x:c r="O82" s="14" t="n">
        <x:f>IFERROR((H82-$K82)/$K82,"")</x:f>
        <x:v>0</x:v>
      </x:c>
      <x:c r="P82" s="14" t="n">
        <x:f>IFERROR((I82-$K82)/$K82,"")</x:f>
        <x:v>0</x:v>
      </x:c>
      <x:c r="Q82" s="14" t="n">
        <x:f>IFERROR((J82-$K82)/$K82,"")</x:f>
        <x:v>0</x:v>
      </x:c>
      <x:c r="R82" t="n">
        <x:f>--(F82=$K82)</x:f>
        <x:v>1</x:v>
      </x:c>
      <x:c r="S82" t="n">
        <x:f>--(G82=$K82)</x:f>
        <x:v>1</x:v>
      </x:c>
      <x:c r="T82" t="n">
        <x:f>--(H82=$K82)</x:f>
        <x:v>1</x:v>
      </x:c>
      <x:c r="U82" t="n">
        <x:f>--(I82=$K82)</x:f>
        <x:v>1</x:v>
      </x:c>
      <x:c r="V82" t="n">
        <x:f>--(J82=$K82)</x:f>
        <x:v>1</x:v>
      </x:c>
    </x:row>
    <x:row r="83" ht="18" customHeight="1">
      <x:c r="A83" t="str">
        <x:v>bpps_d200n25m5w10_30s20_40f0_seed1</x:v>
      </x:c>
      <x:c r="B83" s="16" t="n">
        <x:v>25</x:v>
      </x:c>
      <x:c r="C83" s="16" t="n">
        <x:v>5</x:v>
      </x:c>
      <x:c r="D83" s="16" t="n">
        <x:v>200</x:v>
      </x:c>
      <x:c r="E83" s="16" t="n">
        <x:v>33</x:v>
      </x:c>
      <x:c r="F83" s="12" t="n">
        <x:v>4</x:v>
      </x:c>
      <x:c r="G83" s="12" t="n">
        <x:v>5</x:v>
      </x:c>
      <x:c r="H83" s="12" t="n">
        <x:v>5</x:v>
      </x:c>
      <x:c r="I83" s="12" t="n">
        <x:v>5</x:v>
      </x:c>
      <x:c r="J83" s="12" t="n">
        <x:v>5</x:v>
      </x:c>
      <x:c r="K83" s="12" t="n">
        <x:f>MIN(F83:J83)</x:f>
        <x:v>4</x:v>
      </x:c>
      <x:c r="L83" t="str">
        <x:f>TEXTJOIN(", ",TRUE,IF(F83=K83,"IG",""),IF(G83=K83,"FFD",""),IF(H83=K83,"BFD",""),IF(I83=K83,"WFD",""),IF(J83=K83,"CTP",""))</x:f>
        <x:v>IG</x:v>
      </x:c>
      <x:c r="M83" s="14" t="n">
        <x:f>IFERROR((F83-$K83)/$K83,"")</x:f>
        <x:v>0</x:v>
      </x:c>
      <x:c r="N83" s="14" t="n">
        <x:f>IFERROR((G83-$K83)/$K83,"")</x:f>
        <x:v>0.25</x:v>
      </x:c>
      <x:c r="O83" s="14" t="n">
        <x:f>IFERROR((H83-$K83)/$K83,"")</x:f>
        <x:v>0.25</x:v>
      </x:c>
      <x:c r="P83" s="14" t="n">
        <x:f>IFERROR((I83-$K83)/$K83,"")</x:f>
        <x:v>0.25</x:v>
      </x:c>
      <x:c r="Q83" s="14" t="n">
        <x:f>IFERROR((J83-$K83)/$K83,"")</x:f>
        <x:v>0.25</x:v>
      </x:c>
      <x:c r="R83" t="n">
        <x:f>--(F83=$K83)</x:f>
        <x:v>1</x:v>
      </x:c>
      <x:c r="S83" t="n">
        <x:f>--(G83=$K83)</x:f>
        <x:v>0</x:v>
      </x:c>
      <x:c r="T83" t="n">
        <x:f>--(H83=$K83)</x:f>
        <x:v>0</x:v>
      </x:c>
      <x:c r="U83" t="n">
        <x:f>--(I83=$K83)</x:f>
        <x:v>0</x:v>
      </x:c>
      <x:c r="V83" t="n">
        <x:f>--(J83=$K83)</x:f>
        <x:v>0</x:v>
      </x:c>
    </x:row>
    <x:row r="84" ht="18" customHeight="1">
      <x:c r="A84" t="str">
        <x:v>bpps_d200n25m5w10_30s20_40f1_seed0</x:v>
      </x:c>
      <x:c r="B84" s="16" t="n">
        <x:v>25</x:v>
      </x:c>
      <x:c r="C84" s="16" t="n">
        <x:v>5</x:v>
      </x:c>
      <x:c r="D84" s="16" t="n">
        <x:v>200</x:v>
      </x:c>
      <x:c r="E84" s="16" t="n">
        <x:v>23</x:v>
      </x:c>
      <x:c r="F84" s="12" t="n">
        <x:v>80</x:v>
      </x:c>
      <x:c r="G84" s="12" t="n">
        <x:v>97</x:v>
      </x:c>
      <x:c r="H84" s="12" t="n">
        <x:v>97</x:v>
      </x:c>
      <x:c r="I84" s="12" t="n">
        <x:v>100</x:v>
      </x:c>
      <x:c r="J84" s="12" t="n">
        <x:v>90</x:v>
      </x:c>
      <x:c r="K84" s="12" t="n">
        <x:f>MIN(F84:J84)</x:f>
        <x:v>80</x:v>
      </x:c>
      <x:c r="L84" t="str">
        <x:f>TEXTJOIN(", ",TRUE,IF(F84=K84,"IG",""),IF(G84=K84,"FFD",""),IF(H84=K84,"BFD",""),IF(I84=K84,"WFD",""),IF(J84=K84,"CTP",""))</x:f>
        <x:v>IG</x:v>
      </x:c>
      <x:c r="M84" s="14" t="n">
        <x:f>IFERROR((F84-$K84)/$K84,"")</x:f>
        <x:v>0</x:v>
      </x:c>
      <x:c r="N84" s="14" t="n">
        <x:f>IFERROR((G84-$K84)/$K84,"")</x:f>
        <x:v>0.2125</x:v>
      </x:c>
      <x:c r="O84" s="14" t="n">
        <x:f>IFERROR((H84-$K84)/$K84,"")</x:f>
        <x:v>0.2125</x:v>
      </x:c>
      <x:c r="P84" s="14" t="n">
        <x:f>IFERROR((I84-$K84)/$K84,"")</x:f>
        <x:v>0.25</x:v>
      </x:c>
      <x:c r="Q84" s="14" t="n">
        <x:f>IFERROR((J84-$K84)/$K84,"")</x:f>
        <x:v>0.125</x:v>
      </x:c>
      <x:c r="R84" t="n">
        <x:f>--(F84=$K84)</x:f>
        <x:v>1</x:v>
      </x:c>
      <x:c r="S84" t="n">
        <x:f>--(G84=$K84)</x:f>
        <x:v>0</x:v>
      </x:c>
      <x:c r="T84" t="n">
        <x:f>--(H84=$K84)</x:f>
        <x:v>0</x:v>
      </x:c>
      <x:c r="U84" t="n">
        <x:f>--(I84=$K84)</x:f>
        <x:v>0</x:v>
      </x:c>
      <x:c r="V84" t="n">
        <x:f>--(J84=$K84)</x:f>
        <x:v>0</x:v>
      </x:c>
    </x:row>
    <x:row r="85" ht="18" customHeight="1">
      <x:c r="A85" t="str">
        <x:v>bpps_d200n25m5w10_30s20_40f1_seed1</x:v>
      </x:c>
      <x:c r="B85" s="16" t="n">
        <x:v>25</x:v>
      </x:c>
      <x:c r="C85" s="16" t="n">
        <x:v>5</x:v>
      </x:c>
      <x:c r="D85" s="16" t="n">
        <x:v>200</x:v>
      </x:c>
      <x:c r="E85" s="16" t="n">
        <x:v>34</x:v>
      </x:c>
      <x:c r="F85" s="12" t="n">
        <x:v>66</x:v>
      </x:c>
      <x:c r="G85" s="12" t="n">
        <x:v>92</x:v>
      </x:c>
      <x:c r="H85" s="12" t="n">
        <x:v>90</x:v>
      </x:c>
      <x:c r="I85" s="12" t="n">
        <x:v>66</x:v>
      </x:c>
      <x:c r="J85" s="12" t="n">
        <x:v>76</x:v>
      </x:c>
      <x:c r="K85" s="12" t="n">
        <x:f>MIN(F85:J85)</x:f>
        <x:v>66</x:v>
      </x:c>
      <x:c r="L85" t="str">
        <x:f>TEXTJOIN(", ",TRUE,IF(F85=K85,"IG",""),IF(G85=K85,"FFD",""),IF(H85=K85,"BFD",""),IF(I85=K85,"WFD",""),IF(J85=K85,"CTP",""))</x:f>
        <x:v>IG, WFD</x:v>
      </x:c>
      <x:c r="M85" s="14" t="n">
        <x:f>IFERROR((F85-$K85)/$K85,"")</x:f>
        <x:v>0</x:v>
      </x:c>
      <x:c r="N85" s="14" t="n">
        <x:f>IFERROR((G85-$K85)/$K85,"")</x:f>
        <x:v>0.3939393939393939</x:v>
      </x:c>
      <x:c r="O85" s="14" t="n">
        <x:f>IFERROR((H85-$K85)/$K85,"")</x:f>
        <x:v>0.36363636363636365</x:v>
      </x:c>
      <x:c r="P85" s="14" t="n">
        <x:f>IFERROR((I85-$K85)/$K85,"")</x:f>
        <x:v>0</x:v>
      </x:c>
      <x:c r="Q85" s="14" t="n">
        <x:f>IFERROR((J85-$K85)/$K85,"")</x:f>
        <x:v>0.15151515151515152</x:v>
      </x:c>
      <x:c r="R85" t="n">
        <x:f>--(F85=$K85)</x:f>
        <x:v>1</x:v>
      </x:c>
      <x:c r="S85" t="n">
        <x:f>--(G85=$K85)</x:f>
        <x:v>0</x:v>
      </x:c>
      <x:c r="T85" t="n">
        <x:f>--(H85=$K85)</x:f>
        <x:v>0</x:v>
      </x:c>
      <x:c r="U85" t="n">
        <x:f>--(I85=$K85)</x:f>
        <x:v>1</x:v>
      </x:c>
      <x:c r="V85" t="n">
        <x:f>--(J85=$K85)</x:f>
        <x:v>0</x:v>
      </x:c>
    </x:row>
    <x:row r="86" ht="18" customHeight="1">
      <x:c r="A86" t="str">
        <x:v>bpps_d200n25m5w10_30s2_20f0_seed0</x:v>
      </x:c>
      <x:c r="B86" s="16" t="n">
        <x:v>25</x:v>
      </x:c>
      <x:c r="C86" s="16" t="n">
        <x:v>5</x:v>
      </x:c>
      <x:c r="D86" s="16" t="n">
        <x:v>200</x:v>
      </x:c>
      <x:c r="E86" s="16" t="n">
        <x:v>41</x:v>
      </x:c>
      <x:c r="F86" s="12" t="n">
        <x:v>4</x:v>
      </x:c>
      <x:c r="G86" s="12" t="n">
        <x:v>4</x:v>
      </x:c>
      <x:c r="H86" s="12" t="n">
        <x:v>4</x:v>
      </x:c>
      <x:c r="I86" s="12" t="n">
        <x:v>4</x:v>
      </x:c>
      <x:c r="J86" s="12" t="n">
        <x:v>4</x:v>
      </x:c>
      <x:c r="K86" s="12" t="n">
        <x:f>MIN(F86:J86)</x:f>
        <x:v>4</x:v>
      </x:c>
      <x:c r="L86" t="str">
        <x:f>TEXTJOIN(", ",TRUE,IF(F86=K86,"IG",""),IF(G86=K86,"FFD",""),IF(H86=K86,"BFD",""),IF(I86=K86,"WFD",""),IF(J86=K86,"CTP",""))</x:f>
        <x:v>IG, FFD, BFD, WFD, CTP</x:v>
      </x:c>
      <x:c r="M86" s="14" t="n">
        <x:f>IFERROR((F86-$K86)/$K86,"")</x:f>
        <x:v>0</x:v>
      </x:c>
      <x:c r="N86" s="14" t="n">
        <x:f>IFERROR((G86-$K86)/$K86,"")</x:f>
        <x:v>0</x:v>
      </x:c>
      <x:c r="O86" s="14" t="n">
        <x:f>IFERROR((H86-$K86)/$K86,"")</x:f>
        <x:v>0</x:v>
      </x:c>
      <x:c r="P86" s="14" t="n">
        <x:f>IFERROR((I86-$K86)/$K86,"")</x:f>
        <x:v>0</x:v>
      </x:c>
      <x:c r="Q86" s="14" t="n">
        <x:f>IFERROR((J86-$K86)/$K86,"")</x:f>
        <x:v>0</x:v>
      </x:c>
      <x:c r="R86" t="n">
        <x:f>--(F86=$K86)</x:f>
        <x:v>1</x:v>
      </x:c>
      <x:c r="S86" t="n">
        <x:f>--(G86=$K86)</x:f>
        <x:v>1</x:v>
      </x:c>
      <x:c r="T86" t="n">
        <x:f>--(H86=$K86)</x:f>
        <x:v>1</x:v>
      </x:c>
      <x:c r="U86" t="n">
        <x:f>--(I86=$K86)</x:f>
        <x:v>1</x:v>
      </x:c>
      <x:c r="V86" t="n">
        <x:f>--(J86=$K86)</x:f>
        <x:v>1</x:v>
      </x:c>
    </x:row>
    <x:row r="87" ht="18" customHeight="1">
      <x:c r="A87" t="str">
        <x:v>bpps_d200n25m5w10_30s2_20f0_seed1</x:v>
      </x:c>
      <x:c r="B87" s="16" t="n">
        <x:v>25</x:v>
      </x:c>
      <x:c r="C87" s="16" t="n">
        <x:v>5</x:v>
      </x:c>
      <x:c r="D87" s="16" t="n">
        <x:v>200</x:v>
      </x:c>
      <x:c r="E87" s="16" t="n">
        <x:v>31</x:v>
      </x:c>
      <x:c r="F87" s="12" t="n">
        <x:v>4</x:v>
      </x:c>
      <x:c r="G87" s="12" t="n">
        <x:v>4</x:v>
      </x:c>
      <x:c r="H87" s="12" t="n">
        <x:v>4</x:v>
      </x:c>
      <x:c r="I87" s="12" t="n">
        <x:v>4</x:v>
      </x:c>
      <x:c r="J87" s="12" t="n">
        <x:v>5</x:v>
      </x:c>
      <x:c r="K87" s="12" t="n">
        <x:f>MIN(F87:J87)</x:f>
        <x:v>4</x:v>
      </x:c>
      <x:c r="L87" t="str">
        <x:f>TEXTJOIN(", ",TRUE,IF(F87=K87,"IG",""),IF(G87=K87,"FFD",""),IF(H87=K87,"BFD",""),IF(I87=K87,"WFD",""),IF(J87=K87,"CTP",""))</x:f>
        <x:v>IG, FFD, BFD, WFD</x:v>
      </x:c>
      <x:c r="M87" s="14" t="n">
        <x:f>IFERROR((F87-$K87)/$K87,"")</x:f>
        <x:v>0</x:v>
      </x:c>
      <x:c r="N87" s="14" t="n">
        <x:f>IFERROR((G87-$K87)/$K87,"")</x:f>
        <x:v>0</x:v>
      </x:c>
      <x:c r="O87" s="14" t="n">
        <x:f>IFERROR((H87-$K87)/$K87,"")</x:f>
        <x:v>0</x:v>
      </x:c>
      <x:c r="P87" s="14" t="n">
        <x:f>IFERROR((I87-$K87)/$K87,"")</x:f>
        <x:v>0</x:v>
      </x:c>
      <x:c r="Q87" s="14" t="n">
        <x:f>IFERROR((J87-$K87)/$K87,"")</x:f>
        <x:v>0.25</x:v>
      </x:c>
      <x:c r="R87" t="n">
        <x:f>--(F87=$K87)</x:f>
        <x:v>1</x:v>
      </x:c>
      <x:c r="S87" t="n">
        <x:f>--(G87=$K87)</x:f>
        <x:v>1</x:v>
      </x:c>
      <x:c r="T87" t="n">
        <x:f>--(H87=$K87)</x:f>
        <x:v>1</x:v>
      </x:c>
      <x:c r="U87" t="n">
        <x:f>--(I87=$K87)</x:f>
        <x:v>1</x:v>
      </x:c>
      <x:c r="V87" t="n">
        <x:f>--(J87=$K87)</x:f>
        <x:v>0</x:v>
      </x:c>
    </x:row>
    <x:row r="88" ht="18" customHeight="1">
      <x:c r="A88" t="str">
        <x:v>bpps_d200n25m5w10_30s2_20f1_seed0</x:v>
      </x:c>
      <x:c r="B88" s="16" t="n">
        <x:v>25</x:v>
      </x:c>
      <x:c r="C88" s="16" t="n">
        <x:v>5</x:v>
      </x:c>
      <x:c r="D88" s="16" t="n">
        <x:v>200</x:v>
      </x:c>
      <x:c r="E88" s="16" t="n">
        <x:v>23</x:v>
      </x:c>
      <x:c r="F88" s="12" t="n">
        <x:v>71</x:v>
      </x:c>
      <x:c r="G88" s="12" t="n">
        <x:v>95</x:v>
      </x:c>
      <x:c r="H88" s="12" t="n">
        <x:v>87</x:v>
      </x:c>
      <x:c r="I88" s="12" t="n">
        <x:v>88</x:v>
      </x:c>
      <x:c r="J88" s="12" t="n">
        <x:v>71</x:v>
      </x:c>
      <x:c r="K88" s="12" t="n">
        <x:f>MIN(F88:J88)</x:f>
        <x:v>71</x:v>
      </x:c>
      <x:c r="L88" t="str">
        <x:f>TEXTJOIN(", ",TRUE,IF(F88=K88,"IG",""),IF(G88=K88,"FFD",""),IF(H88=K88,"BFD",""),IF(I88=K88,"WFD",""),IF(J88=K88,"CTP",""))</x:f>
        <x:v>IG, CTP</x:v>
      </x:c>
      <x:c r="M88" s="14" t="n">
        <x:f>IFERROR((F88-$K88)/$K88,"")</x:f>
        <x:v>0</x:v>
      </x:c>
      <x:c r="N88" s="14" t="n">
        <x:f>IFERROR((G88-$K88)/$K88,"")</x:f>
        <x:v>0.3380281690140845</x:v>
      </x:c>
      <x:c r="O88" s="14" t="n">
        <x:f>IFERROR((H88-$K88)/$K88,"")</x:f>
        <x:v>0.22535211267605634</x:v>
      </x:c>
      <x:c r="P88" s="14" t="n">
        <x:f>IFERROR((I88-$K88)/$K88,"")</x:f>
        <x:v>0.23943661971830985</x:v>
      </x:c>
      <x:c r="Q88" s="14" t="n">
        <x:f>IFERROR((J88-$K88)/$K88,"")</x:f>
        <x:v>0</x:v>
      </x:c>
      <x:c r="R88" t="n">
        <x:f>--(F88=$K88)</x:f>
        <x:v>1</x:v>
      </x:c>
      <x:c r="S88" t="n">
        <x:f>--(G88=$K88)</x:f>
        <x:v>0</x:v>
      </x:c>
      <x:c r="T88" t="n">
        <x:f>--(H88=$K88)</x:f>
        <x:v>0</x:v>
      </x:c>
      <x:c r="U88" t="n">
        <x:f>--(I88=$K88)</x:f>
        <x:v>0</x:v>
      </x:c>
      <x:c r="V88" t="n">
        <x:f>--(J88=$K88)</x:f>
        <x:v>1</x:v>
      </x:c>
    </x:row>
    <x:row r="89" ht="18" customHeight="1">
      <x:c r="A89" t="str">
        <x:v>bpps_d200n25m5w10_30s2_20f1_seed1</x:v>
      </x:c>
      <x:c r="B89" s="16" t="n">
        <x:v>25</x:v>
      </x:c>
      <x:c r="C89" s="16" t="n">
        <x:v>5</x:v>
      </x:c>
      <x:c r="D89" s="16" t="n">
        <x:v>200</x:v>
      </x:c>
      <x:c r="E89" s="16" t="n">
        <x:v>33</x:v>
      </x:c>
      <x:c r="F89" s="12" t="n">
        <x:v>54</x:v>
      </x:c>
      <x:c r="G89" s="12" t="n">
        <x:v>61</x:v>
      </x:c>
      <x:c r="H89" s="12" t="n">
        <x:v>63</x:v>
      </x:c>
      <x:c r="I89" s="12" t="n">
        <x:v>62</x:v>
      </x:c>
      <x:c r="J89" s="12" t="n">
        <x:v>64</x:v>
      </x:c>
      <x:c r="K89" s="12" t="n">
        <x:f>MIN(F89:J89)</x:f>
        <x:v>54</x:v>
      </x:c>
      <x:c r="L89" t="str">
        <x:f>TEXTJOIN(", ",TRUE,IF(F89=K89,"IG",""),IF(G89=K89,"FFD",""),IF(H89=K89,"BFD",""),IF(I89=K89,"WFD",""),IF(J89=K89,"CTP",""))</x:f>
        <x:v>IG</x:v>
      </x:c>
      <x:c r="M89" s="14" t="n">
        <x:f>IFERROR((F89-$K89)/$K89,"")</x:f>
        <x:v>0</x:v>
      </x:c>
      <x:c r="N89" s="14" t="n">
        <x:f>IFERROR((G89-$K89)/$K89,"")</x:f>
        <x:v>0.12962962962962962</x:v>
      </x:c>
      <x:c r="O89" s="14" t="n">
        <x:f>IFERROR((H89-$K89)/$K89,"")</x:f>
        <x:v>0.16666666666666666</x:v>
      </x:c>
      <x:c r="P89" s="14" t="n">
        <x:f>IFERROR((I89-$K89)/$K89,"")</x:f>
        <x:v>0.14814814814814814</x:v>
      </x:c>
      <x:c r="Q89" s="14" t="n">
        <x:f>IFERROR((J89-$K89)/$K89,"")</x:f>
        <x:v>0.18518518518518517</x:v>
      </x:c>
      <x:c r="R89" t="n">
        <x:f>--(F89=$K89)</x:f>
        <x:v>1</x:v>
      </x:c>
      <x:c r="S89" t="n">
        <x:f>--(G89=$K89)</x:f>
        <x:v>0</x:v>
      </x:c>
      <x:c r="T89" t="n">
        <x:f>--(H89=$K89)</x:f>
        <x:v>0</x:v>
      </x:c>
      <x:c r="U89" t="n">
        <x:f>--(I89=$K89)</x:f>
        <x:v>0</x:v>
      </x:c>
      <x:c r="V89" t="n">
        <x:f>--(J89=$K89)</x:f>
        <x:v>0</x:v>
      </x:c>
    </x:row>
    <x:row r="90" ht="18" customHeight="1">
      <x:c r="A90" t="str">
        <x:v>bpps_d200n25m5w30_60s20_40f0_seed0</x:v>
      </x:c>
      <x:c r="B90" s="16" t="n">
        <x:v>25</x:v>
      </x:c>
      <x:c r="C90" s="16" t="n">
        <x:v>5</x:v>
      </x:c>
      <x:c r="D90" s="16" t="n">
        <x:v>200</x:v>
      </x:c>
      <x:c r="E90" s="16" t="n">
        <x:v>30</x:v>
      </x:c>
      <x:c r="F90" s="12" t="n">
        <x:v>9</x:v>
      </x:c>
      <x:c r="G90" s="12" t="n">
        <x:v>10</x:v>
      </x:c>
      <x:c r="H90" s="12" t="n">
        <x:v>10</x:v>
      </x:c>
      <x:c r="I90" s="12" t="n">
        <x:v>10</x:v>
      </x:c>
      <x:c r="J90" s="12" t="n">
        <x:v>9</x:v>
      </x:c>
      <x:c r="K90" s="12" t="n">
        <x:f>MIN(F90:J90)</x:f>
        <x:v>9</x:v>
      </x:c>
      <x:c r="L90" t="str">
        <x:f>TEXTJOIN(", ",TRUE,IF(F90=K90,"IG",""),IF(G90=K90,"FFD",""),IF(H90=K90,"BFD",""),IF(I90=K90,"WFD",""),IF(J90=K90,"CTP",""))</x:f>
        <x:v>IG, CTP</x:v>
      </x:c>
      <x:c r="M90" s="14" t="n">
        <x:f>IFERROR((F90-$K90)/$K90,"")</x:f>
        <x:v>0</x:v>
      </x:c>
      <x:c r="N90" s="14" t="n">
        <x:f>IFERROR((G90-$K90)/$K90,"")</x:f>
        <x:v>0.1111111111111111</x:v>
      </x:c>
      <x:c r="O90" s="14" t="n">
        <x:f>IFERROR((H90-$K90)/$K90,"")</x:f>
        <x:v>0.1111111111111111</x:v>
      </x:c>
      <x:c r="P90" s="14" t="n">
        <x:f>IFERROR((I90-$K90)/$K90,"")</x:f>
        <x:v>0.1111111111111111</x:v>
      </x:c>
      <x:c r="Q90" s="14" t="n">
        <x:f>IFERROR((J90-$K90)/$K90,"")</x:f>
        <x:v>0</x:v>
      </x:c>
      <x:c r="R90" t="n">
        <x:f>--(F90=$K90)</x:f>
        <x:v>1</x:v>
      </x:c>
      <x:c r="S90" t="n">
        <x:f>--(G90=$K90)</x:f>
        <x:v>0</x:v>
      </x:c>
      <x:c r="T90" t="n">
        <x:f>--(H90=$K90)</x:f>
        <x:v>0</x:v>
      </x:c>
      <x:c r="U90" t="n">
        <x:f>--(I90=$K90)</x:f>
        <x:v>0</x:v>
      </x:c>
      <x:c r="V90" t="n">
        <x:f>--(J90=$K90)</x:f>
        <x:v>1</x:v>
      </x:c>
    </x:row>
    <x:row r="91" ht="18" customHeight="1">
      <x:c r="A91" t="str">
        <x:v>bpps_d200n25m5w30_60s20_40f0_seed1</x:v>
      </x:c>
      <x:c r="B91" s="16" t="n">
        <x:v>25</x:v>
      </x:c>
      <x:c r="C91" s="16" t="n">
        <x:v>5</x:v>
      </x:c>
      <x:c r="D91" s="16" t="n">
        <x:v>200</x:v>
      </x:c>
      <x:c r="E91" s="16" t="n">
        <x:v>27</x:v>
      </x:c>
      <x:c r="F91" s="12" t="n">
        <x:v>8</x:v>
      </x:c>
      <x:c r="G91" s="12" t="n">
        <x:v>9</x:v>
      </x:c>
      <x:c r="H91" s="12" t="n">
        <x:v>8</x:v>
      </x:c>
      <x:c r="I91" s="12" t="n">
        <x:v>8</x:v>
      </x:c>
      <x:c r="J91" s="12" t="n">
        <x:v>8</x:v>
      </x:c>
      <x:c r="K91" s="12" t="n">
        <x:f>MIN(F91:J91)</x:f>
        <x:v>8</x:v>
      </x:c>
      <x:c r="L91" t="str">
        <x:f>TEXTJOIN(", ",TRUE,IF(F91=K91,"IG",""),IF(G91=K91,"FFD",""),IF(H91=K91,"BFD",""),IF(I91=K91,"WFD",""),IF(J91=K91,"CTP",""))</x:f>
        <x:v>IG, BFD, WFD, CTP</x:v>
      </x:c>
      <x:c r="M91" s="14" t="n">
        <x:f>IFERROR((F91-$K91)/$K91,"")</x:f>
        <x:v>0</x:v>
      </x:c>
      <x:c r="N91" s="14" t="n">
        <x:f>IFERROR((G91-$K91)/$K91,"")</x:f>
        <x:v>0.125</x:v>
      </x:c>
      <x:c r="O91" s="14" t="n">
        <x:f>IFERROR((H91-$K91)/$K91,"")</x:f>
        <x:v>0</x:v>
      </x:c>
      <x:c r="P91" s="14" t="n">
        <x:f>IFERROR((I91-$K91)/$K91,"")</x:f>
        <x:v>0</x:v>
      </x:c>
      <x:c r="Q91" s="14" t="n">
        <x:f>IFERROR((J91-$K91)/$K91,"")</x:f>
        <x:v>0</x:v>
      </x:c>
      <x:c r="R91" t="n">
        <x:f>--(F91=$K91)</x:f>
        <x:v>1</x:v>
      </x:c>
      <x:c r="S91" t="n">
        <x:f>--(G91=$K91)</x:f>
        <x:v>0</x:v>
      </x:c>
      <x:c r="T91" t="n">
        <x:f>--(H91=$K91)</x:f>
        <x:v>1</x:v>
      </x:c>
      <x:c r="U91" t="n">
        <x:f>--(I91=$K91)</x:f>
        <x:v>1</x:v>
      </x:c>
      <x:c r="V91" t="n">
        <x:f>--(J91=$K91)</x:f>
        <x:v>1</x:v>
      </x:c>
    </x:row>
    <x:row r="92" ht="18" customHeight="1">
      <x:c r="A92" t="str">
        <x:v>bpps_d200n25m5w30_60s20_40f1_seed0</x:v>
      </x:c>
      <x:c r="B92" s="16" t="n">
        <x:v>25</x:v>
      </x:c>
      <x:c r="C92" s="16" t="n">
        <x:v>5</x:v>
      </x:c>
      <x:c r="D92" s="16" t="n">
        <x:v>200</x:v>
      </x:c>
      <x:c r="E92" s="16" t="n">
        <x:v>37</x:v>
      </x:c>
      <x:c r="F92" s="12" t="n">
        <x:v>129</x:v>
      </x:c>
      <x:c r="G92" s="12" t="n">
        <x:v>164</x:v>
      </x:c>
      <x:c r="H92" s="12" t="n">
        <x:v>181</x:v>
      </x:c>
      <x:c r="I92" s="12" t="n">
        <x:v>154</x:v>
      </x:c>
      <x:c r="J92" s="12" t="n">
        <x:v>139</x:v>
      </x:c>
      <x:c r="K92" s="12" t="n">
        <x:f>MIN(F92:J92)</x:f>
        <x:v>129</x:v>
      </x:c>
      <x:c r="L92" t="str">
        <x:f>TEXTJOIN(", ",TRUE,IF(F92=K92,"IG",""),IF(G92=K92,"FFD",""),IF(H92=K92,"BFD",""),IF(I92=K92,"WFD",""),IF(J92=K92,"CTP",""))</x:f>
        <x:v>IG</x:v>
      </x:c>
      <x:c r="M92" s="14" t="n">
        <x:f>IFERROR((F92-$K92)/$K92,"")</x:f>
        <x:v>0</x:v>
      </x:c>
      <x:c r="N92" s="14" t="n">
        <x:f>IFERROR((G92-$K92)/$K92,"")</x:f>
        <x:v>0.2713178294573643</x:v>
      </x:c>
      <x:c r="O92" s="14" t="n">
        <x:f>IFERROR((H92-$K92)/$K92,"")</x:f>
        <x:v>0.40310077519379844</x:v>
      </x:c>
      <x:c r="P92" s="14" t="n">
        <x:f>IFERROR((I92-$K92)/$K92,"")</x:f>
        <x:v>0.1937984496124031</x:v>
      </x:c>
      <x:c r="Q92" s="14" t="n">
        <x:f>IFERROR((J92-$K92)/$K92,"")</x:f>
        <x:v>0.07751937984496124</x:v>
      </x:c>
      <x:c r="R92" t="n">
        <x:f>--(F92=$K92)</x:f>
        <x:v>1</x:v>
      </x:c>
      <x:c r="S92" t="n">
        <x:f>--(G92=$K92)</x:f>
        <x:v>0</x:v>
      </x:c>
      <x:c r="T92" t="n">
        <x:f>--(H92=$K92)</x:f>
        <x:v>0</x:v>
      </x:c>
      <x:c r="U92" t="n">
        <x:f>--(I92=$K92)</x:f>
        <x:v>0</x:v>
      </x:c>
      <x:c r="V92" t="n">
        <x:f>--(J92=$K92)</x:f>
        <x:v>0</x:v>
      </x:c>
    </x:row>
    <x:row r="93" ht="18" customHeight="1">
      <x:c r="A93" t="str">
        <x:v>bpps_d200n25m5w30_60s20_40f1_seed1</x:v>
      </x:c>
      <x:c r="B93" s="16" t="n">
        <x:v>25</x:v>
      </x:c>
      <x:c r="C93" s="16" t="n">
        <x:v>5</x:v>
      </x:c>
      <x:c r="D93" s="16" t="n">
        <x:v>200</x:v>
      </x:c>
      <x:c r="E93" s="16" t="n">
        <x:v>34</x:v>
      </x:c>
      <x:c r="F93" s="12" t="n">
        <x:v>113</x:v>
      </x:c>
      <x:c r="G93" s="12" t="n">
        <x:v>129</x:v>
      </x:c>
      <x:c r="H93" s="12" t="n">
        <x:v>129</x:v>
      </x:c>
      <x:c r="I93" s="12" t="n">
        <x:v>134</x:v>
      </x:c>
      <x:c r="J93" s="12" t="n">
        <x:v>123</x:v>
      </x:c>
      <x:c r="K93" s="12" t="n">
        <x:f>MIN(F93:J93)</x:f>
        <x:v>113</x:v>
      </x:c>
      <x:c r="L93" t="str">
        <x:f>TEXTJOIN(", ",TRUE,IF(F93=K93,"IG",""),IF(G93=K93,"FFD",""),IF(H93=K93,"BFD",""),IF(I93=K93,"WFD",""),IF(J93=K93,"CTP",""))</x:f>
        <x:v>IG</x:v>
      </x:c>
      <x:c r="M93" s="14" t="n">
        <x:f>IFERROR((F93-$K93)/$K93,"")</x:f>
        <x:v>0</x:v>
      </x:c>
      <x:c r="N93" s="14" t="n">
        <x:f>IFERROR((G93-$K93)/$K93,"")</x:f>
        <x:v>0.1415929203539823</x:v>
      </x:c>
      <x:c r="O93" s="14" t="n">
        <x:f>IFERROR((H93-$K93)/$K93,"")</x:f>
        <x:v>0.1415929203539823</x:v>
      </x:c>
      <x:c r="P93" s="14" t="n">
        <x:f>IFERROR((I93-$K93)/$K93,"")</x:f>
        <x:v>0.18584070796460178</x:v>
      </x:c>
      <x:c r="Q93" s="14" t="n">
        <x:f>IFERROR((J93-$K93)/$K93,"")</x:f>
        <x:v>0.08849557522123894</x:v>
      </x:c>
      <x:c r="R93" t="n">
        <x:f>--(F93=$K93)</x:f>
        <x:v>1</x:v>
      </x:c>
      <x:c r="S93" t="n">
        <x:f>--(G93=$K93)</x:f>
        <x:v>0</x:v>
      </x:c>
      <x:c r="T93" t="n">
        <x:f>--(H93=$K93)</x:f>
        <x:v>0</x:v>
      </x:c>
      <x:c r="U93" t="n">
        <x:f>--(I93=$K93)</x:f>
        <x:v>0</x:v>
      </x:c>
      <x:c r="V93" t="n">
        <x:f>--(J93=$K93)</x:f>
        <x:v>0</x:v>
      </x:c>
    </x:row>
    <x:row r="94" ht="18" customHeight="1">
      <x:c r="A94" t="str">
        <x:v>bpps_d200n25m5w30_60s2_20f0_seed0</x:v>
      </x:c>
      <x:c r="B94" s="16" t="n">
        <x:v>25</x:v>
      </x:c>
      <x:c r="C94" s="16" t="n">
        <x:v>5</x:v>
      </x:c>
      <x:c r="D94" s="16" t="n">
        <x:v>200</x:v>
      </x:c>
      <x:c r="E94" s="16" t="n">
        <x:v>25</x:v>
      </x:c>
      <x:c r="F94" s="12" t="n">
        <x:v>8</x:v>
      </x:c>
      <x:c r="G94" s="12" t="n">
        <x:v>8</x:v>
      </x:c>
      <x:c r="H94" s="12" t="n">
        <x:v>8</x:v>
      </x:c>
      <x:c r="I94" s="12" t="n">
        <x:v>8</x:v>
      </x:c>
      <x:c r="J94" s="12" t="n">
        <x:v>9</x:v>
      </x:c>
      <x:c r="K94" s="12" t="n">
        <x:f>MIN(F94:J94)</x:f>
        <x:v>8</x:v>
      </x:c>
      <x:c r="L94" t="str">
        <x:f>TEXTJOIN(", ",TRUE,IF(F94=K94,"IG",""),IF(G94=K94,"FFD",""),IF(H94=K94,"BFD",""),IF(I94=K94,"WFD",""),IF(J94=K94,"CTP",""))</x:f>
        <x:v>IG, FFD, BFD, WFD</x:v>
      </x:c>
      <x:c r="M94" s="14" t="n">
        <x:f>IFERROR((F94-$K94)/$K94,"")</x:f>
        <x:v>0</x:v>
      </x:c>
      <x:c r="N94" s="14" t="n">
        <x:f>IFERROR((G94-$K94)/$K94,"")</x:f>
        <x:v>0</x:v>
      </x:c>
      <x:c r="O94" s="14" t="n">
        <x:f>IFERROR((H94-$K94)/$K94,"")</x:f>
        <x:v>0</x:v>
      </x:c>
      <x:c r="P94" s="14" t="n">
        <x:f>IFERROR((I94-$K94)/$K94,"")</x:f>
        <x:v>0</x:v>
      </x:c>
      <x:c r="Q94" s="14" t="n">
        <x:f>IFERROR((J94-$K94)/$K94,"")</x:f>
        <x:v>0.125</x:v>
      </x:c>
      <x:c r="R94" t="n">
        <x:f>--(F94=$K94)</x:f>
        <x:v>1</x:v>
      </x:c>
      <x:c r="S94" t="n">
        <x:f>--(G94=$K94)</x:f>
        <x:v>1</x:v>
      </x:c>
      <x:c r="T94" t="n">
        <x:f>--(H94=$K94)</x:f>
        <x:v>1</x:v>
      </x:c>
      <x:c r="U94" t="n">
        <x:f>--(I94=$K94)</x:f>
        <x:v>1</x:v>
      </x:c>
      <x:c r="V94" t="n">
        <x:f>--(J94=$K94)</x:f>
        <x:v>0</x:v>
      </x:c>
    </x:row>
    <x:row r="95" ht="18" customHeight="1">
      <x:c r="A95" t="str">
        <x:v>bpps_d200n25m5w30_60s2_20f0_seed1</x:v>
      </x:c>
      <x:c r="B95" s="16" t="n">
        <x:v>25</x:v>
      </x:c>
      <x:c r="C95" s="16" t="n">
        <x:v>5</x:v>
      </x:c>
      <x:c r="D95" s="16" t="n">
        <x:v>200</x:v>
      </x:c>
      <x:c r="E95" s="16" t="n">
        <x:v>27</x:v>
      </x:c>
      <x:c r="F95" s="12" t="n">
        <x:v>7</x:v>
      </x:c>
      <x:c r="G95" s="12" t="n">
        <x:v>7</x:v>
      </x:c>
      <x:c r="H95" s="12" t="n">
        <x:v>7</x:v>
      </x:c>
      <x:c r="I95" s="12" t="n">
        <x:v>7</x:v>
      </x:c>
      <x:c r="J95" s="12" t="n">
        <x:v>7</x:v>
      </x:c>
      <x:c r="K95" s="12" t="n">
        <x:f>MIN(F95:J95)</x:f>
        <x:v>7</x:v>
      </x:c>
      <x:c r="L95" t="str">
        <x:f>TEXTJOIN(", ",TRUE,IF(F95=K95,"IG",""),IF(G95=K95,"FFD",""),IF(H95=K95,"BFD",""),IF(I95=K95,"WFD",""),IF(J95=K95,"CTP",""))</x:f>
        <x:v>IG, FFD, BFD, WFD, CTP</x:v>
      </x:c>
      <x:c r="M95" s="14" t="n">
        <x:f>IFERROR((F95-$K95)/$K95,"")</x:f>
        <x:v>0</x:v>
      </x:c>
      <x:c r="N95" s="14" t="n">
        <x:f>IFERROR((G95-$K95)/$K95,"")</x:f>
        <x:v>0</x:v>
      </x:c>
      <x:c r="O95" s="14" t="n">
        <x:f>IFERROR((H95-$K95)/$K95,"")</x:f>
        <x:v>0</x:v>
      </x:c>
      <x:c r="P95" s="14" t="n">
        <x:f>IFERROR((I95-$K95)/$K95,"")</x:f>
        <x:v>0</x:v>
      </x:c>
      <x:c r="Q95" s="14" t="n">
        <x:f>IFERROR((J95-$K95)/$K95,"")</x:f>
        <x:v>0</x:v>
      </x:c>
      <x:c r="R95" t="n">
        <x:f>--(F95=$K95)</x:f>
        <x:v>1</x:v>
      </x:c>
      <x:c r="S95" t="n">
        <x:f>--(G95=$K95)</x:f>
        <x:v>1</x:v>
      </x:c>
      <x:c r="T95" t="n">
        <x:f>--(H95=$K95)</x:f>
        <x:v>1</x:v>
      </x:c>
      <x:c r="U95" t="n">
        <x:f>--(I95=$K95)</x:f>
        <x:v>1</x:v>
      </x:c>
      <x:c r="V95" t="n">
        <x:f>--(J95=$K95)</x:f>
        <x:v>1</x:v>
      </x:c>
    </x:row>
    <x:row r="96" ht="18" customHeight="1">
      <x:c r="A96" t="str">
        <x:v>bpps_d200n25m5w30_60s2_20f1_seed0</x:v>
      </x:c>
      <x:c r="B96" s="16" t="n">
        <x:v>25</x:v>
      </x:c>
      <x:c r="C96" s="16" t="n">
        <x:v>5</x:v>
      </x:c>
      <x:c r="D96" s="16" t="n">
        <x:v>200</x:v>
      </x:c>
      <x:c r="E96" s="16" t="n">
        <x:v>25</x:v>
      </x:c>
      <x:c r="F96" s="12" t="n">
        <x:v>110</x:v>
      </x:c>
      <x:c r="G96" s="12" t="n">
        <x:v>146</x:v>
      </x:c>
      <x:c r="H96" s="12" t="n">
        <x:v>149</x:v>
      </x:c>
      <x:c r="I96" s="12" t="n">
        <x:v>147</x:v>
      </x:c>
      <x:c r="J96" s="12" t="n">
        <x:v>116</x:v>
      </x:c>
      <x:c r="K96" s="12" t="n">
        <x:f>MIN(F96:J96)</x:f>
        <x:v>110</x:v>
      </x:c>
      <x:c r="L96" t="str">
        <x:f>TEXTJOIN(", ",TRUE,IF(F96=K96,"IG",""),IF(G96=K96,"FFD",""),IF(H96=K96,"BFD",""),IF(I96=K96,"WFD",""),IF(J96=K96,"CTP",""))</x:f>
        <x:v>IG</x:v>
      </x:c>
      <x:c r="M96" s="14" t="n">
        <x:f>IFERROR((F96-$K96)/$K96,"")</x:f>
        <x:v>0</x:v>
      </x:c>
      <x:c r="N96" s="14" t="n">
        <x:f>IFERROR((G96-$K96)/$K96,"")</x:f>
        <x:v>0.32727272727272727</x:v>
      </x:c>
      <x:c r="O96" s="14" t="n">
        <x:f>IFERROR((H96-$K96)/$K96,"")</x:f>
        <x:v>0.35454545454545455</x:v>
      </x:c>
      <x:c r="P96" s="14" t="n">
        <x:f>IFERROR((I96-$K96)/$K96,"")</x:f>
        <x:v>0.33636363636363636</x:v>
      </x:c>
      <x:c r="Q96" s="14" t="n">
        <x:f>IFERROR((J96-$K96)/$K96,"")</x:f>
        <x:v>0.05454545454545454</x:v>
      </x:c>
      <x:c r="R96" t="n">
        <x:f>--(F96=$K96)</x:f>
        <x:v>1</x:v>
      </x:c>
      <x:c r="S96" t="n">
        <x:f>--(G96=$K96)</x:f>
        <x:v>0</x:v>
      </x:c>
      <x:c r="T96" t="n">
        <x:f>--(H96=$K96)</x:f>
        <x:v>0</x:v>
      </x:c>
      <x:c r="U96" t="n">
        <x:f>--(I96=$K96)</x:f>
        <x:v>0</x:v>
      </x:c>
      <x:c r="V96" t="n">
        <x:f>--(J96=$K96)</x:f>
        <x:v>0</x:v>
      </x:c>
    </x:row>
    <x:row r="97" ht="18" customHeight="1">
      <x:c r="A97" t="str">
        <x:v>bpps_d200n25m5w30_60s2_20f1_seed1</x:v>
      </x:c>
      <x:c r="B97" s="16" t="n">
        <x:v>25</x:v>
      </x:c>
      <x:c r="C97" s="16" t="n">
        <x:v>5</x:v>
      </x:c>
      <x:c r="D97" s="16" t="n">
        <x:v>200</x:v>
      </x:c>
      <x:c r="E97" s="16" t="n">
        <x:v>33</x:v>
      </x:c>
      <x:c r="F97" s="12" t="n">
        <x:v>93</x:v>
      </x:c>
      <x:c r="G97" s="12" t="n">
        <x:v>119</x:v>
      </x:c>
      <x:c r="H97" s="12" t="n">
        <x:v>119</x:v>
      </x:c>
      <x:c r="I97" s="12" t="n">
        <x:v>134</x:v>
      </x:c>
      <x:c r="J97" s="12" t="n">
        <x:v>106</x:v>
      </x:c>
      <x:c r="K97" s="12" t="n">
        <x:f>MIN(F97:J97)</x:f>
        <x:v>93</x:v>
      </x:c>
      <x:c r="L97" t="str">
        <x:f>TEXTJOIN(", ",TRUE,IF(F97=K97,"IG",""),IF(G97=K97,"FFD",""),IF(H97=K97,"BFD",""),IF(I97=K97,"WFD",""),IF(J97=K97,"CTP",""))</x:f>
        <x:v>IG</x:v>
      </x:c>
      <x:c r="M97" s="14" t="n">
        <x:f>IFERROR((F97-$K97)/$K97,"")</x:f>
        <x:v>0</x:v>
      </x:c>
      <x:c r="N97" s="14" t="n">
        <x:f>IFERROR((G97-$K97)/$K97,"")</x:f>
        <x:v>0.27956989247311825</x:v>
      </x:c>
      <x:c r="O97" s="14" t="n">
        <x:f>IFERROR((H97-$K97)/$K97,"")</x:f>
        <x:v>0.27956989247311825</x:v>
      </x:c>
      <x:c r="P97" s="14" t="n">
        <x:f>IFERROR((I97-$K97)/$K97,"")</x:f>
        <x:v>0.44086021505376344</x:v>
      </x:c>
      <x:c r="Q97" s="14" t="n">
        <x:f>IFERROR((J97-$K97)/$K97,"")</x:f>
        <x:v>0.13978494623655913</x:v>
      </x:c>
      <x:c r="R97" t="n">
        <x:f>--(F97=$K97)</x:f>
        <x:v>1</x:v>
      </x:c>
      <x:c r="S97" t="n">
        <x:f>--(G97=$K97)</x:f>
        <x:v>0</x:v>
      </x:c>
      <x:c r="T97" t="n">
        <x:f>--(H97=$K97)</x:f>
        <x:v>0</x:v>
      </x:c>
      <x:c r="U97" t="n">
        <x:f>--(I97=$K97)</x:f>
        <x:v>0</x:v>
      </x:c>
      <x:c r="V97" t="n">
        <x:f>--(J97=$K97)</x:f>
        <x:v>0</x:v>
      </x:c>
    </x:row>
    <x:row r="98" ht="18" customHeight="1">
      <x:c r="A98" t="str">
        <x:v>bpps_d10000n50m10w1500_3000s1000_2000f0_seed0</x:v>
      </x:c>
      <x:c r="B98" s="16" t="n">
        <x:v>50</x:v>
      </x:c>
      <x:c r="C98" s="16" t="n">
        <x:v>10</x:v>
      </x:c>
      <x:c r="D98" s="16" t="n">
        <x:v>10000</x:v>
      </x:c>
      <x:c r="E98" s="16" t="n">
        <x:v>117</x:v>
      </x:c>
      <x:c r="F98" s="12" t="n">
        <x:v>17</x:v>
      </x:c>
      <x:c r="G98" s="12" t="n">
        <x:v>20</x:v>
      </x:c>
      <x:c r="H98" s="12" t="n">
        <x:v>20</x:v>
      </x:c>
      <x:c r="I98" s="12" t="n">
        <x:v>20</x:v>
      </x:c>
      <x:c r="J98" s="12" t="n">
        <x:v>17</x:v>
      </x:c>
      <x:c r="K98" s="12" t="n">
        <x:f>MIN(F98:J98)</x:f>
        <x:v>17</x:v>
      </x:c>
      <x:c r="L98" t="str">
        <x:f>TEXTJOIN(", ",TRUE,IF(F98=K98,"IG",""),IF(G98=K98,"FFD",""),IF(H98=K98,"BFD",""),IF(I98=K98,"WFD",""),IF(J98=K98,"CTP",""))</x:f>
        <x:v>IG, CTP</x:v>
      </x:c>
      <x:c r="M98" s="14" t="n">
        <x:f>IFERROR((F98-$K98)/$K98,"")</x:f>
        <x:v>0</x:v>
      </x:c>
      <x:c r="N98" s="14" t="n">
        <x:f>IFERROR((G98-$K98)/$K98,"")</x:f>
        <x:v>0.17647058823529413</x:v>
      </x:c>
      <x:c r="O98" s="14" t="n">
        <x:f>IFERROR((H98-$K98)/$K98,"")</x:f>
        <x:v>0.17647058823529413</x:v>
      </x:c>
      <x:c r="P98" s="14" t="n">
        <x:f>IFERROR((I98-$K98)/$K98,"")</x:f>
        <x:v>0.17647058823529413</x:v>
      </x:c>
      <x:c r="Q98" s="14" t="n">
        <x:f>IFERROR((J98-$K98)/$K98,"")</x:f>
        <x:v>0</x:v>
      </x:c>
      <x:c r="R98" t="n">
        <x:f>--(F98=$K98)</x:f>
        <x:v>1</x:v>
      </x:c>
      <x:c r="S98" t="n">
        <x:f>--(G98=$K98)</x:f>
        <x:v>0</x:v>
      </x:c>
      <x:c r="T98" t="n">
        <x:f>--(H98=$K98)</x:f>
        <x:v>0</x:v>
      </x:c>
      <x:c r="U98" t="n">
        <x:f>--(I98=$K98)</x:f>
        <x:v>0</x:v>
      </x:c>
      <x:c r="V98" t="n">
        <x:f>--(J98=$K98)</x:f>
        <x:v>1</x:v>
      </x:c>
    </x:row>
    <x:row r="99" ht="18" customHeight="1">
      <x:c r="A99" t="str">
        <x:v>bpps_d10000n50m10w1500_3000s1000_2000f0_seed1</x:v>
      </x:c>
      <x:c r="B99" s="16" t="n">
        <x:v>50</x:v>
      </x:c>
      <x:c r="C99" s="16" t="n">
        <x:v>10</x:v>
      </x:c>
      <x:c r="D99" s="16" t="n">
        <x:v>10000</x:v>
      </x:c>
      <x:c r="E99" s="16" t="n">
        <x:v>135</x:v>
      </x:c>
      <x:c r="F99" s="12" t="n">
        <x:v>17</x:v>
      </x:c>
      <x:c r="G99" s="12" t="n">
        <x:v>19</x:v>
      </x:c>
      <x:c r="H99" s="12" t="n">
        <x:v>19</x:v>
      </x:c>
      <x:c r="I99" s="12" t="n">
        <x:v>19</x:v>
      </x:c>
      <x:c r="J99" s="12" t="n">
        <x:v>17</x:v>
      </x:c>
      <x:c r="K99" s="12" t="n">
        <x:f>MIN(F99:J99)</x:f>
        <x:v>17</x:v>
      </x:c>
      <x:c r="L99" t="str">
        <x:f>TEXTJOIN(", ",TRUE,IF(F99=K99,"IG",""),IF(G99=K99,"FFD",""),IF(H99=K99,"BFD",""),IF(I99=K99,"WFD",""),IF(J99=K99,"CTP",""))</x:f>
        <x:v>IG, CTP</x:v>
      </x:c>
      <x:c r="M99" s="14" t="n">
        <x:f>IFERROR((F99-$K99)/$K99,"")</x:f>
        <x:v>0</x:v>
      </x:c>
      <x:c r="N99" s="14" t="n">
        <x:f>IFERROR((G99-$K99)/$K99,"")</x:f>
        <x:v>0.11764705882352941</x:v>
      </x:c>
      <x:c r="O99" s="14" t="n">
        <x:f>IFERROR((H99-$K99)/$K99,"")</x:f>
        <x:v>0.11764705882352941</x:v>
      </x:c>
      <x:c r="P99" s="14" t="n">
        <x:f>IFERROR((I99-$K99)/$K99,"")</x:f>
        <x:v>0.11764705882352941</x:v>
      </x:c>
      <x:c r="Q99" s="14" t="n">
        <x:f>IFERROR((J99-$K99)/$K99,"")</x:f>
        <x:v>0</x:v>
      </x:c>
      <x:c r="R99" t="n">
        <x:f>--(F99=$K99)</x:f>
        <x:v>1</x:v>
      </x:c>
      <x:c r="S99" t="n">
        <x:f>--(G99=$K99)</x:f>
        <x:v>0</x:v>
      </x:c>
      <x:c r="T99" t="n">
        <x:f>--(H99=$K99)</x:f>
        <x:v>0</x:v>
      </x:c>
      <x:c r="U99" t="n">
        <x:f>--(I99=$K99)</x:f>
        <x:v>0</x:v>
      </x:c>
      <x:c r="V99" t="n">
        <x:f>--(J99=$K99)</x:f>
        <x:v>1</x:v>
      </x:c>
    </x:row>
    <x:row r="100" ht="18" customHeight="1">
      <x:c r="A100" t="str">
        <x:v>bpps_d10000n50m10w1500_3000s1000_2000f1_seed0</x:v>
      </x:c>
      <x:c r="B100" s="16" t="n">
        <x:v>50</x:v>
      </x:c>
      <x:c r="C100" s="16" t="n">
        <x:v>10</x:v>
      </x:c>
      <x:c r="D100" s="16" t="n">
        <x:v>10000</x:v>
      </x:c>
      <x:c r="E100" s="16" t="n">
        <x:v>103</x:v>
      </x:c>
      <x:c r="F100" s="12" t="n">
        <x:v>241</x:v>
      </x:c>
      <x:c r="G100" s="12" t="n">
        <x:v>329</x:v>
      </x:c>
      <x:c r="H100" s="12" t="n">
        <x:v>331</x:v>
      </x:c>
      <x:c r="I100" s="12" t="n">
        <x:v>354</x:v>
      </x:c>
      <x:c r="J100" s="12" t="n">
        <x:v>251</x:v>
      </x:c>
      <x:c r="K100" s="12" t="n">
        <x:f>MIN(F100:J100)</x:f>
        <x:v>241</x:v>
      </x:c>
      <x:c r="L100" t="str">
        <x:f>TEXTJOIN(", ",TRUE,IF(F100=K100,"IG",""),IF(G100=K100,"FFD",""),IF(H100=K100,"BFD",""),IF(I100=K100,"WFD",""),IF(J100=K100,"CTP",""))</x:f>
        <x:v>IG</x:v>
      </x:c>
      <x:c r="M100" s="14" t="n">
        <x:f>IFERROR((F100-$K100)/$K100,"")</x:f>
        <x:v>0</x:v>
      </x:c>
      <x:c r="N100" s="14" t="n">
        <x:f>IFERROR((G100-$K100)/$K100,"")</x:f>
        <x:v>0.3651452282157676</x:v>
      </x:c>
      <x:c r="O100" s="14" t="n">
        <x:f>IFERROR((H100-$K100)/$K100,"")</x:f>
        <x:v>0.37344398340248963</x:v>
      </x:c>
      <x:c r="P100" s="14" t="n">
        <x:f>IFERROR((I100-$K100)/$K100,"")</x:f>
        <x:v>0.46887966804979253</x:v>
      </x:c>
      <x:c r="Q100" s="14" t="n">
        <x:f>IFERROR((J100-$K100)/$K100,"")</x:f>
        <x:v>0.04149377593360996</x:v>
      </x:c>
      <x:c r="R100" t="n">
        <x:f>--(F100=$K100)</x:f>
        <x:v>1</x:v>
      </x:c>
      <x:c r="S100" t="n">
        <x:f>--(G100=$K100)</x:f>
        <x:v>0</x:v>
      </x:c>
      <x:c r="T100" t="n">
        <x:f>--(H100=$K100)</x:f>
        <x:v>0</x:v>
      </x:c>
      <x:c r="U100" t="n">
        <x:f>--(I100=$K100)</x:f>
        <x:v>0</x:v>
      </x:c>
      <x:c r="V100" t="n">
        <x:f>--(J100=$K100)</x:f>
        <x:v>0</x:v>
      </x:c>
    </x:row>
    <x:row r="101" ht="18" customHeight="1">
      <x:c r="A101" t="str">
        <x:v>bpps_d10000n50m10w1500_3000s1000_2000f1_seed1</x:v>
      </x:c>
      <x:c r="B101" s="16" t="n">
        <x:v>50</x:v>
      </x:c>
      <x:c r="C101" s="16" t="n">
        <x:v>10</x:v>
      </x:c>
      <x:c r="D101" s="16" t="n">
        <x:v>10000</x:v>
      </x:c>
      <x:c r="E101" s="16" t="n">
        <x:v>137</x:v>
      </x:c>
      <x:c r="F101" s="12" t="n">
        <x:v>247</x:v>
      </x:c>
      <x:c r="G101" s="12" t="n">
        <x:v>302</x:v>
      </x:c>
      <x:c r="H101" s="12" t="n">
        <x:v>331</x:v>
      </x:c>
      <x:c r="I101" s="12" t="n">
        <x:v>335</x:v>
      </x:c>
      <x:c r="J101" s="12" t="n">
        <x:v>247</x:v>
      </x:c>
      <x:c r="K101" s="12" t="n">
        <x:f>MIN(F101:J101)</x:f>
        <x:v>247</x:v>
      </x:c>
      <x:c r="L101" t="str">
        <x:f>TEXTJOIN(", ",TRUE,IF(F101=K101,"IG",""),IF(G101=K101,"FFD",""),IF(H101=K101,"BFD",""),IF(I101=K101,"WFD",""),IF(J101=K101,"CTP",""))</x:f>
        <x:v>IG, CTP</x:v>
      </x:c>
      <x:c r="M101" s="14" t="n">
        <x:f>IFERROR((F101-$K101)/$K101,"")</x:f>
        <x:v>0</x:v>
      </x:c>
      <x:c r="N101" s="14" t="n">
        <x:f>IFERROR((G101-$K101)/$K101,"")</x:f>
        <x:v>0.22267206477732793</x:v>
      </x:c>
      <x:c r="O101" s="14" t="n">
        <x:f>IFERROR((H101-$K101)/$K101,"")</x:f>
        <x:v>0.340080971659919</x:v>
      </x:c>
      <x:c r="P101" s="14" t="n">
        <x:f>IFERROR((I101-$K101)/$K101,"")</x:f>
        <x:v>0.3562753036437247</x:v>
      </x:c>
      <x:c r="Q101" s="14" t="n">
        <x:f>IFERROR((J101-$K101)/$K101,"")</x:f>
        <x:v>0</x:v>
      </x:c>
      <x:c r="R101" t="n">
        <x:f>--(F101=$K101)</x:f>
        <x:v>1</x:v>
      </x:c>
      <x:c r="S101" t="n">
        <x:f>--(G101=$K101)</x:f>
        <x:v>0</x:v>
      </x:c>
      <x:c r="T101" t="n">
        <x:f>--(H101=$K101)</x:f>
        <x:v>0</x:v>
      </x:c>
      <x:c r="U101" t="n">
        <x:f>--(I101=$K101)</x:f>
        <x:v>0</x:v>
      </x:c>
      <x:c r="V101" t="n">
        <x:f>--(J101=$K101)</x:f>
        <x:v>1</x:v>
      </x:c>
    </x:row>
    <x:row r="102" ht="18" customHeight="1">
      <x:c r="A102" t="str">
        <x:v>bpps_d10000n50m10w1500_3000s100_1000f0_seed0</x:v>
      </x:c>
      <x:c r="B102" s="16" t="n">
        <x:v>50</x:v>
      </x:c>
      <x:c r="C102" s="16" t="n">
        <x:v>10</x:v>
      </x:c>
      <x:c r="D102" s="16" t="n">
        <x:v>10000</x:v>
      </x:c>
      <x:c r="E102" s="16" t="n">
        <x:v>121</x:v>
      </x:c>
      <x:c r="F102" s="12" t="n">
        <x:v>14</x:v>
      </x:c>
      <x:c r="G102" s="12" t="n">
        <x:v>15</x:v>
      </x:c>
      <x:c r="H102" s="12" t="n">
        <x:v>15</x:v>
      </x:c>
      <x:c r="I102" s="12" t="n">
        <x:v>16</x:v>
      </x:c>
      <x:c r="J102" s="12" t="n">
        <x:v>15</x:v>
      </x:c>
      <x:c r="K102" s="12" t="n">
        <x:f>MIN(F102:J102)</x:f>
        <x:v>14</x:v>
      </x:c>
      <x:c r="L102" t="str">
        <x:f>TEXTJOIN(", ",TRUE,IF(F102=K102,"IG",""),IF(G102=K102,"FFD",""),IF(H102=K102,"BFD",""),IF(I102=K102,"WFD",""),IF(J102=K102,"CTP",""))</x:f>
        <x:v>IG</x:v>
      </x:c>
      <x:c r="M102" s="14" t="n">
        <x:f>IFERROR((F102-$K102)/$K102,"")</x:f>
        <x:v>0</x:v>
      </x:c>
      <x:c r="N102" s="14" t="n">
        <x:f>IFERROR((G102-$K102)/$K102,"")</x:f>
        <x:v>0.07142857142857142</x:v>
      </x:c>
      <x:c r="O102" s="14" t="n">
        <x:f>IFERROR((H102-$K102)/$K102,"")</x:f>
        <x:v>0.07142857142857142</x:v>
      </x:c>
      <x:c r="P102" s="14" t="n">
        <x:f>IFERROR((I102-$K102)/$K102,"")</x:f>
        <x:v>0.14285714285714285</x:v>
      </x:c>
      <x:c r="Q102" s="14" t="n">
        <x:f>IFERROR((J102-$K102)/$K102,"")</x:f>
        <x:v>0.07142857142857142</x:v>
      </x:c>
      <x:c r="R102" t="n">
        <x:f>--(F102=$K102)</x:f>
        <x:v>1</x:v>
      </x:c>
      <x:c r="S102" t="n">
        <x:f>--(G102=$K102)</x:f>
        <x:v>0</x:v>
      </x:c>
      <x:c r="T102" t="n">
        <x:f>--(H102=$K102)</x:f>
        <x:v>0</x:v>
      </x:c>
      <x:c r="U102" t="n">
        <x:f>--(I102=$K102)</x:f>
        <x:v>0</x:v>
      </x:c>
      <x:c r="V102" t="n">
        <x:f>--(J102=$K102)</x:f>
        <x:v>0</x:v>
      </x:c>
    </x:row>
    <x:row r="103" ht="18" customHeight="1">
      <x:c r="A103" t="str">
        <x:v>bpps_d10000n50m10w1500_3000s100_1000f0_seed1</x:v>
      </x:c>
      <x:c r="B103" s="16" t="n">
        <x:v>50</x:v>
      </x:c>
      <x:c r="C103" s="16" t="n">
        <x:v>10</x:v>
      </x:c>
      <x:c r="D103" s="16" t="n">
        <x:v>10000</x:v>
      </x:c>
      <x:c r="E103" s="16" t="n">
        <x:v>110</x:v>
      </x:c>
      <x:c r="F103" s="12" t="n">
        <x:v>14</x:v>
      </x:c>
      <x:c r="G103" s="12" t="n">
        <x:v>15</x:v>
      </x:c>
      <x:c r="H103" s="12" t="n">
        <x:v>15</x:v>
      </x:c>
      <x:c r="I103" s="12" t="n">
        <x:v>15</x:v>
      </x:c>
      <x:c r="J103" s="12" t="n">
        <x:v>15</x:v>
      </x:c>
      <x:c r="K103" s="12" t="n">
        <x:f>MIN(F103:J103)</x:f>
        <x:v>14</x:v>
      </x:c>
      <x:c r="L103" t="str">
        <x:f>TEXTJOIN(", ",TRUE,IF(F103=K103,"IG",""),IF(G103=K103,"FFD",""),IF(H103=K103,"BFD",""),IF(I103=K103,"WFD",""),IF(J103=K103,"CTP",""))</x:f>
        <x:v>IG</x:v>
      </x:c>
      <x:c r="M103" s="14" t="n">
        <x:f>IFERROR((F103-$K103)/$K103,"")</x:f>
        <x:v>0</x:v>
      </x:c>
      <x:c r="N103" s="14" t="n">
        <x:f>IFERROR((G103-$K103)/$K103,"")</x:f>
        <x:v>0.07142857142857142</x:v>
      </x:c>
      <x:c r="O103" s="14" t="n">
        <x:f>IFERROR((H103-$K103)/$K103,"")</x:f>
        <x:v>0.07142857142857142</x:v>
      </x:c>
      <x:c r="P103" s="14" t="n">
        <x:f>IFERROR((I103-$K103)/$K103,"")</x:f>
        <x:v>0.07142857142857142</x:v>
      </x:c>
      <x:c r="Q103" s="14" t="n">
        <x:f>IFERROR((J103-$K103)/$K103,"")</x:f>
        <x:v>0.07142857142857142</x:v>
      </x:c>
      <x:c r="R103" t="n">
        <x:f>--(F103=$K103)</x:f>
        <x:v>1</x:v>
      </x:c>
      <x:c r="S103" t="n">
        <x:f>--(G103=$K103)</x:f>
        <x:v>0</x:v>
      </x:c>
      <x:c r="T103" t="n">
        <x:f>--(H103=$K103)</x:f>
        <x:v>0</x:v>
      </x:c>
      <x:c r="U103" t="n">
        <x:f>--(I103=$K103)</x:f>
        <x:v>0</x:v>
      </x:c>
      <x:c r="V103" t="n">
        <x:f>--(J103=$K103)</x:f>
        <x:v>0</x:v>
      </x:c>
    </x:row>
    <x:row r="104" ht="18" customHeight="1">
      <x:c r="A104" t="str">
        <x:v>bpps_d10000n50m10w1500_3000s100_1000f1_seed0</x:v>
      </x:c>
      <x:c r="B104" s="16" t="n">
        <x:v>50</x:v>
      </x:c>
      <x:c r="C104" s="16" t="n">
        <x:v>10</x:v>
      </x:c>
      <x:c r="D104" s="16" t="n">
        <x:v>10000</x:v>
      </x:c>
      <x:c r="E104" s="16" t="n">
        <x:v>122</x:v>
      </x:c>
      <x:c r="F104" s="12" t="n">
        <x:v>203</x:v>
      </x:c>
      <x:c r="G104" s="12" t="n">
        <x:v>286</x:v>
      </x:c>
      <x:c r="H104" s="12" t="n">
        <x:v>292</x:v>
      </x:c>
      <x:c r="I104" s="12" t="n">
        <x:v>310</x:v>
      </x:c>
      <x:c r="J104" s="12" t="n">
        <x:v>215</x:v>
      </x:c>
      <x:c r="K104" s="12" t="n">
        <x:f>MIN(F104:J104)</x:f>
        <x:v>203</x:v>
      </x:c>
      <x:c r="L104" t="str">
        <x:f>TEXTJOIN(", ",TRUE,IF(F104=K104,"IG",""),IF(G104=K104,"FFD",""),IF(H104=K104,"BFD",""),IF(I104=K104,"WFD",""),IF(J104=K104,"CTP",""))</x:f>
        <x:v>IG</x:v>
      </x:c>
      <x:c r="M104" s="14" t="n">
        <x:f>IFERROR((F104-$K104)/$K104,"")</x:f>
        <x:v>0</x:v>
      </x:c>
      <x:c r="N104" s="14" t="n">
        <x:f>IFERROR((G104-$K104)/$K104,"")</x:f>
        <x:v>0.4088669950738916</x:v>
      </x:c>
      <x:c r="O104" s="14" t="n">
        <x:f>IFERROR((H104-$K104)/$K104,"")</x:f>
        <x:v>0.43842364532019706</x:v>
      </x:c>
      <x:c r="P104" s="14" t="n">
        <x:f>IFERROR((I104-$K104)/$K104,"")</x:f>
        <x:v>0.5270935960591133</x:v>
      </x:c>
      <x:c r="Q104" s="14" t="n">
        <x:f>IFERROR((J104-$K104)/$K104,"")</x:f>
        <x:v>0.059113300492610835</x:v>
      </x:c>
      <x:c r="R104" t="n">
        <x:f>--(F104=$K104)</x:f>
        <x:v>1</x:v>
      </x:c>
      <x:c r="S104" t="n">
        <x:f>--(G104=$K104)</x:f>
        <x:v>0</x:v>
      </x:c>
      <x:c r="T104" t="n">
        <x:f>--(H104=$K104)</x:f>
        <x:v>0</x:v>
      </x:c>
      <x:c r="U104" t="n">
        <x:f>--(I104=$K104)</x:f>
        <x:v>0</x:v>
      </x:c>
      <x:c r="V104" t="n">
        <x:f>--(J104=$K104)</x:f>
        <x:v>0</x:v>
      </x:c>
    </x:row>
    <x:row r="105" ht="18" customHeight="1">
      <x:c r="A105" t="str">
        <x:v>bpps_d10000n50m10w1500_3000s100_1000f1_seed1</x:v>
      </x:c>
      <x:c r="B105" s="16" t="n">
        <x:v>50</x:v>
      </x:c>
      <x:c r="C105" s="16" t="n">
        <x:v>10</x:v>
      </x:c>
      <x:c r="D105" s="16" t="n">
        <x:v>10000</x:v>
      </x:c>
      <x:c r="E105" s="16" t="n">
        <x:v>121</x:v>
      </x:c>
      <x:c r="F105" s="12" t="n">
        <x:v>215</x:v>
      </x:c>
      <x:c r="G105" s="12" t="n">
        <x:v>312</x:v>
      </x:c>
      <x:c r="H105" s="12" t="n">
        <x:v>312</x:v>
      </x:c>
      <x:c r="I105" s="12" t="n">
        <x:v>321</x:v>
      </x:c>
      <x:c r="J105" s="12" t="n">
        <x:v>240</x:v>
      </x:c>
      <x:c r="K105" s="12" t="n">
        <x:f>MIN(F105:J105)</x:f>
        <x:v>215</x:v>
      </x:c>
      <x:c r="L105" t="str">
        <x:f>TEXTJOIN(", ",TRUE,IF(F105=K105,"IG",""),IF(G105=K105,"FFD",""),IF(H105=K105,"BFD",""),IF(I105=K105,"WFD",""),IF(J105=K105,"CTP",""))</x:f>
        <x:v>IG</x:v>
      </x:c>
      <x:c r="M105" s="14" t="n">
        <x:f>IFERROR((F105-$K105)/$K105,"")</x:f>
        <x:v>0</x:v>
      </x:c>
      <x:c r="N105" s="14" t="n">
        <x:f>IFERROR((G105-$K105)/$K105,"")</x:f>
        <x:v>0.4511627906976744</x:v>
      </x:c>
      <x:c r="O105" s="14" t="n">
        <x:f>IFERROR((H105-$K105)/$K105,"")</x:f>
        <x:v>0.4511627906976744</x:v>
      </x:c>
      <x:c r="P105" s="14" t="n">
        <x:f>IFERROR((I105-$K105)/$K105,"")</x:f>
        <x:v>0.4930232558139535</x:v>
      </x:c>
      <x:c r="Q105" s="14" t="n">
        <x:f>IFERROR((J105-$K105)/$K105,"")</x:f>
        <x:v>0.11627906976744186</x:v>
      </x:c>
      <x:c r="R105" t="n">
        <x:f>--(F105=$K105)</x:f>
        <x:v>1</x:v>
      </x:c>
      <x:c r="S105" t="n">
        <x:f>--(G105=$K105)</x:f>
        <x:v>0</x:v>
      </x:c>
      <x:c r="T105" t="n">
        <x:f>--(H105=$K105)</x:f>
        <x:v>0</x:v>
      </x:c>
      <x:c r="U105" t="n">
        <x:f>--(I105=$K105)</x:f>
        <x:v>0</x:v>
      </x:c>
      <x:c r="V105" t="n">
        <x:f>--(J105=$K105)</x:f>
        <x:v>0</x:v>
      </x:c>
    </x:row>
    <x:row r="106" ht="18" customHeight="1">
      <x:c r="A106" t="str">
        <x:v>bpps_d10000n50m10w500_1500s1000_2000f0_seed0</x:v>
      </x:c>
      <x:c r="B106" s="16" t="n">
        <x:v>50</x:v>
      </x:c>
      <x:c r="C106" s="16" t="n">
        <x:v>10</x:v>
      </x:c>
      <x:c r="D106" s="16" t="n">
        <x:v>10000</x:v>
      </x:c>
      <x:c r="E106" s="16" t="n">
        <x:v>111</x:v>
      </x:c>
      <x:c r="F106" s="12" t="n">
        <x:v>9</x:v>
      </x:c>
      <x:c r="G106" s="12" t="n">
        <x:v>10</x:v>
      </x:c>
      <x:c r="H106" s="12" t="n">
        <x:v>10</x:v>
      </x:c>
      <x:c r="I106" s="12" t="n">
        <x:v>11</x:v>
      </x:c>
      <x:c r="J106" s="12" t="n">
        <x:v>10</x:v>
      </x:c>
      <x:c r="K106" s="12" t="n">
        <x:f>MIN(F106:J106)</x:f>
        <x:v>9</x:v>
      </x:c>
      <x:c r="L106" t="str">
        <x:f>TEXTJOIN(", ",TRUE,IF(F106=K106,"IG",""),IF(G106=K106,"FFD",""),IF(H106=K106,"BFD",""),IF(I106=K106,"WFD",""),IF(J106=K106,"CTP",""))</x:f>
        <x:v>IG</x:v>
      </x:c>
      <x:c r="M106" s="14" t="n">
        <x:f>IFERROR((F106-$K106)/$K106,"")</x:f>
        <x:v>0</x:v>
      </x:c>
      <x:c r="N106" s="14" t="n">
        <x:f>IFERROR((G106-$K106)/$K106,"")</x:f>
        <x:v>0.1111111111111111</x:v>
      </x:c>
      <x:c r="O106" s="14" t="n">
        <x:f>IFERROR((H106-$K106)/$K106,"")</x:f>
        <x:v>0.1111111111111111</x:v>
      </x:c>
      <x:c r="P106" s="14" t="n">
        <x:f>IFERROR((I106-$K106)/$K106,"")</x:f>
        <x:v>0.2222222222222222</x:v>
      </x:c>
      <x:c r="Q106" s="14" t="n">
        <x:f>IFERROR((J106-$K106)/$K106,"")</x:f>
        <x:v>0.1111111111111111</x:v>
      </x:c>
      <x:c r="R106" t="n">
        <x:f>--(F106=$K106)</x:f>
        <x:v>1</x:v>
      </x:c>
      <x:c r="S106" t="n">
        <x:f>--(G106=$K106)</x:f>
        <x:v>0</x:v>
      </x:c>
      <x:c r="T106" t="n">
        <x:f>--(H106=$K106)</x:f>
        <x:v>0</x:v>
      </x:c>
      <x:c r="U106" t="n">
        <x:f>--(I106=$K106)</x:f>
        <x:v>0</x:v>
      </x:c>
      <x:c r="V106" t="n">
        <x:f>--(J106=$K106)</x:f>
        <x:v>0</x:v>
      </x:c>
    </x:row>
    <x:row r="107" ht="18" customHeight="1">
      <x:c r="A107" t="str">
        <x:v>bpps_d10000n50m10w500_1500s1000_2000f0_seed1</x:v>
      </x:c>
      <x:c r="B107" s="16" t="n">
        <x:v>50</x:v>
      </x:c>
      <x:c r="C107" s="16" t="n">
        <x:v>10</x:v>
      </x:c>
      <x:c r="D107" s="16" t="n">
        <x:v>10000</x:v>
      </x:c>
      <x:c r="E107" s="16" t="n">
        <x:v>122</x:v>
      </x:c>
      <x:c r="F107" s="12" t="n">
        <x:v>9</x:v>
      </x:c>
      <x:c r="G107" s="12" t="n">
        <x:v>11</x:v>
      </x:c>
      <x:c r="H107" s="12" t="n">
        <x:v>11</x:v>
      </x:c>
      <x:c r="I107" s="12" t="n">
        <x:v>11</x:v>
      </x:c>
      <x:c r="J107" s="12" t="n">
        <x:v>9</x:v>
      </x:c>
      <x:c r="K107" s="12" t="n">
        <x:f>MIN(F107:J107)</x:f>
        <x:v>9</x:v>
      </x:c>
      <x:c r="L107" t="str">
        <x:f>TEXTJOIN(", ",TRUE,IF(F107=K107,"IG",""),IF(G107=K107,"FFD",""),IF(H107=K107,"BFD",""),IF(I107=K107,"WFD",""),IF(J107=K107,"CTP",""))</x:f>
        <x:v>IG, CTP</x:v>
      </x:c>
      <x:c r="M107" s="14" t="n">
        <x:f>IFERROR((F107-$K107)/$K107,"")</x:f>
        <x:v>0</x:v>
      </x:c>
      <x:c r="N107" s="14" t="n">
        <x:f>IFERROR((G107-$K107)/$K107,"")</x:f>
        <x:v>0.2222222222222222</x:v>
      </x:c>
      <x:c r="O107" s="14" t="n">
        <x:f>IFERROR((H107-$K107)/$K107,"")</x:f>
        <x:v>0.2222222222222222</x:v>
      </x:c>
      <x:c r="P107" s="14" t="n">
        <x:f>IFERROR((I107-$K107)/$K107,"")</x:f>
        <x:v>0.2222222222222222</x:v>
      </x:c>
      <x:c r="Q107" s="14" t="n">
        <x:f>IFERROR((J107-$K107)/$K107,"")</x:f>
        <x:v>0</x:v>
      </x:c>
      <x:c r="R107" t="n">
        <x:f>--(F107=$K107)</x:f>
        <x:v>1</x:v>
      </x:c>
      <x:c r="S107" t="n">
        <x:f>--(G107=$K107)</x:f>
        <x:v>0</x:v>
      </x:c>
      <x:c r="T107" t="n">
        <x:f>--(H107=$K107)</x:f>
        <x:v>0</x:v>
      </x:c>
      <x:c r="U107" t="n">
        <x:f>--(I107=$K107)</x:f>
        <x:v>0</x:v>
      </x:c>
      <x:c r="V107" t="n">
        <x:f>--(J107=$K107)</x:f>
        <x:v>1</x:v>
      </x:c>
    </x:row>
    <x:row r="108" ht="18" customHeight="1">
      <x:c r="A108" t="str">
        <x:v>bpps_d10000n50m10w500_1500s1000_2000f1_seed0</x:v>
      </x:c>
      <x:c r="B108" s="16" t="n">
        <x:v>50</x:v>
      </x:c>
      <x:c r="C108" s="16" t="n">
        <x:v>10</x:v>
      </x:c>
      <x:c r="D108" s="16" t="n">
        <x:v>10000</x:v>
      </x:c>
      <x:c r="E108" s="16" t="n">
        <x:v>121</x:v>
      </x:c>
      <x:c r="F108" s="12" t="n">
        <x:v>116</x:v>
      </x:c>
      <x:c r="G108" s="12" t="n">
        <x:v>182</x:v>
      </x:c>
      <x:c r="H108" s="12" t="n">
        <x:v>190</x:v>
      </x:c>
      <x:c r="I108" s="12" t="n">
        <x:v>175</x:v>
      </x:c>
      <x:c r="J108" s="12" t="n">
        <x:v>134</x:v>
      </x:c>
      <x:c r="K108" s="12" t="n">
        <x:f>MIN(F108:J108)</x:f>
        <x:v>116</x:v>
      </x:c>
      <x:c r="L108" t="str">
        <x:f>TEXTJOIN(", ",TRUE,IF(F108=K108,"IG",""),IF(G108=K108,"FFD",""),IF(H108=K108,"BFD",""),IF(I108=K108,"WFD",""),IF(J108=K108,"CTP",""))</x:f>
        <x:v>IG</x:v>
      </x:c>
      <x:c r="M108" s="14" t="n">
        <x:f>IFERROR((F108-$K108)/$K108,"")</x:f>
        <x:v>0</x:v>
      </x:c>
      <x:c r="N108" s="14" t="n">
        <x:f>IFERROR((G108-$K108)/$K108,"")</x:f>
        <x:v>0.5689655172413793</x:v>
      </x:c>
      <x:c r="O108" s="14" t="n">
        <x:f>IFERROR((H108-$K108)/$K108,"")</x:f>
        <x:v>0.6379310344827587</x:v>
      </x:c>
      <x:c r="P108" s="14" t="n">
        <x:f>IFERROR((I108-$K108)/$K108,"")</x:f>
        <x:v>0.5086206896551724</x:v>
      </x:c>
      <x:c r="Q108" s="14" t="n">
        <x:f>IFERROR((J108-$K108)/$K108,"")</x:f>
        <x:v>0.15517241379310345</x:v>
      </x:c>
      <x:c r="R108" t="n">
        <x:f>--(F108=$K108)</x:f>
        <x:v>1</x:v>
      </x:c>
      <x:c r="S108" t="n">
        <x:f>--(G108=$K108)</x:f>
        <x:v>0</x:v>
      </x:c>
      <x:c r="T108" t="n">
        <x:f>--(H108=$K108)</x:f>
        <x:v>0</x:v>
      </x:c>
      <x:c r="U108" t="n">
        <x:f>--(I108=$K108)</x:f>
        <x:v>0</x:v>
      </x:c>
      <x:c r="V108" t="n">
        <x:f>--(J108=$K108)</x:f>
        <x:v>0</x:v>
      </x:c>
    </x:row>
    <x:row r="109" ht="18" customHeight="1">
      <x:c r="A109" t="str">
        <x:v>bpps_d10000n50m10w500_1500s1000_2000f1_seed1</x:v>
      </x:c>
      <x:c r="B109" s="16" t="n">
        <x:v>50</x:v>
      </x:c>
      <x:c r="C109" s="16" t="n">
        <x:v>10</x:v>
      </x:c>
      <x:c r="D109" s="16" t="n">
        <x:v>10000</x:v>
      </x:c>
      <x:c r="E109" s="16" t="n">
        <x:v>108</x:v>
      </x:c>
      <x:c r="F109" s="12" t="n">
        <x:v>130</x:v>
      </x:c>
      <x:c r="G109" s="12" t="n">
        <x:v>200</x:v>
      </x:c>
      <x:c r="H109" s="12" t="n">
        <x:v>200</x:v>
      </x:c>
      <x:c r="I109" s="12" t="n">
        <x:v>206</x:v>
      </x:c>
      <x:c r="J109" s="12" t="n">
        <x:v>140</x:v>
      </x:c>
      <x:c r="K109" s="12" t="n">
        <x:f>MIN(F109:J109)</x:f>
        <x:v>130</x:v>
      </x:c>
      <x:c r="L109" t="str">
        <x:f>TEXTJOIN(", ",TRUE,IF(F109=K109,"IG",""),IF(G109=K109,"FFD",""),IF(H109=K109,"BFD",""),IF(I109=K109,"WFD",""),IF(J109=K109,"CTP",""))</x:f>
        <x:v>IG</x:v>
      </x:c>
      <x:c r="M109" s="14" t="n">
        <x:f>IFERROR((F109-$K109)/$K109,"")</x:f>
        <x:v>0</x:v>
      </x:c>
      <x:c r="N109" s="14" t="n">
        <x:f>IFERROR((G109-$K109)/$K109,"")</x:f>
        <x:v>0.5384615384615384</x:v>
      </x:c>
      <x:c r="O109" s="14" t="n">
        <x:f>IFERROR((H109-$K109)/$K109,"")</x:f>
        <x:v>0.5384615384615384</x:v>
      </x:c>
      <x:c r="P109" s="14" t="n">
        <x:f>IFERROR((I109-$K109)/$K109,"")</x:f>
        <x:v>0.5846153846153846</x:v>
      </x:c>
      <x:c r="Q109" s="14" t="n">
        <x:f>IFERROR((J109-$K109)/$K109,"")</x:f>
        <x:v>0.07692307692307693</x:v>
      </x:c>
      <x:c r="R109" t="n">
        <x:f>--(F109=$K109)</x:f>
        <x:v>1</x:v>
      </x:c>
      <x:c r="S109" t="n">
        <x:f>--(G109=$K109)</x:f>
        <x:v>0</x:v>
      </x:c>
      <x:c r="T109" t="n">
        <x:f>--(H109=$K109)</x:f>
        <x:v>0</x:v>
      </x:c>
      <x:c r="U109" t="n">
        <x:f>--(I109=$K109)</x:f>
        <x:v>0</x:v>
      </x:c>
      <x:c r="V109" t="n">
        <x:f>--(J109=$K109)</x:f>
        <x:v>0</x:v>
      </x:c>
    </x:row>
    <x:row r="110" ht="18" customHeight="1">
      <x:c r="A110" t="str">
        <x:v>bpps_d10000n50m10w500_1500s100_1000f0_seed0</x:v>
      </x:c>
      <x:c r="B110" s="16" t="n">
        <x:v>50</x:v>
      </x:c>
      <x:c r="C110" s="16" t="n">
        <x:v>10</x:v>
      </x:c>
      <x:c r="D110" s="16" t="n">
        <x:v>10000</x:v>
      </x:c>
      <x:c r="E110" s="16" t="n">
        <x:v>122</x:v>
      </x:c>
      <x:c r="F110" s="12" t="n">
        <x:v>7</x:v>
      </x:c>
      <x:c r="G110" s="12" t="n">
        <x:v>8</x:v>
      </x:c>
      <x:c r="H110" s="12" t="n">
        <x:v>8</x:v>
      </x:c>
      <x:c r="I110" s="12" t="n">
        <x:v>8</x:v>
      </x:c>
      <x:c r="J110" s="12" t="n">
        <x:v>8</x:v>
      </x:c>
      <x:c r="K110" s="12" t="n">
        <x:f>MIN(F110:J110)</x:f>
        <x:v>7</x:v>
      </x:c>
      <x:c r="L110" t="str">
        <x:f>TEXTJOIN(", ",TRUE,IF(F110=K110,"IG",""),IF(G110=K110,"FFD",""),IF(H110=K110,"BFD",""),IF(I110=K110,"WFD",""),IF(J110=K110,"CTP",""))</x:f>
        <x:v>IG</x:v>
      </x:c>
      <x:c r="M110" s="14" t="n">
        <x:f>IFERROR((F110-$K110)/$K110,"")</x:f>
        <x:v>0</x:v>
      </x:c>
      <x:c r="N110" s="14" t="n">
        <x:f>IFERROR((G110-$K110)/$K110,"")</x:f>
        <x:v>0.14285714285714285</x:v>
      </x:c>
      <x:c r="O110" s="14" t="n">
        <x:f>IFERROR((H110-$K110)/$K110,"")</x:f>
        <x:v>0.14285714285714285</x:v>
      </x:c>
      <x:c r="P110" s="14" t="n">
        <x:f>IFERROR((I110-$K110)/$K110,"")</x:f>
        <x:v>0.14285714285714285</x:v>
      </x:c>
      <x:c r="Q110" s="14" t="n">
        <x:f>IFERROR((J110-$K110)/$K110,"")</x:f>
        <x:v>0.14285714285714285</x:v>
      </x:c>
      <x:c r="R110" t="n">
        <x:f>--(F110=$K110)</x:f>
        <x:v>1</x:v>
      </x:c>
      <x:c r="S110" t="n">
        <x:f>--(G110=$K110)</x:f>
        <x:v>0</x:v>
      </x:c>
      <x:c r="T110" t="n">
        <x:f>--(H110=$K110)</x:f>
        <x:v>0</x:v>
      </x:c>
      <x:c r="U110" t="n">
        <x:f>--(I110=$K110)</x:f>
        <x:v>0</x:v>
      </x:c>
      <x:c r="V110" t="n">
        <x:f>--(J110=$K110)</x:f>
        <x:v>0</x:v>
      </x:c>
    </x:row>
    <x:row r="111" ht="18" customHeight="1">
      <x:c r="A111" t="str">
        <x:v>bpps_d10000n50m10w500_1500s100_1000f0_seed1</x:v>
      </x:c>
      <x:c r="B111" s="16" t="n">
        <x:v>50</x:v>
      </x:c>
      <x:c r="C111" s="16" t="n">
        <x:v>10</x:v>
      </x:c>
      <x:c r="D111" s="16" t="n">
        <x:v>10000</x:v>
      </x:c>
      <x:c r="E111" s="16" t="n">
        <x:v>133</x:v>
      </x:c>
      <x:c r="F111" s="12" t="n">
        <x:v>7</x:v>
      </x:c>
      <x:c r="G111" s="12" t="n">
        <x:v>8</x:v>
      </x:c>
      <x:c r="H111" s="12" t="n">
        <x:v>8</x:v>
      </x:c>
      <x:c r="I111" s="12" t="n">
        <x:v>8</x:v>
      </x:c>
      <x:c r="J111" s="12" t="n">
        <x:v>8</x:v>
      </x:c>
      <x:c r="K111" s="12" t="n">
        <x:f>MIN(F111:J111)</x:f>
        <x:v>7</x:v>
      </x:c>
      <x:c r="L111" t="str">
        <x:f>TEXTJOIN(", ",TRUE,IF(F111=K111,"IG",""),IF(G111=K111,"FFD",""),IF(H111=K111,"BFD",""),IF(I111=K111,"WFD",""),IF(J111=K111,"CTP",""))</x:f>
        <x:v>IG</x:v>
      </x:c>
      <x:c r="M111" s="14" t="n">
        <x:f>IFERROR((F111-$K111)/$K111,"")</x:f>
        <x:v>0</x:v>
      </x:c>
      <x:c r="N111" s="14" t="n">
        <x:f>IFERROR((G111-$K111)/$K111,"")</x:f>
        <x:v>0.14285714285714285</x:v>
      </x:c>
      <x:c r="O111" s="14" t="n">
        <x:f>IFERROR((H111-$K111)/$K111,"")</x:f>
        <x:v>0.14285714285714285</x:v>
      </x:c>
      <x:c r="P111" s="14" t="n">
        <x:f>IFERROR((I111-$K111)/$K111,"")</x:f>
        <x:v>0.14285714285714285</x:v>
      </x:c>
      <x:c r="Q111" s="14" t="n">
        <x:f>IFERROR((J111-$K111)/$K111,"")</x:f>
        <x:v>0.14285714285714285</x:v>
      </x:c>
      <x:c r="R111" t="n">
        <x:f>--(F111=$K111)</x:f>
        <x:v>1</x:v>
      </x:c>
      <x:c r="S111" t="n">
        <x:f>--(G111=$K111)</x:f>
        <x:v>0</x:v>
      </x:c>
      <x:c r="T111" t="n">
        <x:f>--(H111=$K111)</x:f>
        <x:v>0</x:v>
      </x:c>
      <x:c r="U111" t="n">
        <x:f>--(I111=$K111)</x:f>
        <x:v>0</x:v>
      </x:c>
      <x:c r="V111" t="n">
        <x:f>--(J111=$K111)</x:f>
        <x:v>0</x:v>
      </x:c>
    </x:row>
    <x:row r="112" ht="18" customHeight="1">
      <x:c r="A112" t="str">
        <x:v>bpps_d10000n50m10w500_1500s100_1000f1_seed0</x:v>
      </x:c>
      <x:c r="B112" s="16" t="n">
        <x:v>50</x:v>
      </x:c>
      <x:c r="C112" s="16" t="n">
        <x:v>10</x:v>
      </x:c>
      <x:c r="D112" s="16" t="n">
        <x:v>10000</x:v>
      </x:c>
      <x:c r="E112" s="16" t="n">
        <x:v>121</x:v>
      </x:c>
      <x:c r="F112" s="12" t="n">
        <x:v>107</x:v>
      </x:c>
      <x:c r="G112" s="12" t="n">
        <x:v>156</x:v>
      </x:c>
      <x:c r="H112" s="12" t="n">
        <x:v>158</x:v>
      </x:c>
      <x:c r="I112" s="12" t="n">
        <x:v>158</x:v>
      </x:c>
      <x:c r="J112" s="12" t="n">
        <x:v>118</x:v>
      </x:c>
      <x:c r="K112" s="12" t="n">
        <x:f>MIN(F112:J112)</x:f>
        <x:v>107</x:v>
      </x:c>
      <x:c r="L112" t="str">
        <x:f>TEXTJOIN(", ",TRUE,IF(F112=K112,"IG",""),IF(G112=K112,"FFD",""),IF(H112=K112,"BFD",""),IF(I112=K112,"WFD",""),IF(J112=K112,"CTP",""))</x:f>
        <x:v>IG</x:v>
      </x:c>
      <x:c r="M112" s="14" t="n">
        <x:f>IFERROR((F112-$K112)/$K112,"")</x:f>
        <x:v>0</x:v>
      </x:c>
      <x:c r="N112" s="14" t="n">
        <x:f>IFERROR((G112-$K112)/$K112,"")</x:f>
        <x:v>0.45794392523364486</x:v>
      </x:c>
      <x:c r="O112" s="14" t="n">
        <x:f>IFERROR((H112-$K112)/$K112,"")</x:f>
        <x:v>0.4766355140186916</x:v>
      </x:c>
      <x:c r="P112" s="14" t="n">
        <x:f>IFERROR((I112-$K112)/$K112,"")</x:f>
        <x:v>0.4766355140186916</x:v>
      </x:c>
      <x:c r="Q112" s="14" t="n">
        <x:f>IFERROR((J112-$K112)/$K112,"")</x:f>
        <x:v>0.102803738317757</x:v>
      </x:c>
      <x:c r="R112" t="n">
        <x:f>--(F112=$K112)</x:f>
        <x:v>1</x:v>
      </x:c>
      <x:c r="S112" t="n">
        <x:f>--(G112=$K112)</x:f>
        <x:v>0</x:v>
      </x:c>
      <x:c r="T112" t="n">
        <x:f>--(H112=$K112)</x:f>
        <x:v>0</x:v>
      </x:c>
      <x:c r="U112" t="n">
        <x:f>--(I112=$K112)</x:f>
        <x:v>0</x:v>
      </x:c>
      <x:c r="V112" t="n">
        <x:f>--(J112=$K112)</x:f>
        <x:v>0</x:v>
      </x:c>
    </x:row>
    <x:row r="113" ht="18" customHeight="1">
      <x:c r="A113" t="str">
        <x:v>bpps_d10000n50m10w500_1500s100_1000f1_seed1</x:v>
      </x:c>
      <x:c r="B113" s="16" t="n">
        <x:v>50</x:v>
      </x:c>
      <x:c r="C113" s="16" t="n">
        <x:v>10</x:v>
      </x:c>
      <x:c r="D113" s="16" t="n">
        <x:v>10000</x:v>
      </x:c>
      <x:c r="E113" s="16" t="n">
        <x:v>117</x:v>
      </x:c>
      <x:c r="F113" s="12" t="n">
        <x:v>117</x:v>
      </x:c>
      <x:c r="G113" s="12" t="n">
        <x:v>183</x:v>
      </x:c>
      <x:c r="H113" s="12" t="n">
        <x:v>176</x:v>
      </x:c>
      <x:c r="I113" s="12" t="n">
        <x:v>178</x:v>
      </x:c>
      <x:c r="J113" s="12" t="n">
        <x:v>127</x:v>
      </x:c>
      <x:c r="K113" s="12" t="n">
        <x:f>MIN(F113:J113)</x:f>
        <x:v>117</x:v>
      </x:c>
      <x:c r="L113" t="str">
        <x:f>TEXTJOIN(", ",TRUE,IF(F113=K113,"IG",""),IF(G113=K113,"FFD",""),IF(H113=K113,"BFD",""),IF(I113=K113,"WFD",""),IF(J113=K113,"CTP",""))</x:f>
        <x:v>IG</x:v>
      </x:c>
      <x:c r="M113" s="14" t="n">
        <x:f>IFERROR((F113-$K113)/$K113,"")</x:f>
        <x:v>0</x:v>
      </x:c>
      <x:c r="N113" s="14" t="n">
        <x:f>IFERROR((G113-$K113)/$K113,"")</x:f>
        <x:v>0.5641025641025641</x:v>
      </x:c>
      <x:c r="O113" s="14" t="n">
        <x:f>IFERROR((H113-$K113)/$K113,"")</x:f>
        <x:v>0.5042735042735043</x:v>
      </x:c>
      <x:c r="P113" s="14" t="n">
        <x:f>IFERROR((I113-$K113)/$K113,"")</x:f>
        <x:v>0.5213675213675214</x:v>
      </x:c>
      <x:c r="Q113" s="14" t="n">
        <x:f>IFERROR((J113-$K113)/$K113,"")</x:f>
        <x:v>0.08547008547008547</x:v>
      </x:c>
      <x:c r="R113" t="n">
        <x:f>--(F113=$K113)</x:f>
        <x:v>1</x:v>
      </x:c>
      <x:c r="S113" t="n">
        <x:f>--(G113=$K113)</x:f>
        <x:v>0</x:v>
      </x:c>
      <x:c r="T113" t="n">
        <x:f>--(H113=$K113)</x:f>
        <x:v>0</x:v>
      </x:c>
      <x:c r="U113" t="n">
        <x:f>--(I113=$K113)</x:f>
        <x:v>0</x:v>
      </x:c>
      <x:c r="V113" t="n">
        <x:f>--(J113=$K113)</x:f>
        <x:v>0</x:v>
      </x:c>
    </x:row>
    <x:row r="114" ht="18" customHeight="1">
      <x:c r="A114" t="str">
        <x:v>bpps_d10000n50m5w1500_3000s1000_2000f0_seed0</x:v>
      </x:c>
      <x:c r="B114" s="16" t="n">
        <x:v>50</x:v>
      </x:c>
      <x:c r="C114" s="16" t="n">
        <x:v>5</x:v>
      </x:c>
      <x:c r="D114" s="16" t="n">
        <x:v>10000</x:v>
      </x:c>
      <x:c r="E114" s="16" t="n">
        <x:v>129</x:v>
      </x:c>
      <x:c r="F114" s="12" t="n">
        <x:v>16</x:v>
      </x:c>
      <x:c r="G114" s="12" t="n">
        <x:v>19</x:v>
      </x:c>
      <x:c r="H114" s="12" t="n">
        <x:v>19</x:v>
      </x:c>
      <x:c r="I114" s="12" t="n">
        <x:v>19</x:v>
      </x:c>
      <x:c r="J114" s="12" t="n">
        <x:v>16</x:v>
      </x:c>
      <x:c r="K114" s="12" t="n">
        <x:f>MIN(F114:J114)</x:f>
        <x:v>16</x:v>
      </x:c>
      <x:c r="L114" t="str">
        <x:f>TEXTJOIN(", ",TRUE,IF(F114=K114,"IG",""),IF(G114=K114,"FFD",""),IF(H114=K114,"BFD",""),IF(I114=K114,"WFD",""),IF(J114=K114,"CTP",""))</x:f>
        <x:v>IG, CTP</x:v>
      </x:c>
      <x:c r="M114" s="14" t="n">
        <x:f>IFERROR((F114-$K114)/$K114,"")</x:f>
        <x:v>0</x:v>
      </x:c>
      <x:c r="N114" s="14" t="n">
        <x:f>IFERROR((G114-$K114)/$K114,"")</x:f>
        <x:v>0.1875</x:v>
      </x:c>
      <x:c r="O114" s="14" t="n">
        <x:f>IFERROR((H114-$K114)/$K114,"")</x:f>
        <x:v>0.1875</x:v>
      </x:c>
      <x:c r="P114" s="14" t="n">
        <x:f>IFERROR((I114-$K114)/$K114,"")</x:f>
        <x:v>0.1875</x:v>
      </x:c>
      <x:c r="Q114" s="14" t="n">
        <x:f>IFERROR((J114-$K114)/$K114,"")</x:f>
        <x:v>0</x:v>
      </x:c>
      <x:c r="R114" t="n">
        <x:f>--(F114=$K114)</x:f>
        <x:v>1</x:v>
      </x:c>
      <x:c r="S114" t="n">
        <x:f>--(G114=$K114)</x:f>
        <x:v>0</x:v>
      </x:c>
      <x:c r="T114" t="n">
        <x:f>--(H114=$K114)</x:f>
        <x:v>0</x:v>
      </x:c>
      <x:c r="U114" t="n">
        <x:f>--(I114=$K114)</x:f>
        <x:v>0</x:v>
      </x:c>
      <x:c r="V114" t="n">
        <x:f>--(J114=$K114)</x:f>
        <x:v>1</x:v>
      </x:c>
    </x:row>
    <x:row r="115" ht="18" customHeight="1">
      <x:c r="A115" t="str">
        <x:v>bpps_d10000n50m5w1500_3000s1000_2000f0_seed1</x:v>
      </x:c>
      <x:c r="B115" s="16" t="n">
        <x:v>50</x:v>
      </x:c>
      <x:c r="C115" s="16" t="n">
        <x:v>5</x:v>
      </x:c>
      <x:c r="D115" s="16" t="n">
        <x:v>10000</x:v>
      </x:c>
      <x:c r="E115" s="16" t="n">
        <x:v>121</x:v>
      </x:c>
      <x:c r="F115" s="12" t="n">
        <x:v>16</x:v>
      </x:c>
      <x:c r="G115" s="12" t="n">
        <x:v>17</x:v>
      </x:c>
      <x:c r="H115" s="12" t="n">
        <x:v>17</x:v>
      </x:c>
      <x:c r="I115" s="12" t="n">
        <x:v>17</x:v>
      </x:c>
      <x:c r="J115" s="12" t="n">
        <x:v>16</x:v>
      </x:c>
      <x:c r="K115" s="12" t="n">
        <x:f>MIN(F115:J115)</x:f>
        <x:v>16</x:v>
      </x:c>
      <x:c r="L115" t="str">
        <x:f>TEXTJOIN(", ",TRUE,IF(F115=K115,"IG",""),IF(G115=K115,"FFD",""),IF(H115=K115,"BFD",""),IF(I115=K115,"WFD",""),IF(J115=K115,"CTP",""))</x:f>
        <x:v>IG, CTP</x:v>
      </x:c>
      <x:c r="M115" s="14" t="n">
        <x:f>IFERROR((F115-$K115)/$K115,"")</x:f>
        <x:v>0</x:v>
      </x:c>
      <x:c r="N115" s="14" t="n">
        <x:f>IFERROR((G115-$K115)/$K115,"")</x:f>
        <x:v>0.0625</x:v>
      </x:c>
      <x:c r="O115" s="14" t="n">
        <x:f>IFERROR((H115-$K115)/$K115,"")</x:f>
        <x:v>0.0625</x:v>
      </x:c>
      <x:c r="P115" s="14" t="n">
        <x:f>IFERROR((I115-$K115)/$K115,"")</x:f>
        <x:v>0.0625</x:v>
      </x:c>
      <x:c r="Q115" s="14" t="n">
        <x:f>IFERROR((J115-$K115)/$K115,"")</x:f>
        <x:v>0</x:v>
      </x:c>
      <x:c r="R115" t="n">
        <x:f>--(F115=$K115)</x:f>
        <x:v>1</x:v>
      </x:c>
      <x:c r="S115" t="n">
        <x:f>--(G115=$K115)</x:f>
        <x:v>0</x:v>
      </x:c>
      <x:c r="T115" t="n">
        <x:f>--(H115=$K115)</x:f>
        <x:v>0</x:v>
      </x:c>
      <x:c r="U115" t="n">
        <x:f>--(I115=$K115)</x:f>
        <x:v>0</x:v>
      </x:c>
      <x:c r="V115" t="n">
        <x:f>--(J115=$K115)</x:f>
        <x:v>1</x:v>
      </x:c>
    </x:row>
    <x:row r="116" ht="18" customHeight="1">
      <x:c r="A116" t="str">
        <x:v>bpps_d10000n50m5w1500_3000s1000_2000f1_seed0</x:v>
      </x:c>
      <x:c r="B116" s="16" t="n">
        <x:v>50</x:v>
      </x:c>
      <x:c r="C116" s="16" t="n">
        <x:v>5</x:v>
      </x:c>
      <x:c r="D116" s="16" t="n">
        <x:v>10000</x:v>
      </x:c>
      <x:c r="E116" s="16" t="n">
        <x:v>102</x:v>
      </x:c>
      <x:c r="F116" s="12" t="n">
        <x:v>223</x:v>
      </x:c>
      <x:c r="G116" s="12" t="n">
        <x:v>320</x:v>
      </x:c>
      <x:c r="H116" s="12" t="n">
        <x:v>320</x:v>
      </x:c>
      <x:c r="I116" s="12" t="n">
        <x:v>307</x:v>
      </x:c>
      <x:c r="J116" s="12" t="n">
        <x:v>226</x:v>
      </x:c>
      <x:c r="K116" s="12" t="n">
        <x:f>MIN(F116:J116)</x:f>
        <x:v>223</x:v>
      </x:c>
      <x:c r="L116" t="str">
        <x:f>TEXTJOIN(", ",TRUE,IF(F116=K116,"IG",""),IF(G116=K116,"FFD",""),IF(H116=K116,"BFD",""),IF(I116=K116,"WFD",""),IF(J116=K116,"CTP",""))</x:f>
        <x:v>IG</x:v>
      </x:c>
      <x:c r="M116" s="14" t="n">
        <x:f>IFERROR((F116-$K116)/$K116,"")</x:f>
        <x:v>0</x:v>
      </x:c>
      <x:c r="N116" s="14" t="n">
        <x:f>IFERROR((G116-$K116)/$K116,"")</x:f>
        <x:v>0.4349775784753363</x:v>
      </x:c>
      <x:c r="O116" s="14" t="n">
        <x:f>IFERROR((H116-$K116)/$K116,"")</x:f>
        <x:v>0.4349775784753363</x:v>
      </x:c>
      <x:c r="P116" s="14" t="n">
        <x:f>IFERROR((I116-$K116)/$K116,"")</x:f>
        <x:v>0.37668161434977576</x:v>
      </x:c>
      <x:c r="Q116" s="14" t="n">
        <x:f>IFERROR((J116-$K116)/$K116,"")</x:f>
        <x:v>0.013452914798206279</x:v>
      </x:c>
      <x:c r="R116" t="n">
        <x:f>--(F116=$K116)</x:f>
        <x:v>1</x:v>
      </x:c>
      <x:c r="S116" t="n">
        <x:f>--(G116=$K116)</x:f>
        <x:v>0</x:v>
      </x:c>
      <x:c r="T116" t="n">
        <x:f>--(H116=$K116)</x:f>
        <x:v>0</x:v>
      </x:c>
      <x:c r="U116" t="n">
        <x:f>--(I116=$K116)</x:f>
        <x:v>0</x:v>
      </x:c>
      <x:c r="V116" t="n">
        <x:f>--(J116=$K116)</x:f>
        <x:v>0</x:v>
      </x:c>
    </x:row>
    <x:row r="117" ht="18" customHeight="1">
      <x:c r="A117" t="str">
        <x:v>bpps_d10000n50m5w1500_3000s1000_2000f1_seed1</x:v>
      </x:c>
      <x:c r="B117" s="16" t="n">
        <x:v>50</x:v>
      </x:c>
      <x:c r="C117" s="16" t="n">
        <x:v>5</x:v>
      </x:c>
      <x:c r="D117" s="16" t="n">
        <x:v>10000</x:v>
      </x:c>
      <x:c r="E117" s="16" t="n">
        <x:v>124</x:v>
      </x:c>
      <x:c r="F117" s="12" t="n">
        <x:v>208</x:v>
      </x:c>
      <x:c r="G117" s="12" t="n">
        <x:v>269</x:v>
      </x:c>
      <x:c r="H117" s="12" t="n">
        <x:v>290</x:v>
      </x:c>
      <x:c r="I117" s="12" t="n">
        <x:v>295</x:v>
      </x:c>
      <x:c r="J117" s="12" t="n">
        <x:v>220</x:v>
      </x:c>
      <x:c r="K117" s="12" t="n">
        <x:f>MIN(F117:J117)</x:f>
        <x:v>208</x:v>
      </x:c>
      <x:c r="L117" t="str">
        <x:f>TEXTJOIN(", ",TRUE,IF(F117=K117,"IG",""),IF(G117=K117,"FFD",""),IF(H117=K117,"BFD",""),IF(I117=K117,"WFD",""),IF(J117=K117,"CTP",""))</x:f>
        <x:v>IG</x:v>
      </x:c>
      <x:c r="M117" s="14" t="n">
        <x:f>IFERROR((F117-$K117)/$K117,"")</x:f>
        <x:v>0</x:v>
      </x:c>
      <x:c r="N117" s="14" t="n">
        <x:f>IFERROR((G117-$K117)/$K117,"")</x:f>
        <x:v>0.2932692307692308</x:v>
      </x:c>
      <x:c r="O117" s="14" t="n">
        <x:f>IFERROR((H117-$K117)/$K117,"")</x:f>
        <x:v>0.3942307692307692</x:v>
      </x:c>
      <x:c r="P117" s="14" t="n">
        <x:f>IFERROR((I117-$K117)/$K117,"")</x:f>
        <x:v>0.4182692307692308</x:v>
      </x:c>
      <x:c r="Q117" s="14" t="n">
        <x:f>IFERROR((J117-$K117)/$K117,"")</x:f>
        <x:v>0.057692307692307696</x:v>
      </x:c>
      <x:c r="R117" t="n">
        <x:f>--(F117=$K117)</x:f>
        <x:v>1</x:v>
      </x:c>
      <x:c r="S117" t="n">
        <x:f>--(G117=$K117)</x:f>
        <x:v>0</x:v>
      </x:c>
      <x:c r="T117" t="n">
        <x:f>--(H117=$K117)</x:f>
        <x:v>0</x:v>
      </x:c>
      <x:c r="U117" t="n">
        <x:f>--(I117=$K117)</x:f>
        <x:v>0</x:v>
      </x:c>
      <x:c r="V117" t="n">
        <x:f>--(J117=$K117)</x:f>
        <x:v>0</x:v>
      </x:c>
    </x:row>
    <x:row r="118" ht="18" customHeight="1">
      <x:c r="A118" t="str">
        <x:v>bpps_d10000n50m5w1500_3000s100_1000f0_seed0</x:v>
      </x:c>
      <x:c r="B118" s="16" t="n">
        <x:v>50</x:v>
      </x:c>
      <x:c r="C118" s="16" t="n">
        <x:v>5</x:v>
      </x:c>
      <x:c r="D118" s="16" t="n">
        <x:v>10000</x:v>
      </x:c>
      <x:c r="E118" s="16" t="n">
        <x:v>116</x:v>
      </x:c>
      <x:c r="F118" s="12" t="n">
        <x:v>14</x:v>
      </x:c>
      <x:c r="G118" s="12" t="n">
        <x:v>15</x:v>
      </x:c>
      <x:c r="H118" s="12" t="n">
        <x:v>14</x:v>
      </x:c>
      <x:c r="I118" s="12" t="n">
        <x:v>15</x:v>
      </x:c>
      <x:c r="J118" s="12" t="n">
        <x:v>14</x:v>
      </x:c>
      <x:c r="K118" s="12" t="n">
        <x:f>MIN(F118:J118)</x:f>
        <x:v>14</x:v>
      </x:c>
      <x:c r="L118" t="str">
        <x:f>TEXTJOIN(", ",TRUE,IF(F118=K118,"IG",""),IF(G118=K118,"FFD",""),IF(H118=K118,"BFD",""),IF(I118=K118,"WFD",""),IF(J118=K118,"CTP",""))</x:f>
        <x:v>IG, BFD, CTP</x:v>
      </x:c>
      <x:c r="M118" s="14" t="n">
        <x:f>IFERROR((F118-$K118)/$K118,"")</x:f>
        <x:v>0</x:v>
      </x:c>
      <x:c r="N118" s="14" t="n">
        <x:f>IFERROR((G118-$K118)/$K118,"")</x:f>
        <x:v>0.07142857142857142</x:v>
      </x:c>
      <x:c r="O118" s="14" t="n">
        <x:f>IFERROR((H118-$K118)/$K118,"")</x:f>
        <x:v>0</x:v>
      </x:c>
      <x:c r="P118" s="14" t="n">
        <x:f>IFERROR((I118-$K118)/$K118,"")</x:f>
        <x:v>0.07142857142857142</x:v>
      </x:c>
      <x:c r="Q118" s="14" t="n">
        <x:f>IFERROR((J118-$K118)/$K118,"")</x:f>
        <x:v>0</x:v>
      </x:c>
      <x:c r="R118" t="n">
        <x:f>--(F118=$K118)</x:f>
        <x:v>1</x:v>
      </x:c>
      <x:c r="S118" t="n">
        <x:f>--(G118=$K118)</x:f>
        <x:v>0</x:v>
      </x:c>
      <x:c r="T118" t="n">
        <x:f>--(H118=$K118)</x:f>
        <x:v>1</x:v>
      </x:c>
      <x:c r="U118" t="n">
        <x:f>--(I118=$K118)</x:f>
        <x:v>0</x:v>
      </x:c>
      <x:c r="V118" t="n">
        <x:f>--(J118=$K118)</x:f>
        <x:v>1</x:v>
      </x:c>
    </x:row>
    <x:row r="119" ht="18" customHeight="1">
      <x:c r="A119" t="str">
        <x:v>bpps_d10000n50m5w1500_3000s100_1000f0_seed1</x:v>
      </x:c>
      <x:c r="B119" s="16" t="n">
        <x:v>50</x:v>
      </x:c>
      <x:c r="C119" s="16" t="n">
        <x:v>5</x:v>
      </x:c>
      <x:c r="D119" s="16" t="n">
        <x:v>10000</x:v>
      </x:c>
      <x:c r="E119" s="16" t="n">
        <x:v>126</x:v>
      </x:c>
      <x:c r="F119" s="12" t="n">
        <x:v>14</x:v>
      </x:c>
      <x:c r="G119" s="12" t="n">
        <x:v>14</x:v>
      </x:c>
      <x:c r="H119" s="12" t="n">
        <x:v>14</x:v>
      </x:c>
      <x:c r="I119" s="12" t="n">
        <x:v>15</x:v>
      </x:c>
      <x:c r="J119" s="12" t="n">
        <x:v>14</x:v>
      </x:c>
      <x:c r="K119" s="12" t="n">
        <x:f>MIN(F119:J119)</x:f>
        <x:v>14</x:v>
      </x:c>
      <x:c r="L119" t="str">
        <x:f>TEXTJOIN(", ",TRUE,IF(F119=K119,"IG",""),IF(G119=K119,"FFD",""),IF(H119=K119,"BFD",""),IF(I119=K119,"WFD",""),IF(J119=K119,"CTP",""))</x:f>
        <x:v>IG, FFD, BFD, CTP</x:v>
      </x:c>
      <x:c r="M119" s="14" t="n">
        <x:f>IFERROR((F119-$K119)/$K119,"")</x:f>
        <x:v>0</x:v>
      </x:c>
      <x:c r="N119" s="14" t="n">
        <x:f>IFERROR((G119-$K119)/$K119,"")</x:f>
        <x:v>0</x:v>
      </x:c>
      <x:c r="O119" s="14" t="n">
        <x:f>IFERROR((H119-$K119)/$K119,"")</x:f>
        <x:v>0</x:v>
      </x:c>
      <x:c r="P119" s="14" t="n">
        <x:f>IFERROR((I119-$K119)/$K119,"")</x:f>
        <x:v>0.07142857142857142</x:v>
      </x:c>
      <x:c r="Q119" s="14" t="n">
        <x:f>IFERROR((J119-$K119)/$K119,"")</x:f>
        <x:v>0</x:v>
      </x:c>
      <x:c r="R119" t="n">
        <x:f>--(F119=$K119)</x:f>
        <x:v>1</x:v>
      </x:c>
      <x:c r="S119" t="n">
        <x:f>--(G119=$K119)</x:f>
        <x:v>1</x:v>
      </x:c>
      <x:c r="T119" t="n">
        <x:f>--(H119=$K119)</x:f>
        <x:v>1</x:v>
      </x:c>
      <x:c r="U119" t="n">
        <x:f>--(I119=$K119)</x:f>
        <x:v>0</x:v>
      </x:c>
      <x:c r="V119" t="n">
        <x:f>--(J119=$K119)</x:f>
        <x:v>1</x:v>
      </x:c>
    </x:row>
    <x:row r="120" ht="18" customHeight="1">
      <x:c r="A120" t="str">
        <x:v>bpps_d10000n50m5w1500_3000s100_1000f1_seed0</x:v>
      </x:c>
      <x:c r="B120" s="16" t="n">
        <x:v>50</x:v>
      </x:c>
      <x:c r="C120" s="16" t="n">
        <x:v>5</x:v>
      </x:c>
      <x:c r="D120" s="16" t="n">
        <x:v>10000</x:v>
      </x:c>
      <x:c r="E120" s="16" t="n">
        <x:v>122</x:v>
      </x:c>
      <x:c r="F120" s="12" t="n">
        <x:v>201</x:v>
      </x:c>
      <x:c r="G120" s="12" t="n">
        <x:v>318</x:v>
      </x:c>
      <x:c r="H120" s="12" t="n">
        <x:v>321</x:v>
      </x:c>
      <x:c r="I120" s="12" t="n">
        <x:v>308</x:v>
      </x:c>
      <x:c r="J120" s="12" t="n">
        <x:v>216</x:v>
      </x:c>
      <x:c r="K120" s="12" t="n">
        <x:f>MIN(F120:J120)</x:f>
        <x:v>201</x:v>
      </x:c>
      <x:c r="L120" t="str">
        <x:f>TEXTJOIN(", ",TRUE,IF(F120=K120,"IG",""),IF(G120=K120,"FFD",""),IF(H120=K120,"BFD",""),IF(I120=K120,"WFD",""),IF(J120=K120,"CTP",""))</x:f>
        <x:v>IG</x:v>
      </x:c>
      <x:c r="M120" s="14" t="n">
        <x:f>IFERROR((F120-$K120)/$K120,"")</x:f>
        <x:v>0</x:v>
      </x:c>
      <x:c r="N120" s="14" t="n">
        <x:f>IFERROR((G120-$K120)/$K120,"")</x:f>
        <x:v>0.582089552238806</x:v>
      </x:c>
      <x:c r="O120" s="14" t="n">
        <x:f>IFERROR((H120-$K120)/$K120,"")</x:f>
        <x:v>0.5970149253731343</x:v>
      </x:c>
      <x:c r="P120" s="14" t="n">
        <x:f>IFERROR((I120-$K120)/$K120,"")</x:f>
        <x:v>0.5323383084577115</x:v>
      </x:c>
      <x:c r="Q120" s="14" t="n">
        <x:f>IFERROR((J120-$K120)/$K120,"")</x:f>
        <x:v>0.07462686567164178</x:v>
      </x:c>
      <x:c r="R120" t="n">
        <x:f>--(F120=$K120)</x:f>
        <x:v>1</x:v>
      </x:c>
      <x:c r="S120" t="n">
        <x:f>--(G120=$K120)</x:f>
        <x:v>0</x:v>
      </x:c>
      <x:c r="T120" t="n">
        <x:f>--(H120=$K120)</x:f>
        <x:v>0</x:v>
      </x:c>
      <x:c r="U120" t="n">
        <x:f>--(I120=$K120)</x:f>
        <x:v>0</x:v>
      </x:c>
      <x:c r="V120" t="n">
        <x:f>--(J120=$K120)</x:f>
        <x:v>0</x:v>
      </x:c>
    </x:row>
    <x:row r="121" ht="18" customHeight="1">
      <x:c r="A121" t="str">
        <x:v>bpps_d10000n50m5w1500_3000s100_1000f1_seed1</x:v>
      </x:c>
      <x:c r="B121" s="16" t="n">
        <x:v>50</x:v>
      </x:c>
      <x:c r="C121" s="16" t="n">
        <x:v>5</x:v>
      </x:c>
      <x:c r="D121" s="16" t="n">
        <x:v>10000</x:v>
      </x:c>
      <x:c r="E121" s="16" t="n">
        <x:v>115</x:v>
      </x:c>
      <x:c r="F121" s="12" t="n">
        <x:v>188</x:v>
      </x:c>
      <x:c r="G121" s="12" t="n">
        <x:v>257</x:v>
      </x:c>
      <x:c r="H121" s="12" t="n">
        <x:v>252</x:v>
      </x:c>
      <x:c r="I121" s="12" t="n">
        <x:v>254</x:v>
      </x:c>
      <x:c r="J121" s="12" t="n">
        <x:v>198</x:v>
      </x:c>
      <x:c r="K121" s="12" t="n">
        <x:f>MIN(F121:J121)</x:f>
        <x:v>188</x:v>
      </x:c>
      <x:c r="L121" t="str">
        <x:f>TEXTJOIN(", ",TRUE,IF(F121=K121,"IG",""),IF(G121=K121,"FFD",""),IF(H121=K121,"BFD",""),IF(I121=K121,"WFD",""),IF(J121=K121,"CTP",""))</x:f>
        <x:v>IG</x:v>
      </x:c>
      <x:c r="M121" s="14" t="n">
        <x:f>IFERROR((F121-$K121)/$K121,"")</x:f>
        <x:v>0</x:v>
      </x:c>
      <x:c r="N121" s="14" t="n">
        <x:f>IFERROR((G121-$K121)/$K121,"")</x:f>
        <x:v>0.3670212765957447</x:v>
      </x:c>
      <x:c r="O121" s="14" t="n">
        <x:f>IFERROR((H121-$K121)/$K121,"")</x:f>
        <x:v>0.3404255319148936</x:v>
      </x:c>
      <x:c r="P121" s="14" t="n">
        <x:f>IFERROR((I121-$K121)/$K121,"")</x:f>
        <x:v>0.35106382978723405</x:v>
      </x:c>
      <x:c r="Q121" s="14" t="n">
        <x:f>IFERROR((J121-$K121)/$K121,"")</x:f>
        <x:v>0.05319148936170213</x:v>
      </x:c>
      <x:c r="R121" t="n">
        <x:f>--(F121=$K121)</x:f>
        <x:v>1</x:v>
      </x:c>
      <x:c r="S121" t="n">
        <x:f>--(G121=$K121)</x:f>
        <x:v>0</x:v>
      </x:c>
      <x:c r="T121" t="n">
        <x:f>--(H121=$K121)</x:f>
        <x:v>0</x:v>
      </x:c>
      <x:c r="U121" t="n">
        <x:f>--(I121=$K121)</x:f>
        <x:v>0</x:v>
      </x:c>
      <x:c r="V121" t="n">
        <x:f>--(J121=$K121)</x:f>
        <x:v>0</x:v>
      </x:c>
    </x:row>
    <x:row r="122" ht="18" customHeight="1">
      <x:c r="A122" t="str">
        <x:v>bpps_d10000n50m5w500_1500s1000_2000f0_seed0</x:v>
      </x:c>
      <x:c r="B122" s="16" t="n">
        <x:v>50</x:v>
      </x:c>
      <x:c r="C122" s="16" t="n">
        <x:v>5</x:v>
      </x:c>
      <x:c r="D122" s="16" t="n">
        <x:v>10000</x:v>
      </x:c>
      <x:c r="E122" s="16" t="n">
        <x:v>109</x:v>
      </x:c>
      <x:c r="F122" s="12" t="n">
        <x:v>8</x:v>
      </x:c>
      <x:c r="G122" s="12" t="n">
        <x:v>10</x:v>
      </x:c>
      <x:c r="H122" s="12" t="n">
        <x:v>10</x:v>
      </x:c>
      <x:c r="I122" s="12" t="n">
        <x:v>10</x:v>
      </x:c>
      <x:c r="J122" s="12" t="n">
        <x:v>8</x:v>
      </x:c>
      <x:c r="K122" s="12" t="n">
        <x:f>MIN(F122:J122)</x:f>
        <x:v>8</x:v>
      </x:c>
      <x:c r="L122" t="str">
        <x:f>TEXTJOIN(", ",TRUE,IF(F122=K122,"IG",""),IF(G122=K122,"FFD",""),IF(H122=K122,"BFD",""),IF(I122=K122,"WFD",""),IF(J122=K122,"CTP",""))</x:f>
        <x:v>IG, CTP</x:v>
      </x:c>
      <x:c r="M122" s="14" t="n">
        <x:f>IFERROR((F122-$K122)/$K122,"")</x:f>
        <x:v>0</x:v>
      </x:c>
      <x:c r="N122" s="14" t="n">
        <x:f>IFERROR((G122-$K122)/$K122,"")</x:f>
        <x:v>0.25</x:v>
      </x:c>
      <x:c r="O122" s="14" t="n">
        <x:f>IFERROR((H122-$K122)/$K122,"")</x:f>
        <x:v>0.25</x:v>
      </x:c>
      <x:c r="P122" s="14" t="n">
        <x:f>IFERROR((I122-$K122)/$K122,"")</x:f>
        <x:v>0.25</x:v>
      </x:c>
      <x:c r="Q122" s="14" t="n">
        <x:f>IFERROR((J122-$K122)/$K122,"")</x:f>
        <x:v>0</x:v>
      </x:c>
      <x:c r="R122" t="n">
        <x:f>--(F122=$K122)</x:f>
        <x:v>1</x:v>
      </x:c>
      <x:c r="S122" t="n">
        <x:f>--(G122=$K122)</x:f>
        <x:v>0</x:v>
      </x:c>
      <x:c r="T122" t="n">
        <x:f>--(H122=$K122)</x:f>
        <x:v>0</x:v>
      </x:c>
      <x:c r="U122" t="n">
        <x:f>--(I122=$K122)</x:f>
        <x:v>0</x:v>
      </x:c>
      <x:c r="V122" t="n">
        <x:f>--(J122=$K122)</x:f>
        <x:v>1</x:v>
      </x:c>
    </x:row>
    <x:row r="123" ht="18" customHeight="1">
      <x:c r="A123" t="str">
        <x:v>bpps_d10000n50m5w500_1500s1000_2000f0_seed1</x:v>
      </x:c>
      <x:c r="B123" s="16" t="n">
        <x:v>50</x:v>
      </x:c>
      <x:c r="C123" s="16" t="n">
        <x:v>5</x:v>
      </x:c>
      <x:c r="D123" s="16" t="n">
        <x:v>10000</x:v>
      </x:c>
      <x:c r="E123" s="16" t="n">
        <x:v>120</x:v>
      </x:c>
      <x:c r="F123" s="12" t="n">
        <x:v>8</x:v>
      </x:c>
      <x:c r="G123" s="12" t="n">
        <x:v>9</x:v>
      </x:c>
      <x:c r="H123" s="12" t="n">
        <x:v>10</x:v>
      </x:c>
      <x:c r="I123" s="12" t="n">
        <x:v>9</x:v>
      </x:c>
      <x:c r="J123" s="12" t="n">
        <x:v>9</x:v>
      </x:c>
      <x:c r="K123" s="12" t="n">
        <x:f>MIN(F123:J123)</x:f>
        <x:v>8</x:v>
      </x:c>
      <x:c r="L123" t="str">
        <x:f>TEXTJOIN(", ",TRUE,IF(F123=K123,"IG",""),IF(G123=K123,"FFD",""),IF(H123=K123,"BFD",""),IF(I123=K123,"WFD",""),IF(J123=K123,"CTP",""))</x:f>
        <x:v>IG</x:v>
      </x:c>
      <x:c r="M123" s="14" t="n">
        <x:f>IFERROR((F123-$K123)/$K123,"")</x:f>
        <x:v>0</x:v>
      </x:c>
      <x:c r="N123" s="14" t="n">
        <x:f>IFERROR((G123-$K123)/$K123,"")</x:f>
        <x:v>0.125</x:v>
      </x:c>
      <x:c r="O123" s="14" t="n">
        <x:f>IFERROR((H123-$K123)/$K123,"")</x:f>
        <x:v>0.25</x:v>
      </x:c>
      <x:c r="P123" s="14" t="n">
        <x:f>IFERROR((I123-$K123)/$K123,"")</x:f>
        <x:v>0.125</x:v>
      </x:c>
      <x:c r="Q123" s="14" t="n">
        <x:f>IFERROR((J123-$K123)/$K123,"")</x:f>
        <x:v>0.125</x:v>
      </x:c>
      <x:c r="R123" t="n">
        <x:f>--(F123=$K123)</x:f>
        <x:v>1</x:v>
      </x:c>
      <x:c r="S123" t="n">
        <x:f>--(G123=$K123)</x:f>
        <x:v>0</x:v>
      </x:c>
      <x:c r="T123" t="n">
        <x:f>--(H123=$K123)</x:f>
        <x:v>0</x:v>
      </x:c>
      <x:c r="U123" t="n">
        <x:f>--(I123=$K123)</x:f>
        <x:v>0</x:v>
      </x:c>
      <x:c r="V123" t="n">
        <x:f>--(J123=$K123)</x:f>
        <x:v>0</x:v>
      </x:c>
    </x:row>
    <x:row r="124" ht="18" customHeight="1">
      <x:c r="A124" t="str">
        <x:v>bpps_d10000n50m5w500_1500s1000_2000f1_seed0</x:v>
      </x:c>
      <x:c r="B124" s="16" t="n">
        <x:v>50</x:v>
      </x:c>
      <x:c r="C124" s="16" t="n">
        <x:v>5</x:v>
      </x:c>
      <x:c r="D124" s="16" t="n">
        <x:v>10000</x:v>
      </x:c>
      <x:c r="E124" s="16" t="n">
        <x:v>132</x:v>
      </x:c>
      <x:c r="F124" s="12" t="n">
        <x:v>117</x:v>
      </x:c>
      <x:c r="G124" s="12" t="n">
        <x:v>189</x:v>
      </x:c>
      <x:c r="H124" s="12" t="n">
        <x:v>194</x:v>
      </x:c>
      <x:c r="I124" s="12" t="n">
        <x:v>192</x:v>
      </x:c>
      <x:c r="J124" s="12" t="n">
        <x:v>132</x:v>
      </x:c>
      <x:c r="K124" s="12" t="n">
        <x:f>MIN(F124:J124)</x:f>
        <x:v>117</x:v>
      </x:c>
      <x:c r="L124" t="str">
        <x:f>TEXTJOIN(", ",TRUE,IF(F124=K124,"IG",""),IF(G124=K124,"FFD",""),IF(H124=K124,"BFD",""),IF(I124=K124,"WFD",""),IF(J124=K124,"CTP",""))</x:f>
        <x:v>IG</x:v>
      </x:c>
      <x:c r="M124" s="14" t="n">
        <x:f>IFERROR((F124-$K124)/$K124,"")</x:f>
        <x:v>0</x:v>
      </x:c>
      <x:c r="N124" s="14" t="n">
        <x:f>IFERROR((G124-$K124)/$K124,"")</x:f>
        <x:v>0.6153846153846154</x:v>
      </x:c>
      <x:c r="O124" s="14" t="n">
        <x:f>IFERROR((H124-$K124)/$K124,"")</x:f>
        <x:v>0.6581196581196581</x:v>
      </x:c>
      <x:c r="P124" s="14" t="n">
        <x:f>IFERROR((I124-$K124)/$K124,"")</x:f>
        <x:v>0.6410256410256411</x:v>
      </x:c>
      <x:c r="Q124" s="14" t="n">
        <x:f>IFERROR((J124-$K124)/$K124,"")</x:f>
        <x:v>0.1282051282051282</x:v>
      </x:c>
      <x:c r="R124" t="n">
        <x:f>--(F124=$K124)</x:f>
        <x:v>1</x:v>
      </x:c>
      <x:c r="S124" t="n">
        <x:f>--(G124=$K124)</x:f>
        <x:v>0</x:v>
      </x:c>
      <x:c r="T124" t="n">
        <x:f>--(H124=$K124)</x:f>
        <x:v>0</x:v>
      </x:c>
      <x:c r="U124" t="n">
        <x:f>--(I124=$K124)</x:f>
        <x:v>0</x:v>
      </x:c>
      <x:c r="V124" t="n">
        <x:f>--(J124=$K124)</x:f>
        <x:v>0</x:v>
      </x:c>
    </x:row>
    <x:row r="125" ht="18" customHeight="1">
      <x:c r="A125" t="str">
        <x:v>bpps_d10000n50m5w500_1500s1000_2000f1_seed1</x:v>
      </x:c>
      <x:c r="B125" s="16" t="n">
        <x:v>50</x:v>
      </x:c>
      <x:c r="C125" s="16" t="n">
        <x:v>5</x:v>
      </x:c>
      <x:c r="D125" s="16" t="n">
        <x:v>10000</x:v>
      </x:c>
      <x:c r="E125" s="16" t="n">
        <x:v>115</x:v>
      </x:c>
      <x:c r="F125" s="12" t="n">
        <x:v>113</x:v>
      </x:c>
      <x:c r="G125" s="12" t="n">
        <x:v>196</x:v>
      </x:c>
      <x:c r="H125" s="12" t="n">
        <x:v>201</x:v>
      </x:c>
      <x:c r="I125" s="12" t="n">
        <x:v>193</x:v>
      </x:c>
      <x:c r="J125" s="12" t="n">
        <x:v>123</x:v>
      </x:c>
      <x:c r="K125" s="12" t="n">
        <x:f>MIN(F125:J125)</x:f>
        <x:v>113</x:v>
      </x:c>
      <x:c r="L125" t="str">
        <x:f>TEXTJOIN(", ",TRUE,IF(F125=K125,"IG",""),IF(G125=K125,"FFD",""),IF(H125=K125,"BFD",""),IF(I125=K125,"WFD",""),IF(J125=K125,"CTP",""))</x:f>
        <x:v>IG</x:v>
      </x:c>
      <x:c r="M125" s="14" t="n">
        <x:f>IFERROR((F125-$K125)/$K125,"")</x:f>
        <x:v>0</x:v>
      </x:c>
      <x:c r="N125" s="14" t="n">
        <x:f>IFERROR((G125-$K125)/$K125,"")</x:f>
        <x:v>0.7345132743362832</x:v>
      </x:c>
      <x:c r="O125" s="14" t="n">
        <x:f>IFERROR((H125-$K125)/$K125,"")</x:f>
        <x:v>0.7787610619469026</x:v>
      </x:c>
      <x:c r="P125" s="14" t="n">
        <x:f>IFERROR((I125-$K125)/$K125,"")</x:f>
        <x:v>0.7079646017699115</x:v>
      </x:c>
      <x:c r="Q125" s="14" t="n">
        <x:f>IFERROR((J125-$K125)/$K125,"")</x:f>
        <x:v>0.08849557522123894</x:v>
      </x:c>
      <x:c r="R125" t="n">
        <x:f>--(F125=$K125)</x:f>
        <x:v>1</x:v>
      </x:c>
      <x:c r="S125" t="n">
        <x:f>--(G125=$K125)</x:f>
        <x:v>0</x:v>
      </x:c>
      <x:c r="T125" t="n">
        <x:f>--(H125=$K125)</x:f>
        <x:v>0</x:v>
      </x:c>
      <x:c r="U125" t="n">
        <x:f>--(I125=$K125)</x:f>
        <x:v>0</x:v>
      </x:c>
      <x:c r="V125" t="n">
        <x:f>--(J125=$K125)</x:f>
        <x:v>0</x:v>
      </x:c>
    </x:row>
    <x:row r="126" ht="18" customHeight="1">
      <x:c r="A126" t="str">
        <x:v>bpps_d10000n50m5w500_1500s100_1000f0_seed0</x:v>
      </x:c>
      <x:c r="B126" s="16" t="n">
        <x:v>50</x:v>
      </x:c>
      <x:c r="C126" s="16" t="n">
        <x:v>5</x:v>
      </x:c>
      <x:c r="D126" s="16" t="n">
        <x:v>10000</x:v>
      </x:c>
      <x:c r="E126" s="16" t="n">
        <x:v>107</x:v>
      </x:c>
      <x:c r="F126" s="12" t="n">
        <x:v>7</x:v>
      </x:c>
      <x:c r="G126" s="12" t="n">
        <x:v>8</x:v>
      </x:c>
      <x:c r="H126" s="12" t="n">
        <x:v>8</x:v>
      </x:c>
      <x:c r="I126" s="12" t="n">
        <x:v>8</x:v>
      </x:c>
      <x:c r="J126" s="12" t="n">
        <x:v>8</x:v>
      </x:c>
      <x:c r="K126" s="12" t="n">
        <x:f>MIN(F126:J126)</x:f>
        <x:v>7</x:v>
      </x:c>
      <x:c r="L126" t="str">
        <x:f>TEXTJOIN(", ",TRUE,IF(F126=K126,"IG",""),IF(G126=K126,"FFD",""),IF(H126=K126,"BFD",""),IF(I126=K126,"WFD",""),IF(J126=K126,"CTP",""))</x:f>
        <x:v>IG</x:v>
      </x:c>
      <x:c r="M126" s="14" t="n">
        <x:f>IFERROR((F126-$K126)/$K126,"")</x:f>
        <x:v>0</x:v>
      </x:c>
      <x:c r="N126" s="14" t="n">
        <x:f>IFERROR((G126-$K126)/$K126,"")</x:f>
        <x:v>0.14285714285714285</x:v>
      </x:c>
      <x:c r="O126" s="14" t="n">
        <x:f>IFERROR((H126-$K126)/$K126,"")</x:f>
        <x:v>0.14285714285714285</x:v>
      </x:c>
      <x:c r="P126" s="14" t="n">
        <x:f>IFERROR((I126-$K126)/$K126,"")</x:f>
        <x:v>0.14285714285714285</x:v>
      </x:c>
      <x:c r="Q126" s="14" t="n">
        <x:f>IFERROR((J126-$K126)/$K126,"")</x:f>
        <x:v>0.14285714285714285</x:v>
      </x:c>
      <x:c r="R126" t="n">
        <x:f>--(F126=$K126)</x:f>
        <x:v>1</x:v>
      </x:c>
      <x:c r="S126" t="n">
        <x:f>--(G126=$K126)</x:f>
        <x:v>0</x:v>
      </x:c>
      <x:c r="T126" t="n">
        <x:f>--(H126=$K126)</x:f>
        <x:v>0</x:v>
      </x:c>
      <x:c r="U126" t="n">
        <x:f>--(I126=$K126)</x:f>
        <x:v>0</x:v>
      </x:c>
      <x:c r="V126" t="n">
        <x:f>--(J126=$K126)</x:f>
        <x:v>0</x:v>
      </x:c>
    </x:row>
    <x:row r="127" ht="18" customHeight="1">
      <x:c r="A127" t="str">
        <x:v>bpps_d10000n50m5w500_1500s100_1000f0_seed1</x:v>
      </x:c>
      <x:c r="B127" s="16" t="n">
        <x:v>50</x:v>
      </x:c>
      <x:c r="C127" s="16" t="n">
        <x:v>5</x:v>
      </x:c>
      <x:c r="D127" s="16" t="n">
        <x:v>10000</x:v>
      </x:c>
      <x:c r="E127" s="16" t="n">
        <x:v>124</x:v>
      </x:c>
      <x:c r="F127" s="12" t="n">
        <x:v>7</x:v>
      </x:c>
      <x:c r="G127" s="12" t="n">
        <x:v>7</x:v>
      </x:c>
      <x:c r="H127" s="12" t="n">
        <x:v>7</x:v>
      </x:c>
      <x:c r="I127" s="12" t="n">
        <x:v>7</x:v>
      </x:c>
      <x:c r="J127" s="12" t="n">
        <x:v>7</x:v>
      </x:c>
      <x:c r="K127" s="12" t="n">
        <x:f>MIN(F127:J127)</x:f>
        <x:v>7</x:v>
      </x:c>
      <x:c r="L127" t="str">
        <x:f>TEXTJOIN(", ",TRUE,IF(F127=K127,"IG",""),IF(G127=K127,"FFD",""),IF(H127=K127,"BFD",""),IF(I127=K127,"WFD",""),IF(J127=K127,"CTP",""))</x:f>
        <x:v>IG, FFD, BFD, WFD, CTP</x:v>
      </x:c>
      <x:c r="M127" s="14" t="n">
        <x:f>IFERROR((F127-$K127)/$K127,"")</x:f>
        <x:v>0</x:v>
      </x:c>
      <x:c r="N127" s="14" t="n">
        <x:f>IFERROR((G127-$K127)/$K127,"")</x:f>
        <x:v>0</x:v>
      </x:c>
      <x:c r="O127" s="14" t="n">
        <x:f>IFERROR((H127-$K127)/$K127,"")</x:f>
        <x:v>0</x:v>
      </x:c>
      <x:c r="P127" s="14" t="n">
        <x:f>IFERROR((I127-$K127)/$K127,"")</x:f>
        <x:v>0</x:v>
      </x:c>
      <x:c r="Q127" s="14" t="n">
        <x:f>IFERROR((J127-$K127)/$K127,"")</x:f>
        <x:v>0</x:v>
      </x:c>
      <x:c r="R127" t="n">
        <x:f>--(F127=$K127)</x:f>
        <x:v>1</x:v>
      </x:c>
      <x:c r="S127" t="n">
        <x:f>--(G127=$K127)</x:f>
        <x:v>1</x:v>
      </x:c>
      <x:c r="T127" t="n">
        <x:f>--(H127=$K127)</x:f>
        <x:v>1</x:v>
      </x:c>
      <x:c r="U127" t="n">
        <x:f>--(I127=$K127)</x:f>
        <x:v>1</x:v>
      </x:c>
      <x:c r="V127" t="n">
        <x:f>--(J127=$K127)</x:f>
        <x:v>1</x:v>
      </x:c>
    </x:row>
    <x:row r="128" ht="18" customHeight="1">
      <x:c r="A128" t="str">
        <x:v>bpps_d10000n50m5w500_1500s100_1000f1_seed0</x:v>
      </x:c>
      <x:c r="B128" s="16" t="n">
        <x:v>50</x:v>
      </x:c>
      <x:c r="C128" s="16" t="n">
        <x:v>5</x:v>
      </x:c>
      <x:c r="D128" s="16" t="n">
        <x:v>10000</x:v>
      </x:c>
      <x:c r="E128" s="16" t="n">
        <x:v>114</x:v>
      </x:c>
      <x:c r="F128" s="12" t="n">
        <x:v>104</x:v>
      </x:c>
      <x:c r="G128" s="12" t="n">
        <x:v>178</x:v>
      </x:c>
      <x:c r="H128" s="12" t="n">
        <x:v>178</x:v>
      </x:c>
      <x:c r="I128" s="12" t="n">
        <x:v>172</x:v>
      </x:c>
      <x:c r="J128" s="12" t="n">
        <x:v>119</x:v>
      </x:c>
      <x:c r="K128" s="12" t="n">
        <x:f>MIN(F128:J128)</x:f>
        <x:v>104</x:v>
      </x:c>
      <x:c r="L128" t="str">
        <x:f>TEXTJOIN(", ",TRUE,IF(F128=K128,"IG",""),IF(G128=K128,"FFD",""),IF(H128=K128,"BFD",""),IF(I128=K128,"WFD",""),IF(J128=K128,"CTP",""))</x:f>
        <x:v>IG</x:v>
      </x:c>
      <x:c r="M128" s="14" t="n">
        <x:f>IFERROR((F128-$K128)/$K128,"")</x:f>
        <x:v>0</x:v>
      </x:c>
      <x:c r="N128" s="14" t="n">
        <x:f>IFERROR((G128-$K128)/$K128,"")</x:f>
        <x:v>0.7115384615384616</x:v>
      </x:c>
      <x:c r="O128" s="14" t="n">
        <x:f>IFERROR((H128-$K128)/$K128,"")</x:f>
        <x:v>0.7115384615384616</x:v>
      </x:c>
      <x:c r="P128" s="14" t="n">
        <x:f>IFERROR((I128-$K128)/$K128,"")</x:f>
        <x:v>0.6538461538461539</x:v>
      </x:c>
      <x:c r="Q128" s="14" t="n">
        <x:f>IFERROR((J128-$K128)/$K128,"")</x:f>
        <x:v>0.14423076923076922</x:v>
      </x:c>
      <x:c r="R128" t="n">
        <x:f>--(F128=$K128)</x:f>
        <x:v>1</x:v>
      </x:c>
      <x:c r="S128" t="n">
        <x:f>--(G128=$K128)</x:f>
        <x:v>0</x:v>
      </x:c>
      <x:c r="T128" t="n">
        <x:f>--(H128=$K128)</x:f>
        <x:v>0</x:v>
      </x:c>
      <x:c r="U128" t="n">
        <x:f>--(I128=$K128)</x:f>
        <x:v>0</x:v>
      </x:c>
      <x:c r="V128" t="n">
        <x:f>--(J128=$K128)</x:f>
        <x:v>0</x:v>
      </x:c>
    </x:row>
    <x:row r="129" ht="18" customHeight="1">
      <x:c r="A129" t="str">
        <x:v>bpps_d10000n50m5w500_1500s100_1000f1_seed1</x:v>
      </x:c>
      <x:c r="B129" s="16" t="n">
        <x:v>50</x:v>
      </x:c>
      <x:c r="C129" s="16" t="n">
        <x:v>5</x:v>
      </x:c>
      <x:c r="D129" s="16" t="n">
        <x:v>10000</x:v>
      </x:c>
      <x:c r="E129" s="16" t="n">
        <x:v>122</x:v>
      </x:c>
      <x:c r="F129" s="12" t="n">
        <x:v>107</x:v>
      </x:c>
      <x:c r="G129" s="12" t="n">
        <x:v>177</x:v>
      </x:c>
      <x:c r="H129" s="12" t="n">
        <x:v>173</x:v>
      </x:c>
      <x:c r="I129" s="12" t="n">
        <x:v>161</x:v>
      </x:c>
      <x:c r="J129" s="12" t="n">
        <x:v>131</x:v>
      </x:c>
      <x:c r="K129" s="12" t="n">
        <x:f>MIN(F129:J129)</x:f>
        <x:v>107</x:v>
      </x:c>
      <x:c r="L129" t="str">
        <x:f>TEXTJOIN(", ",TRUE,IF(F129=K129,"IG",""),IF(G129=K129,"FFD",""),IF(H129=K129,"BFD",""),IF(I129=K129,"WFD",""),IF(J129=K129,"CTP",""))</x:f>
        <x:v>IG</x:v>
      </x:c>
      <x:c r="M129" s="14" t="n">
        <x:f>IFERROR((F129-$K129)/$K129,"")</x:f>
        <x:v>0</x:v>
      </x:c>
      <x:c r="N129" s="14" t="n">
        <x:f>IFERROR((G129-$K129)/$K129,"")</x:f>
        <x:v>0.6542056074766355</x:v>
      </x:c>
      <x:c r="O129" s="14" t="n">
        <x:f>IFERROR((H129-$K129)/$K129,"")</x:f>
        <x:v>0.616822429906542</x:v>
      </x:c>
      <x:c r="P129" s="14" t="n">
        <x:f>IFERROR((I129-$K129)/$K129,"")</x:f>
        <x:v>0.5046728971962616</x:v>
      </x:c>
      <x:c r="Q129" s="14" t="n">
        <x:f>IFERROR((J129-$K129)/$K129,"")</x:f>
        <x:v>0.22429906542056074</x:v>
      </x:c>
      <x:c r="R129" t="n">
        <x:f>--(F129=$K129)</x:f>
        <x:v>1</x:v>
      </x:c>
      <x:c r="S129" t="n">
        <x:f>--(G129=$K129)</x:f>
        <x:v>0</x:v>
      </x:c>
      <x:c r="T129" t="n">
        <x:f>--(H129=$K129)</x:f>
        <x:v>0</x:v>
      </x:c>
      <x:c r="U129" t="n">
        <x:f>--(I129=$K129)</x:f>
        <x:v>0</x:v>
      </x:c>
      <x:c r="V129" t="n">
        <x:f>--(J129=$K129)</x:f>
        <x:v>0</x:v>
      </x:c>
    </x:row>
    <x:row r="130" ht="18" customHeight="1">
      <x:c r="A130" t="str">
        <x:v>bpps_d1000n50m10w150_300s100_200f0_seed0</x:v>
      </x:c>
      <x:c r="B130" s="16" t="n">
        <x:v>50</x:v>
      </x:c>
      <x:c r="C130" s="16" t="n">
        <x:v>10</x:v>
      </x:c>
      <x:c r="D130" s="16" t="n">
        <x:v>1000</x:v>
      </x:c>
      <x:c r="E130" s="16" t="n">
        <x:v>113</x:v>
      </x:c>
      <x:c r="F130" s="12" t="n">
        <x:v>17</x:v>
      </x:c>
      <x:c r="G130" s="12" t="n">
        <x:v>20</x:v>
      </x:c>
      <x:c r="H130" s="12" t="n">
        <x:v>20</x:v>
      </x:c>
      <x:c r="I130" s="12" t="n">
        <x:v>20</x:v>
      </x:c>
      <x:c r="J130" s="12" t="n">
        <x:v>17</x:v>
      </x:c>
      <x:c r="K130" s="12" t="n">
        <x:f>MIN(F130:J130)</x:f>
        <x:v>17</x:v>
      </x:c>
      <x:c r="L130" t="str">
        <x:f>TEXTJOIN(", ",TRUE,IF(F130=K130,"IG",""),IF(G130=K130,"FFD",""),IF(H130=K130,"BFD",""),IF(I130=K130,"WFD",""),IF(J130=K130,"CTP",""))</x:f>
        <x:v>IG, CTP</x:v>
      </x:c>
      <x:c r="M130" s="14" t="n">
        <x:f>IFERROR((F130-$K130)/$K130,"")</x:f>
        <x:v>0</x:v>
      </x:c>
      <x:c r="N130" s="14" t="n">
        <x:f>IFERROR((G130-$K130)/$K130,"")</x:f>
        <x:v>0.17647058823529413</x:v>
      </x:c>
      <x:c r="O130" s="14" t="n">
        <x:f>IFERROR((H130-$K130)/$K130,"")</x:f>
        <x:v>0.17647058823529413</x:v>
      </x:c>
      <x:c r="P130" s="14" t="n">
        <x:f>IFERROR((I130-$K130)/$K130,"")</x:f>
        <x:v>0.17647058823529413</x:v>
      </x:c>
      <x:c r="Q130" s="14" t="n">
        <x:f>IFERROR((J130-$K130)/$K130,"")</x:f>
        <x:v>0</x:v>
      </x:c>
      <x:c r="R130" t="n">
        <x:f>--(F130=$K130)</x:f>
        <x:v>1</x:v>
      </x:c>
      <x:c r="S130" t="n">
        <x:f>--(G130=$K130)</x:f>
        <x:v>0</x:v>
      </x:c>
      <x:c r="T130" t="n">
        <x:f>--(H130=$K130)</x:f>
        <x:v>0</x:v>
      </x:c>
      <x:c r="U130" t="n">
        <x:f>--(I130=$K130)</x:f>
        <x:v>0</x:v>
      </x:c>
      <x:c r="V130" t="n">
        <x:f>--(J130=$K130)</x:f>
        <x:v>1</x:v>
      </x:c>
    </x:row>
    <x:row r="131" ht="18" customHeight="1">
      <x:c r="A131" t="str">
        <x:v>bpps_d1000n50m10w150_300s100_200f0_seed1</x:v>
      </x:c>
      <x:c r="B131" s="16" t="n">
        <x:v>50</x:v>
      </x:c>
      <x:c r="C131" s="16" t="n">
        <x:v>10</x:v>
      </x:c>
      <x:c r="D131" s="16" t="n">
        <x:v>1000</x:v>
      </x:c>
      <x:c r="E131" s="16" t="n">
        <x:v>138</x:v>
      </x:c>
      <x:c r="F131" s="12" t="n">
        <x:v>17</x:v>
      </x:c>
      <x:c r="G131" s="12" t="n">
        <x:v>19</x:v>
      </x:c>
      <x:c r="H131" s="12" t="n">
        <x:v>19</x:v>
      </x:c>
      <x:c r="I131" s="12" t="n">
        <x:v>20</x:v>
      </x:c>
      <x:c r="J131" s="12" t="n">
        <x:v>17</x:v>
      </x:c>
      <x:c r="K131" s="12" t="n">
        <x:f>MIN(F131:J131)</x:f>
        <x:v>17</x:v>
      </x:c>
      <x:c r="L131" t="str">
        <x:f>TEXTJOIN(", ",TRUE,IF(F131=K131,"IG",""),IF(G131=K131,"FFD",""),IF(H131=K131,"BFD",""),IF(I131=K131,"WFD",""),IF(J131=K131,"CTP",""))</x:f>
        <x:v>IG, CTP</x:v>
      </x:c>
      <x:c r="M131" s="14" t="n">
        <x:f>IFERROR((F131-$K131)/$K131,"")</x:f>
        <x:v>0</x:v>
      </x:c>
      <x:c r="N131" s="14" t="n">
        <x:f>IFERROR((G131-$K131)/$K131,"")</x:f>
        <x:v>0.11764705882352941</x:v>
      </x:c>
      <x:c r="O131" s="14" t="n">
        <x:f>IFERROR((H131-$K131)/$K131,"")</x:f>
        <x:v>0.11764705882352941</x:v>
      </x:c>
      <x:c r="P131" s="14" t="n">
        <x:f>IFERROR((I131-$K131)/$K131,"")</x:f>
        <x:v>0.17647058823529413</x:v>
      </x:c>
      <x:c r="Q131" s="14" t="n">
        <x:f>IFERROR((J131-$K131)/$K131,"")</x:f>
        <x:v>0</x:v>
      </x:c>
      <x:c r="R131" t="n">
        <x:f>--(F131=$K131)</x:f>
        <x:v>1</x:v>
      </x:c>
      <x:c r="S131" t="n">
        <x:f>--(G131=$K131)</x:f>
        <x:v>0</x:v>
      </x:c>
      <x:c r="T131" t="n">
        <x:f>--(H131=$K131)</x:f>
        <x:v>0</x:v>
      </x:c>
      <x:c r="U131" t="n">
        <x:f>--(I131=$K131)</x:f>
        <x:v>0</x:v>
      </x:c>
      <x:c r="V131" t="n">
        <x:f>--(J131=$K131)</x:f>
        <x:v>1</x:v>
      </x:c>
    </x:row>
    <x:row r="132" ht="18" customHeight="1">
      <x:c r="A132" t="str">
        <x:v>bpps_d1000n50m10w150_300s100_200f1_seed0</x:v>
      </x:c>
      <x:c r="B132" s="16" t="n">
        <x:v>50</x:v>
      </x:c>
      <x:c r="C132" s="16" t="n">
        <x:v>10</x:v>
      </x:c>
      <x:c r="D132" s="16" t="n">
        <x:v>1000</x:v>
      </x:c>
      <x:c r="E132" s="16" t="n">
        <x:v>99</x:v>
      </x:c>
      <x:c r="F132" s="12" t="n">
        <x:v>226</x:v>
      </x:c>
      <x:c r="G132" s="12" t="n">
        <x:v>309</x:v>
      </x:c>
      <x:c r="H132" s="12" t="n">
        <x:v>303</x:v>
      </x:c>
      <x:c r="I132" s="12" t="n">
        <x:v>306</x:v>
      </x:c>
      <x:c r="J132" s="12" t="n">
        <x:v>239</x:v>
      </x:c>
      <x:c r="K132" s="12" t="n">
        <x:f>MIN(F132:J132)</x:f>
        <x:v>226</x:v>
      </x:c>
      <x:c r="L132" t="str">
        <x:f>TEXTJOIN(", ",TRUE,IF(F132=K132,"IG",""),IF(G132=K132,"FFD",""),IF(H132=K132,"BFD",""),IF(I132=K132,"WFD",""),IF(J132=K132,"CTP",""))</x:f>
        <x:v>IG</x:v>
      </x:c>
      <x:c r="M132" s="14" t="n">
        <x:f>IFERROR((F132-$K132)/$K132,"")</x:f>
        <x:v>0</x:v>
      </x:c>
      <x:c r="N132" s="14" t="n">
        <x:f>IFERROR((G132-$K132)/$K132,"")</x:f>
        <x:v>0.3672566371681416</x:v>
      </x:c>
      <x:c r="O132" s="14" t="n">
        <x:f>IFERROR((H132-$K132)/$K132,"")</x:f>
        <x:v>0.3407079646017699</x:v>
      </x:c>
      <x:c r="P132" s="14" t="n">
        <x:f>IFERROR((I132-$K132)/$K132,"")</x:f>
        <x:v>0.35398230088495575</x:v>
      </x:c>
      <x:c r="Q132" s="14" t="n">
        <x:f>IFERROR((J132-$K132)/$K132,"")</x:f>
        <x:v>0.05752212389380531</x:v>
      </x:c>
      <x:c r="R132" t="n">
        <x:f>--(F132=$K132)</x:f>
        <x:v>1</x:v>
      </x:c>
      <x:c r="S132" t="n">
        <x:f>--(G132=$K132)</x:f>
        <x:v>0</x:v>
      </x:c>
      <x:c r="T132" t="n">
        <x:f>--(H132=$K132)</x:f>
        <x:v>0</x:v>
      </x:c>
      <x:c r="U132" t="n">
        <x:f>--(I132=$K132)</x:f>
        <x:v>0</x:v>
      </x:c>
      <x:c r="V132" t="n">
        <x:f>--(J132=$K132)</x:f>
        <x:v>0</x:v>
      </x:c>
    </x:row>
    <x:row r="133" ht="18" customHeight="1">
      <x:c r="A133" t="str">
        <x:v>bpps_d1000n50m10w150_300s100_200f1_seed1</x:v>
      </x:c>
      <x:c r="B133" s="16" t="n">
        <x:v>50</x:v>
      </x:c>
      <x:c r="C133" s="16" t="n">
        <x:v>10</x:v>
      </x:c>
      <x:c r="D133" s="16" t="n">
        <x:v>1000</x:v>
      </x:c>
      <x:c r="E133" s="16" t="n">
        <x:v>116</x:v>
      </x:c>
      <x:c r="F133" s="12" t="n">
        <x:v>235</x:v>
      </x:c>
      <x:c r="G133" s="12" t="n">
        <x:v>316</x:v>
      </x:c>
      <x:c r="H133" s="12" t="n">
        <x:v>323</x:v>
      </x:c>
      <x:c r="I133" s="12" t="n">
        <x:v>318</x:v>
      </x:c>
      <x:c r="J133" s="12" t="n">
        <x:v>249</x:v>
      </x:c>
      <x:c r="K133" s="12" t="n">
        <x:f>MIN(F133:J133)</x:f>
        <x:v>235</x:v>
      </x:c>
      <x:c r="L133" t="str">
        <x:f>TEXTJOIN(", ",TRUE,IF(F133=K133,"IG",""),IF(G133=K133,"FFD",""),IF(H133=K133,"BFD",""),IF(I133=K133,"WFD",""),IF(J133=K133,"CTP",""))</x:f>
        <x:v>IG</x:v>
      </x:c>
      <x:c r="M133" s="14" t="n">
        <x:f>IFERROR((F133-$K133)/$K133,"")</x:f>
        <x:v>0</x:v>
      </x:c>
      <x:c r="N133" s="14" t="n">
        <x:f>IFERROR((G133-$K133)/$K133,"")</x:f>
        <x:v>0.3446808510638298</x:v>
      </x:c>
      <x:c r="O133" s="14" t="n">
        <x:f>IFERROR((H133-$K133)/$K133,"")</x:f>
        <x:v>0.37446808510638296</x:v>
      </x:c>
      <x:c r="P133" s="14" t="n">
        <x:f>IFERROR((I133-$K133)/$K133,"")</x:f>
        <x:v>0.35319148936170214</x:v>
      </x:c>
      <x:c r="Q133" s="14" t="n">
        <x:f>IFERROR((J133-$K133)/$K133,"")</x:f>
        <x:v>0.059574468085106386</x:v>
      </x:c>
      <x:c r="R133" t="n">
        <x:f>--(F133=$K133)</x:f>
        <x:v>1</x:v>
      </x:c>
      <x:c r="S133" t="n">
        <x:f>--(G133=$K133)</x:f>
        <x:v>0</x:v>
      </x:c>
      <x:c r="T133" t="n">
        <x:f>--(H133=$K133)</x:f>
        <x:v>0</x:v>
      </x:c>
      <x:c r="U133" t="n">
        <x:f>--(I133=$K133)</x:f>
        <x:v>0</x:v>
      </x:c>
      <x:c r="V133" t="n">
        <x:f>--(J133=$K133)</x:f>
        <x:v>0</x:v>
      </x:c>
    </x:row>
    <x:row r="134" ht="18" customHeight="1">
      <x:c r="A134" t="str">
        <x:v>bpps_d1000n50m10w150_300s10_100f0_seed0</x:v>
      </x:c>
      <x:c r="B134" s="16" t="n">
        <x:v>50</x:v>
      </x:c>
      <x:c r="C134" s="16" t="n">
        <x:v>10</x:v>
      </x:c>
      <x:c r="D134" s="16" t="n">
        <x:v>1000</x:v>
      </x:c>
      <x:c r="E134" s="16" t="n">
        <x:v>139</x:v>
      </x:c>
      <x:c r="F134" s="12" t="n">
        <x:v>16</x:v>
      </x:c>
      <x:c r="G134" s="12" t="n">
        <x:v>16</x:v>
      </x:c>
      <x:c r="H134" s="12" t="n">
        <x:v>16</x:v>
      </x:c>
      <x:c r="I134" s="12" t="n">
        <x:v>16</x:v>
      </x:c>
      <x:c r="J134" s="12" t="n">
        <x:v>15</x:v>
      </x:c>
      <x:c r="K134" s="12" t="n">
        <x:f>MIN(F134:J134)</x:f>
        <x:v>15</x:v>
      </x:c>
      <x:c r="L134" t="str">
        <x:f>TEXTJOIN(", ",TRUE,IF(F134=K134,"IG",""),IF(G134=K134,"FFD",""),IF(H134=K134,"BFD",""),IF(I134=K134,"WFD",""),IF(J134=K134,"CTP",""))</x:f>
        <x:v>CTP</x:v>
      </x:c>
      <x:c r="M134" s="14" t="n">
        <x:f>IFERROR((F134-$K134)/$K134,"")</x:f>
        <x:v>0.06666666666666667</x:v>
      </x:c>
      <x:c r="N134" s="14" t="n">
        <x:f>IFERROR((G134-$K134)/$K134,"")</x:f>
        <x:v>0.06666666666666667</x:v>
      </x:c>
      <x:c r="O134" s="14" t="n">
        <x:f>IFERROR((H134-$K134)/$K134,"")</x:f>
        <x:v>0.06666666666666667</x:v>
      </x:c>
      <x:c r="P134" s="14" t="n">
        <x:f>IFERROR((I134-$K134)/$K134,"")</x:f>
        <x:v>0.06666666666666667</x:v>
      </x:c>
      <x:c r="Q134" s="14" t="n">
        <x:f>IFERROR((J134-$K134)/$K134,"")</x:f>
        <x:v>0</x:v>
      </x:c>
      <x:c r="R134" t="n">
        <x:f>--(F134=$K134)</x:f>
        <x:v>0</x:v>
      </x:c>
      <x:c r="S134" t="n">
        <x:f>--(G134=$K134)</x:f>
        <x:v>0</x:v>
      </x:c>
      <x:c r="T134" t="n">
        <x:f>--(H134=$K134)</x:f>
        <x:v>0</x:v>
      </x:c>
      <x:c r="U134" t="n">
        <x:f>--(I134=$K134)</x:f>
        <x:v>0</x:v>
      </x:c>
      <x:c r="V134" t="n">
        <x:f>--(J134=$K134)</x:f>
        <x:v>1</x:v>
      </x:c>
    </x:row>
    <x:row r="135" ht="18" customHeight="1">
      <x:c r="A135" t="str">
        <x:v>bpps_d1000n50m10w150_300s10_100f0_seed1</x:v>
      </x:c>
      <x:c r="B135" s="16" t="n">
        <x:v>50</x:v>
      </x:c>
      <x:c r="C135" s="16" t="n">
        <x:v>10</x:v>
      </x:c>
      <x:c r="D135" s="16" t="n">
        <x:v>1000</x:v>
      </x:c>
      <x:c r="E135" s="16" t="n">
        <x:v>110</x:v>
      </x:c>
      <x:c r="F135" s="12" t="n">
        <x:v>14</x:v>
      </x:c>
      <x:c r="G135" s="12" t="n">
        <x:v>15</x:v>
      </x:c>
      <x:c r="H135" s="12" t="n">
        <x:v>15</x:v>
      </x:c>
      <x:c r="I135" s="12" t="n">
        <x:v>15</x:v>
      </x:c>
      <x:c r="J135" s="12" t="n">
        <x:v>15</x:v>
      </x:c>
      <x:c r="K135" s="12" t="n">
        <x:f>MIN(F135:J135)</x:f>
        <x:v>14</x:v>
      </x:c>
      <x:c r="L135" t="str">
        <x:f>TEXTJOIN(", ",TRUE,IF(F135=K135,"IG",""),IF(G135=K135,"FFD",""),IF(H135=K135,"BFD",""),IF(I135=K135,"WFD",""),IF(J135=K135,"CTP",""))</x:f>
        <x:v>IG</x:v>
      </x:c>
      <x:c r="M135" s="14" t="n">
        <x:f>IFERROR((F135-$K135)/$K135,"")</x:f>
        <x:v>0</x:v>
      </x:c>
      <x:c r="N135" s="14" t="n">
        <x:f>IFERROR((G135-$K135)/$K135,"")</x:f>
        <x:v>0.07142857142857142</x:v>
      </x:c>
      <x:c r="O135" s="14" t="n">
        <x:f>IFERROR((H135-$K135)/$K135,"")</x:f>
        <x:v>0.07142857142857142</x:v>
      </x:c>
      <x:c r="P135" s="14" t="n">
        <x:f>IFERROR((I135-$K135)/$K135,"")</x:f>
        <x:v>0.07142857142857142</x:v>
      </x:c>
      <x:c r="Q135" s="14" t="n">
        <x:f>IFERROR((J135-$K135)/$K135,"")</x:f>
        <x:v>0.07142857142857142</x:v>
      </x:c>
      <x:c r="R135" t="n">
        <x:f>--(F135=$K135)</x:f>
        <x:v>1</x:v>
      </x:c>
      <x:c r="S135" t="n">
        <x:f>--(G135=$K135)</x:f>
        <x:v>0</x:v>
      </x:c>
      <x:c r="T135" t="n">
        <x:f>--(H135=$K135)</x:f>
        <x:v>0</x:v>
      </x:c>
      <x:c r="U135" t="n">
        <x:f>--(I135=$K135)</x:f>
        <x:v>0</x:v>
      </x:c>
      <x:c r="V135" t="n">
        <x:f>--(J135=$K135)</x:f>
        <x:v>0</x:v>
      </x:c>
    </x:row>
    <x:row r="136" ht="18" customHeight="1">
      <x:c r="A136" t="str">
        <x:v>bpps_d1000n50m10w150_300s10_100f1_seed0</x:v>
      </x:c>
      <x:c r="B136" s="16" t="n">
        <x:v>50</x:v>
      </x:c>
      <x:c r="C136" s="16" t="n">
        <x:v>10</x:v>
      </x:c>
      <x:c r="D136" s="16" t="n">
        <x:v>1000</x:v>
      </x:c>
      <x:c r="E136" s="16" t="n">
        <x:v>109</x:v>
      </x:c>
      <x:c r="F136" s="12" t="n">
        <x:v>194</x:v>
      </x:c>
      <x:c r="G136" s="12" t="n">
        <x:v>258</x:v>
      </x:c>
      <x:c r="H136" s="12" t="n">
        <x:v>258</x:v>
      </x:c>
      <x:c r="I136" s="12" t="n">
        <x:v>258</x:v>
      </x:c>
      <x:c r="J136" s="12" t="n">
        <x:v>204</x:v>
      </x:c>
      <x:c r="K136" s="12" t="n">
        <x:f>MIN(F136:J136)</x:f>
        <x:v>194</x:v>
      </x:c>
      <x:c r="L136" t="str">
        <x:f>TEXTJOIN(", ",TRUE,IF(F136=K136,"IG",""),IF(G136=K136,"FFD",""),IF(H136=K136,"BFD",""),IF(I136=K136,"WFD",""),IF(J136=K136,"CTP",""))</x:f>
        <x:v>IG</x:v>
      </x:c>
      <x:c r="M136" s="14" t="n">
        <x:f>IFERROR((F136-$K136)/$K136,"")</x:f>
        <x:v>0</x:v>
      </x:c>
      <x:c r="N136" s="14" t="n">
        <x:f>IFERROR((G136-$K136)/$K136,"")</x:f>
        <x:v>0.32989690721649484</x:v>
      </x:c>
      <x:c r="O136" s="14" t="n">
        <x:f>IFERROR((H136-$K136)/$K136,"")</x:f>
        <x:v>0.32989690721649484</x:v>
      </x:c>
      <x:c r="P136" s="14" t="n">
        <x:f>IFERROR((I136-$K136)/$K136,"")</x:f>
        <x:v>0.32989690721649484</x:v>
      </x:c>
      <x:c r="Q136" s="14" t="n">
        <x:f>IFERROR((J136-$K136)/$K136,"")</x:f>
        <x:v>0.05154639175257732</x:v>
      </x:c>
      <x:c r="R136" t="n">
        <x:f>--(F136=$K136)</x:f>
        <x:v>1</x:v>
      </x:c>
      <x:c r="S136" t="n">
        <x:f>--(G136=$K136)</x:f>
        <x:v>0</x:v>
      </x:c>
      <x:c r="T136" t="n">
        <x:f>--(H136=$K136)</x:f>
        <x:v>0</x:v>
      </x:c>
      <x:c r="U136" t="n">
        <x:f>--(I136=$K136)</x:f>
        <x:v>0</x:v>
      </x:c>
      <x:c r="V136" t="n">
        <x:f>--(J136=$K136)</x:f>
        <x:v>0</x:v>
      </x:c>
    </x:row>
    <x:row r="137" ht="18" customHeight="1">
      <x:c r="A137" t="str">
        <x:v>bpps_d1000n50m10w150_300s10_100f1_seed1</x:v>
      </x:c>
      <x:c r="B137" s="16" t="n">
        <x:v>50</x:v>
      </x:c>
      <x:c r="C137" s="16" t="n">
        <x:v>10</x:v>
      </x:c>
      <x:c r="D137" s="16" t="n">
        <x:v>1000</x:v>
      </x:c>
      <x:c r="E137" s="16" t="n">
        <x:v>132</x:v>
      </x:c>
      <x:c r="F137" s="12" t="n">
        <x:v>200</x:v>
      </x:c>
      <x:c r="G137" s="12" t="n">
        <x:v>285</x:v>
      </x:c>
      <x:c r="H137" s="12" t="n">
        <x:v>285</x:v>
      </x:c>
      <x:c r="I137" s="12" t="n">
        <x:v>279</x:v>
      </x:c>
      <x:c r="J137" s="12" t="n">
        <x:v>226</x:v>
      </x:c>
      <x:c r="K137" s="12" t="n">
        <x:f>MIN(F137:J137)</x:f>
        <x:v>200</x:v>
      </x:c>
      <x:c r="L137" t="str">
        <x:f>TEXTJOIN(", ",TRUE,IF(F137=K137,"IG",""),IF(G137=K137,"FFD",""),IF(H137=K137,"BFD",""),IF(I137=K137,"WFD",""),IF(J137=K137,"CTP",""))</x:f>
        <x:v>IG</x:v>
      </x:c>
      <x:c r="M137" s="14" t="n">
        <x:f>IFERROR((F137-$K137)/$K137,"")</x:f>
        <x:v>0</x:v>
      </x:c>
      <x:c r="N137" s="14" t="n">
        <x:f>IFERROR((G137-$K137)/$K137,"")</x:f>
        <x:v>0.425</x:v>
      </x:c>
      <x:c r="O137" s="14" t="n">
        <x:f>IFERROR((H137-$K137)/$K137,"")</x:f>
        <x:v>0.425</x:v>
      </x:c>
      <x:c r="P137" s="14" t="n">
        <x:f>IFERROR((I137-$K137)/$K137,"")</x:f>
        <x:v>0.395</x:v>
      </x:c>
      <x:c r="Q137" s="14" t="n">
        <x:f>IFERROR((J137-$K137)/$K137,"")</x:f>
        <x:v>0.13</x:v>
      </x:c>
      <x:c r="R137" t="n">
        <x:f>--(F137=$K137)</x:f>
        <x:v>1</x:v>
      </x:c>
      <x:c r="S137" t="n">
        <x:f>--(G137=$K137)</x:f>
        <x:v>0</x:v>
      </x:c>
      <x:c r="T137" t="n">
        <x:f>--(H137=$K137)</x:f>
        <x:v>0</x:v>
      </x:c>
      <x:c r="U137" t="n">
        <x:f>--(I137=$K137)</x:f>
        <x:v>0</x:v>
      </x:c>
      <x:c r="V137" t="n">
        <x:f>--(J137=$K137)</x:f>
        <x:v>0</x:v>
      </x:c>
    </x:row>
    <x:row r="138" ht="18" customHeight="1">
      <x:c r="A138" t="str">
        <x:v>bpps_d1000n50m10w50_150s100_200f0_seed0</x:v>
      </x:c>
      <x:c r="B138" s="16" t="n">
        <x:v>50</x:v>
      </x:c>
      <x:c r="C138" s="16" t="n">
        <x:v>10</x:v>
      </x:c>
      <x:c r="D138" s="16" t="n">
        <x:v>1000</x:v>
      </x:c>
      <x:c r="E138" s="16" t="n">
        <x:v>128</x:v>
      </x:c>
      <x:c r="F138" s="12" t="n">
        <x:v>9</x:v>
      </x:c>
      <x:c r="G138" s="12" t="n">
        <x:v>11</x:v>
      </x:c>
      <x:c r="H138" s="12" t="n">
        <x:v>11</x:v>
      </x:c>
      <x:c r="I138" s="12" t="n">
        <x:v>11</x:v>
      </x:c>
      <x:c r="J138" s="12" t="n">
        <x:v>10</x:v>
      </x:c>
      <x:c r="K138" s="12" t="n">
        <x:f>MIN(F138:J138)</x:f>
        <x:v>9</x:v>
      </x:c>
      <x:c r="L138" t="str">
        <x:f>TEXTJOIN(", ",TRUE,IF(F138=K138,"IG",""),IF(G138=K138,"FFD",""),IF(H138=K138,"BFD",""),IF(I138=K138,"WFD",""),IF(J138=K138,"CTP",""))</x:f>
        <x:v>IG</x:v>
      </x:c>
      <x:c r="M138" s="14" t="n">
        <x:f>IFERROR((F138-$K138)/$K138,"")</x:f>
        <x:v>0</x:v>
      </x:c>
      <x:c r="N138" s="14" t="n">
        <x:f>IFERROR((G138-$K138)/$K138,"")</x:f>
        <x:v>0.2222222222222222</x:v>
      </x:c>
      <x:c r="O138" s="14" t="n">
        <x:f>IFERROR((H138-$K138)/$K138,"")</x:f>
        <x:v>0.2222222222222222</x:v>
      </x:c>
      <x:c r="P138" s="14" t="n">
        <x:f>IFERROR((I138-$K138)/$K138,"")</x:f>
        <x:v>0.2222222222222222</x:v>
      </x:c>
      <x:c r="Q138" s="14" t="n">
        <x:f>IFERROR((J138-$K138)/$K138,"")</x:f>
        <x:v>0.1111111111111111</x:v>
      </x:c>
      <x:c r="R138" t="n">
        <x:f>--(F138=$K138)</x:f>
        <x:v>1</x:v>
      </x:c>
      <x:c r="S138" t="n">
        <x:f>--(G138=$K138)</x:f>
        <x:v>0</x:v>
      </x:c>
      <x:c r="T138" t="n">
        <x:f>--(H138=$K138)</x:f>
        <x:v>0</x:v>
      </x:c>
      <x:c r="U138" t="n">
        <x:f>--(I138=$K138)</x:f>
        <x:v>0</x:v>
      </x:c>
      <x:c r="V138" t="n">
        <x:f>--(J138=$K138)</x:f>
        <x:v>0</x:v>
      </x:c>
    </x:row>
    <x:row r="139" ht="18" customHeight="1">
      <x:c r="A139" t="str">
        <x:v>bpps_d1000n50m10w50_150s100_200f0_seed1</x:v>
      </x:c>
      <x:c r="B139" s="16" t="n">
        <x:v>50</x:v>
      </x:c>
      <x:c r="C139" s="16" t="n">
        <x:v>10</x:v>
      </x:c>
      <x:c r="D139" s="16" t="n">
        <x:v>1000</x:v>
      </x:c>
      <x:c r="E139" s="16" t="n">
        <x:v>114</x:v>
      </x:c>
      <x:c r="F139" s="12" t="n">
        <x:v>10</x:v>
      </x:c>
      <x:c r="G139" s="12" t="n">
        <x:v>11</x:v>
      </x:c>
      <x:c r="H139" s="12" t="n">
        <x:v>11</x:v>
      </x:c>
      <x:c r="I139" s="12" t="n">
        <x:v>12</x:v>
      </x:c>
      <x:c r="J139" s="12" t="n">
        <x:v>9</x:v>
      </x:c>
      <x:c r="K139" s="12" t="n">
        <x:f>MIN(F139:J139)</x:f>
        <x:v>9</x:v>
      </x:c>
      <x:c r="L139" t="str">
        <x:f>TEXTJOIN(", ",TRUE,IF(F139=K139,"IG",""),IF(G139=K139,"FFD",""),IF(H139=K139,"BFD",""),IF(I139=K139,"WFD",""),IF(J139=K139,"CTP",""))</x:f>
        <x:v>CTP</x:v>
      </x:c>
      <x:c r="M139" s="14" t="n">
        <x:f>IFERROR((F139-$K139)/$K139,"")</x:f>
        <x:v>0.1111111111111111</x:v>
      </x:c>
      <x:c r="N139" s="14" t="n">
        <x:f>IFERROR((G139-$K139)/$K139,"")</x:f>
        <x:v>0.2222222222222222</x:v>
      </x:c>
      <x:c r="O139" s="14" t="n">
        <x:f>IFERROR((H139-$K139)/$K139,"")</x:f>
        <x:v>0.2222222222222222</x:v>
      </x:c>
      <x:c r="P139" s="14" t="n">
        <x:f>IFERROR((I139-$K139)/$K139,"")</x:f>
        <x:v>0.3333333333333333</x:v>
      </x:c>
      <x:c r="Q139" s="14" t="n">
        <x:f>IFERROR((J139-$K139)/$K139,"")</x:f>
        <x:v>0</x:v>
      </x:c>
      <x:c r="R139" t="n">
        <x:f>--(F139=$K139)</x:f>
        <x:v>0</x:v>
      </x:c>
      <x:c r="S139" t="n">
        <x:f>--(G139=$K139)</x:f>
        <x:v>0</x:v>
      </x:c>
      <x:c r="T139" t="n">
        <x:f>--(H139=$K139)</x:f>
        <x:v>0</x:v>
      </x:c>
      <x:c r="U139" t="n">
        <x:f>--(I139=$K139)</x:f>
        <x:v>0</x:v>
      </x:c>
      <x:c r="V139" t="n">
        <x:f>--(J139=$K139)</x:f>
        <x:v>1</x:v>
      </x:c>
    </x:row>
    <x:row r="140" ht="18" customHeight="1">
      <x:c r="A140" t="str">
        <x:v>bpps_d1000n50m10w50_150s100_200f1_seed0</x:v>
      </x:c>
      <x:c r="B140" s="16" t="n">
        <x:v>50</x:v>
      </x:c>
      <x:c r="C140" s="16" t="n">
        <x:v>10</x:v>
      </x:c>
      <x:c r="D140" s="16" t="n">
        <x:v>1000</x:v>
      </x:c>
      <x:c r="E140" s="16" t="n">
        <x:v>111</x:v>
      </x:c>
      <x:c r="F140" s="12" t="n">
        <x:v>146</x:v>
      </x:c>
      <x:c r="G140" s="12" t="n">
        <x:v>223</x:v>
      </x:c>
      <x:c r="H140" s="12" t="n">
        <x:v>230</x:v>
      </x:c>
      <x:c r="I140" s="12" t="n">
        <x:v>209</x:v>
      </x:c>
      <x:c r="J140" s="12" t="n">
        <x:v>156</x:v>
      </x:c>
      <x:c r="K140" s="12" t="n">
        <x:f>MIN(F140:J140)</x:f>
        <x:v>146</x:v>
      </x:c>
      <x:c r="L140" t="str">
        <x:f>TEXTJOIN(", ",TRUE,IF(F140=K140,"IG",""),IF(G140=K140,"FFD",""),IF(H140=K140,"BFD",""),IF(I140=K140,"WFD",""),IF(J140=K140,"CTP",""))</x:f>
        <x:v>IG</x:v>
      </x:c>
      <x:c r="M140" s="14" t="n">
        <x:f>IFERROR((F140-$K140)/$K140,"")</x:f>
        <x:v>0</x:v>
      </x:c>
      <x:c r="N140" s="14" t="n">
        <x:f>IFERROR((G140-$K140)/$K140,"")</x:f>
        <x:v>0.5273972602739726</x:v>
      </x:c>
      <x:c r="O140" s="14" t="n">
        <x:f>IFERROR((H140-$K140)/$K140,"")</x:f>
        <x:v>0.5753424657534246</x:v>
      </x:c>
      <x:c r="P140" s="14" t="n">
        <x:f>IFERROR((I140-$K140)/$K140,"")</x:f>
        <x:v>0.4315068493150685</x:v>
      </x:c>
      <x:c r="Q140" s="14" t="n">
        <x:f>IFERROR((J140-$K140)/$K140,"")</x:f>
        <x:v>0.0684931506849315</x:v>
      </x:c>
      <x:c r="R140" t="n">
        <x:f>--(F140=$K140)</x:f>
        <x:v>1</x:v>
      </x:c>
      <x:c r="S140" t="n">
        <x:f>--(G140=$K140)</x:f>
        <x:v>0</x:v>
      </x:c>
      <x:c r="T140" t="n">
        <x:f>--(H140=$K140)</x:f>
        <x:v>0</x:v>
      </x:c>
      <x:c r="U140" t="n">
        <x:f>--(I140=$K140)</x:f>
        <x:v>0</x:v>
      </x:c>
      <x:c r="V140" t="n">
        <x:f>--(J140=$K140)</x:f>
        <x:v>0</x:v>
      </x:c>
    </x:row>
    <x:row r="141" ht="18" customHeight="1">
      <x:c r="A141" t="str">
        <x:v>bpps_d1000n50m10w50_150s100_200f1_seed1</x:v>
      </x:c>
      <x:c r="B141" s="16" t="n">
        <x:v>50</x:v>
      </x:c>
      <x:c r="C141" s="16" t="n">
        <x:v>10</x:v>
      </x:c>
      <x:c r="D141" s="16" t="n">
        <x:v>1000</x:v>
      </x:c>
      <x:c r="E141" s="16" t="n">
        <x:v>133</x:v>
      </x:c>
      <x:c r="F141" s="12" t="n">
        <x:v>160</x:v>
      </x:c>
      <x:c r="G141" s="12" t="n">
        <x:v>228</x:v>
      </x:c>
      <x:c r="H141" s="12" t="n">
        <x:v>228</x:v>
      </x:c>
      <x:c r="I141" s="12" t="n">
        <x:v>230</x:v>
      </x:c>
      <x:c r="J141" s="12" t="n">
        <x:v>175</x:v>
      </x:c>
      <x:c r="K141" s="12" t="n">
        <x:f>MIN(F141:J141)</x:f>
        <x:v>160</x:v>
      </x:c>
      <x:c r="L141" t="str">
        <x:f>TEXTJOIN(", ",TRUE,IF(F141=K141,"IG",""),IF(G141=K141,"FFD",""),IF(H141=K141,"BFD",""),IF(I141=K141,"WFD",""),IF(J141=K141,"CTP",""))</x:f>
        <x:v>IG</x:v>
      </x:c>
      <x:c r="M141" s="14" t="n">
        <x:f>IFERROR((F141-$K141)/$K141,"")</x:f>
        <x:v>0</x:v>
      </x:c>
      <x:c r="N141" s="14" t="n">
        <x:f>IFERROR((G141-$K141)/$K141,"")</x:f>
        <x:v>0.425</x:v>
      </x:c>
      <x:c r="O141" s="14" t="n">
        <x:f>IFERROR((H141-$K141)/$K141,"")</x:f>
        <x:v>0.425</x:v>
      </x:c>
      <x:c r="P141" s="14" t="n">
        <x:f>IFERROR((I141-$K141)/$K141,"")</x:f>
        <x:v>0.4375</x:v>
      </x:c>
      <x:c r="Q141" s="14" t="n">
        <x:f>IFERROR((J141-$K141)/$K141,"")</x:f>
        <x:v>0.09375</x:v>
      </x:c>
      <x:c r="R141" t="n">
        <x:f>--(F141=$K141)</x:f>
        <x:v>1</x:v>
      </x:c>
      <x:c r="S141" t="n">
        <x:f>--(G141=$K141)</x:f>
        <x:v>0</x:v>
      </x:c>
      <x:c r="T141" t="n">
        <x:f>--(H141=$K141)</x:f>
        <x:v>0</x:v>
      </x:c>
      <x:c r="U141" t="n">
        <x:f>--(I141=$K141)</x:f>
        <x:v>0</x:v>
      </x:c>
      <x:c r="V141" t="n">
        <x:f>--(J141=$K141)</x:f>
        <x:v>0</x:v>
      </x:c>
    </x:row>
    <x:row r="142" ht="18" customHeight="1">
      <x:c r="A142" t="str">
        <x:v>bpps_d1000n50m10w50_150s10_100f0_seed0</x:v>
      </x:c>
      <x:c r="B142" s="16" t="n">
        <x:v>50</x:v>
      </x:c>
      <x:c r="C142" s="16" t="n">
        <x:v>10</x:v>
      </x:c>
      <x:c r="D142" s="16" t="n">
        <x:v>1000</x:v>
      </x:c>
      <x:c r="E142" s="16" t="n">
        <x:v>115</x:v>
      </x:c>
      <x:c r="F142" s="12" t="n">
        <x:v>7</x:v>
      </x:c>
      <x:c r="G142" s="12" t="n">
        <x:v>8</x:v>
      </x:c>
      <x:c r="H142" s="12" t="n">
        <x:v>8</x:v>
      </x:c>
      <x:c r="I142" s="12" t="n">
        <x:v>8</x:v>
      </x:c>
      <x:c r="J142" s="12" t="n">
        <x:v>8</x:v>
      </x:c>
      <x:c r="K142" s="12" t="n">
        <x:f>MIN(F142:J142)</x:f>
        <x:v>7</x:v>
      </x:c>
      <x:c r="L142" t="str">
        <x:f>TEXTJOIN(", ",TRUE,IF(F142=K142,"IG",""),IF(G142=K142,"FFD",""),IF(H142=K142,"BFD",""),IF(I142=K142,"WFD",""),IF(J142=K142,"CTP",""))</x:f>
        <x:v>IG</x:v>
      </x:c>
      <x:c r="M142" s="14" t="n">
        <x:f>IFERROR((F142-$K142)/$K142,"")</x:f>
        <x:v>0</x:v>
      </x:c>
      <x:c r="N142" s="14" t="n">
        <x:f>IFERROR((G142-$K142)/$K142,"")</x:f>
        <x:v>0.14285714285714285</x:v>
      </x:c>
      <x:c r="O142" s="14" t="n">
        <x:f>IFERROR((H142-$K142)/$K142,"")</x:f>
        <x:v>0.14285714285714285</x:v>
      </x:c>
      <x:c r="P142" s="14" t="n">
        <x:f>IFERROR((I142-$K142)/$K142,"")</x:f>
        <x:v>0.14285714285714285</x:v>
      </x:c>
      <x:c r="Q142" s="14" t="n">
        <x:f>IFERROR((J142-$K142)/$K142,"")</x:f>
        <x:v>0.14285714285714285</x:v>
      </x:c>
      <x:c r="R142" t="n">
        <x:f>--(F142=$K142)</x:f>
        <x:v>1</x:v>
      </x:c>
      <x:c r="S142" t="n">
        <x:f>--(G142=$K142)</x:f>
        <x:v>0</x:v>
      </x:c>
      <x:c r="T142" t="n">
        <x:f>--(H142=$K142)</x:f>
        <x:v>0</x:v>
      </x:c>
      <x:c r="U142" t="n">
        <x:f>--(I142=$K142)</x:f>
        <x:v>0</x:v>
      </x:c>
      <x:c r="V142" t="n">
        <x:f>--(J142=$K142)</x:f>
        <x:v>0</x:v>
      </x:c>
    </x:row>
    <x:row r="143" ht="18" customHeight="1">
      <x:c r="A143" t="str">
        <x:v>bpps_d1000n50m10w50_150s10_100f0_seed1</x:v>
      </x:c>
      <x:c r="B143" s="16" t="n">
        <x:v>50</x:v>
      </x:c>
      <x:c r="C143" s="16" t="n">
        <x:v>10</x:v>
      </x:c>
      <x:c r="D143" s="16" t="n">
        <x:v>1000</x:v>
      </x:c>
      <x:c r="E143" s="16" t="n">
        <x:v>121</x:v>
      </x:c>
      <x:c r="F143" s="12" t="n">
        <x:v>7</x:v>
      </x:c>
      <x:c r="G143" s="12" t="n">
        <x:v>8</x:v>
      </x:c>
      <x:c r="H143" s="12" t="n">
        <x:v>8</x:v>
      </x:c>
      <x:c r="I143" s="12" t="n">
        <x:v>8</x:v>
      </x:c>
      <x:c r="J143" s="12" t="n">
        <x:v>8</x:v>
      </x:c>
      <x:c r="K143" s="12" t="n">
        <x:f>MIN(F143:J143)</x:f>
        <x:v>7</x:v>
      </x:c>
      <x:c r="L143" t="str">
        <x:f>TEXTJOIN(", ",TRUE,IF(F143=K143,"IG",""),IF(G143=K143,"FFD",""),IF(H143=K143,"BFD",""),IF(I143=K143,"WFD",""),IF(J143=K143,"CTP",""))</x:f>
        <x:v>IG</x:v>
      </x:c>
      <x:c r="M143" s="14" t="n">
        <x:f>IFERROR((F143-$K143)/$K143,"")</x:f>
        <x:v>0</x:v>
      </x:c>
      <x:c r="N143" s="14" t="n">
        <x:f>IFERROR((G143-$K143)/$K143,"")</x:f>
        <x:v>0.14285714285714285</x:v>
      </x:c>
      <x:c r="O143" s="14" t="n">
        <x:f>IFERROR((H143-$K143)/$K143,"")</x:f>
        <x:v>0.14285714285714285</x:v>
      </x:c>
      <x:c r="P143" s="14" t="n">
        <x:f>IFERROR((I143-$K143)/$K143,"")</x:f>
        <x:v>0.14285714285714285</x:v>
      </x:c>
      <x:c r="Q143" s="14" t="n">
        <x:f>IFERROR((J143-$K143)/$K143,"")</x:f>
        <x:v>0.14285714285714285</x:v>
      </x:c>
      <x:c r="R143" t="n">
        <x:f>--(F143=$K143)</x:f>
        <x:v>1</x:v>
      </x:c>
      <x:c r="S143" t="n">
        <x:f>--(G143=$K143)</x:f>
        <x:v>0</x:v>
      </x:c>
      <x:c r="T143" t="n">
        <x:f>--(H143=$K143)</x:f>
        <x:v>0</x:v>
      </x:c>
      <x:c r="U143" t="n">
        <x:f>--(I143=$K143)</x:f>
        <x:v>0</x:v>
      </x:c>
      <x:c r="V143" t="n">
        <x:f>--(J143=$K143)</x:f>
        <x:v>0</x:v>
      </x:c>
    </x:row>
    <x:row r="144" ht="18" customHeight="1">
      <x:c r="A144" t="str">
        <x:v>bpps_d1000n50m10w50_150s10_100f1_seed0</x:v>
      </x:c>
      <x:c r="B144" s="16" t="n">
        <x:v>50</x:v>
      </x:c>
      <x:c r="C144" s="16" t="n">
        <x:v>10</x:v>
      </x:c>
      <x:c r="D144" s="16" t="n">
        <x:v>1000</x:v>
      </x:c>
      <x:c r="E144" s="16" t="n">
        <x:v>114</x:v>
      </x:c>
      <x:c r="F144" s="12" t="n">
        <x:v>127</x:v>
      </x:c>
      <x:c r="G144" s="12" t="n">
        <x:v>223</x:v>
      </x:c>
      <x:c r="H144" s="12" t="n">
        <x:v>212</x:v>
      </x:c>
      <x:c r="I144" s="12" t="n">
        <x:v>201</x:v>
      </x:c>
      <x:c r="J144" s="12" t="n">
        <x:v>127</x:v>
      </x:c>
      <x:c r="K144" s="12" t="n">
        <x:f>MIN(F144:J144)</x:f>
        <x:v>127</x:v>
      </x:c>
      <x:c r="L144" t="str">
        <x:f>TEXTJOIN(", ",TRUE,IF(F144=K144,"IG",""),IF(G144=K144,"FFD",""),IF(H144=K144,"BFD",""),IF(I144=K144,"WFD",""),IF(J144=K144,"CTP",""))</x:f>
        <x:v>IG, CTP</x:v>
      </x:c>
      <x:c r="M144" s="14" t="n">
        <x:f>IFERROR((F144-$K144)/$K144,"")</x:f>
        <x:v>0</x:v>
      </x:c>
      <x:c r="N144" s="14" t="n">
        <x:f>IFERROR((G144-$K144)/$K144,"")</x:f>
        <x:v>0.7559055118110236</x:v>
      </x:c>
      <x:c r="O144" s="14" t="n">
        <x:f>IFERROR((H144-$K144)/$K144,"")</x:f>
        <x:v>0.6692913385826772</x:v>
      </x:c>
      <x:c r="P144" s="14" t="n">
        <x:f>IFERROR((I144-$K144)/$K144,"")</x:f>
        <x:v>0.5826771653543307</x:v>
      </x:c>
      <x:c r="Q144" s="14" t="n">
        <x:f>IFERROR((J144-$K144)/$K144,"")</x:f>
        <x:v>0</x:v>
      </x:c>
      <x:c r="R144" t="n">
        <x:f>--(F144=$K144)</x:f>
        <x:v>1</x:v>
      </x:c>
      <x:c r="S144" t="n">
        <x:f>--(G144=$K144)</x:f>
        <x:v>0</x:v>
      </x:c>
      <x:c r="T144" t="n">
        <x:f>--(H144=$K144)</x:f>
        <x:v>0</x:v>
      </x:c>
      <x:c r="U144" t="n">
        <x:f>--(I144=$K144)</x:f>
        <x:v>0</x:v>
      </x:c>
      <x:c r="V144" t="n">
        <x:f>--(J144=$K144)</x:f>
        <x:v>1</x:v>
      </x:c>
    </x:row>
    <x:row r="145" ht="18" customHeight="1">
      <x:c r="A145" t="str">
        <x:v>bpps_d1000n50m10w50_150s10_100f1_seed1</x:v>
      </x:c>
      <x:c r="B145" s="16" t="n">
        <x:v>50</x:v>
      </x:c>
      <x:c r="C145" s="16" t="n">
        <x:v>10</x:v>
      </x:c>
      <x:c r="D145" s="16" t="n">
        <x:v>1000</x:v>
      </x:c>
      <x:c r="E145" s="16" t="n">
        <x:v>125</x:v>
      </x:c>
      <x:c r="F145" s="12" t="n">
        <x:v>128</x:v>
      </x:c>
      <x:c r="G145" s="12" t="n">
        <x:v>203</x:v>
      </x:c>
      <x:c r="H145" s="12" t="n">
        <x:v>210</x:v>
      </x:c>
      <x:c r="I145" s="12" t="n">
        <x:v>216</x:v>
      </x:c>
      <x:c r="J145" s="12" t="n">
        <x:v>148</x:v>
      </x:c>
      <x:c r="K145" s="12" t="n">
        <x:f>MIN(F145:J145)</x:f>
        <x:v>128</x:v>
      </x:c>
      <x:c r="L145" t="str">
        <x:f>TEXTJOIN(", ",TRUE,IF(F145=K145,"IG",""),IF(G145=K145,"FFD",""),IF(H145=K145,"BFD",""),IF(I145=K145,"WFD",""),IF(J145=K145,"CTP",""))</x:f>
        <x:v>IG</x:v>
      </x:c>
      <x:c r="M145" s="14" t="n">
        <x:f>IFERROR((F145-$K145)/$K145,"")</x:f>
        <x:v>0</x:v>
      </x:c>
      <x:c r="N145" s="14" t="n">
        <x:f>IFERROR((G145-$K145)/$K145,"")</x:f>
        <x:v>0.5859375</x:v>
      </x:c>
      <x:c r="O145" s="14" t="n">
        <x:f>IFERROR((H145-$K145)/$K145,"")</x:f>
        <x:v>0.640625</x:v>
      </x:c>
      <x:c r="P145" s="14" t="n">
        <x:f>IFERROR((I145-$K145)/$K145,"")</x:f>
        <x:v>0.6875</x:v>
      </x:c>
      <x:c r="Q145" s="14" t="n">
        <x:f>IFERROR((J145-$K145)/$K145,"")</x:f>
        <x:v>0.15625</x:v>
      </x:c>
      <x:c r="R145" t="n">
        <x:f>--(F145=$K145)</x:f>
        <x:v>1</x:v>
      </x:c>
      <x:c r="S145" t="n">
        <x:f>--(G145=$K145)</x:f>
        <x:v>0</x:v>
      </x:c>
      <x:c r="T145" t="n">
        <x:f>--(H145=$K145)</x:f>
        <x:v>0</x:v>
      </x:c>
      <x:c r="U145" t="n">
        <x:f>--(I145=$K145)</x:f>
        <x:v>0</x:v>
      </x:c>
      <x:c r="V145" t="n">
        <x:f>--(J145=$K145)</x:f>
        <x:v>0</x:v>
      </x:c>
    </x:row>
    <x:row r="146" ht="18" customHeight="1">
      <x:c r="A146" t="str">
        <x:v>bpps_d1000n50m5w150_300s100_200f0_seed0</x:v>
      </x:c>
      <x:c r="B146" s="16" t="n">
        <x:v>50</x:v>
      </x:c>
      <x:c r="C146" s="16" t="n">
        <x:v>5</x:v>
      </x:c>
      <x:c r="D146" s="16" t="n">
        <x:v>1000</x:v>
      </x:c>
      <x:c r="E146" s="16" t="n">
        <x:v>130</x:v>
      </x:c>
      <x:c r="F146" s="12" t="n">
        <x:v>16</x:v>
      </x:c>
      <x:c r="G146" s="12" t="n">
        <x:v>19</x:v>
      </x:c>
      <x:c r="H146" s="12" t="n">
        <x:v>18</x:v>
      </x:c>
      <x:c r="I146" s="12" t="n">
        <x:v>19</x:v>
      </x:c>
      <x:c r="J146" s="12" t="n">
        <x:v>16</x:v>
      </x:c>
      <x:c r="K146" s="12" t="n">
        <x:f>MIN(F146:J146)</x:f>
        <x:v>16</x:v>
      </x:c>
      <x:c r="L146" t="str">
        <x:f>TEXTJOIN(", ",TRUE,IF(F146=K146,"IG",""),IF(G146=K146,"FFD",""),IF(H146=K146,"BFD",""),IF(I146=K146,"WFD",""),IF(J146=K146,"CTP",""))</x:f>
        <x:v>IG, CTP</x:v>
      </x:c>
      <x:c r="M146" s="14" t="n">
        <x:f>IFERROR((F146-$K146)/$K146,"")</x:f>
        <x:v>0</x:v>
      </x:c>
      <x:c r="N146" s="14" t="n">
        <x:f>IFERROR((G146-$K146)/$K146,"")</x:f>
        <x:v>0.1875</x:v>
      </x:c>
      <x:c r="O146" s="14" t="n">
        <x:f>IFERROR((H146-$K146)/$K146,"")</x:f>
        <x:v>0.125</x:v>
      </x:c>
      <x:c r="P146" s="14" t="n">
        <x:f>IFERROR((I146-$K146)/$K146,"")</x:f>
        <x:v>0.1875</x:v>
      </x:c>
      <x:c r="Q146" s="14" t="n">
        <x:f>IFERROR((J146-$K146)/$K146,"")</x:f>
        <x:v>0</x:v>
      </x:c>
      <x:c r="R146" t="n">
        <x:f>--(F146=$K146)</x:f>
        <x:v>1</x:v>
      </x:c>
      <x:c r="S146" t="n">
        <x:f>--(G146=$K146)</x:f>
        <x:v>0</x:v>
      </x:c>
      <x:c r="T146" t="n">
        <x:f>--(H146=$K146)</x:f>
        <x:v>0</x:v>
      </x:c>
      <x:c r="U146" t="n">
        <x:f>--(I146=$K146)</x:f>
        <x:v>0</x:v>
      </x:c>
      <x:c r="V146" t="n">
        <x:f>--(J146=$K146)</x:f>
        <x:v>1</x:v>
      </x:c>
    </x:row>
    <x:row r="147" ht="18" customHeight="1">
      <x:c r="A147" t="str">
        <x:v>bpps_d1000n50m5w150_300s100_200f0_seed1</x:v>
      </x:c>
      <x:c r="B147" s="16" t="n">
        <x:v>50</x:v>
      </x:c>
      <x:c r="C147" s="16" t="n">
        <x:v>5</x:v>
      </x:c>
      <x:c r="D147" s="16" t="n">
        <x:v>1000</x:v>
      </x:c>
      <x:c r="E147" s="16" t="n">
        <x:v>142</x:v>
      </x:c>
      <x:c r="F147" s="12" t="n">
        <x:v>15</x:v>
      </x:c>
      <x:c r="G147" s="12" t="n">
        <x:v>18</x:v>
      </x:c>
      <x:c r="H147" s="12" t="n">
        <x:v>18</x:v>
      </x:c>
      <x:c r="I147" s="12" t="n">
        <x:v>19</x:v>
      </x:c>
      <x:c r="J147" s="12" t="n">
        <x:v>16</x:v>
      </x:c>
      <x:c r="K147" s="12" t="n">
        <x:f>MIN(F147:J147)</x:f>
        <x:v>15</x:v>
      </x:c>
      <x:c r="L147" t="str">
        <x:f>TEXTJOIN(", ",TRUE,IF(F147=K147,"IG",""),IF(G147=K147,"FFD",""),IF(H147=K147,"BFD",""),IF(I147=K147,"WFD",""),IF(J147=K147,"CTP",""))</x:f>
        <x:v>IG</x:v>
      </x:c>
      <x:c r="M147" s="14" t="n">
        <x:f>IFERROR((F147-$K147)/$K147,"")</x:f>
        <x:v>0</x:v>
      </x:c>
      <x:c r="N147" s="14" t="n">
        <x:f>IFERROR((G147-$K147)/$K147,"")</x:f>
        <x:v>0.2</x:v>
      </x:c>
      <x:c r="O147" s="14" t="n">
        <x:f>IFERROR((H147-$K147)/$K147,"")</x:f>
        <x:v>0.2</x:v>
      </x:c>
      <x:c r="P147" s="14" t="n">
        <x:f>IFERROR((I147-$K147)/$K147,"")</x:f>
        <x:v>0.26666666666666666</x:v>
      </x:c>
      <x:c r="Q147" s="14" t="n">
        <x:f>IFERROR((J147-$K147)/$K147,"")</x:f>
        <x:v>0.06666666666666667</x:v>
      </x:c>
      <x:c r="R147" t="n">
        <x:f>--(F147=$K147)</x:f>
        <x:v>1</x:v>
      </x:c>
      <x:c r="S147" t="n">
        <x:f>--(G147=$K147)</x:f>
        <x:v>0</x:v>
      </x:c>
      <x:c r="T147" t="n">
        <x:f>--(H147=$K147)</x:f>
        <x:v>0</x:v>
      </x:c>
      <x:c r="U147" t="n">
        <x:f>--(I147=$K147)</x:f>
        <x:v>0</x:v>
      </x:c>
      <x:c r="V147" t="n">
        <x:f>--(J147=$K147)</x:f>
        <x:v>0</x:v>
      </x:c>
    </x:row>
    <x:row r="148" ht="18" customHeight="1">
      <x:c r="A148" t="str">
        <x:v>bpps_d1000n50m5w150_300s100_200f1_seed0</x:v>
      </x:c>
      <x:c r="B148" s="16" t="n">
        <x:v>50</x:v>
      </x:c>
      <x:c r="C148" s="16" t="n">
        <x:v>5</x:v>
      </x:c>
      <x:c r="D148" s="16" t="n">
        <x:v>1000</x:v>
      </x:c>
      <x:c r="E148" s="16" t="n">
        <x:v>132</x:v>
      </x:c>
      <x:c r="F148" s="12" t="n">
        <x:v>213</x:v>
      </x:c>
      <x:c r="G148" s="12" t="n">
        <x:v>277</x:v>
      </x:c>
      <x:c r="H148" s="12" t="n">
        <x:v>277</x:v>
      </x:c>
      <x:c r="I148" s="12" t="n">
        <x:v>277</x:v>
      </x:c>
      <x:c r="J148" s="12" t="n">
        <x:v>217</x:v>
      </x:c>
      <x:c r="K148" s="12" t="n">
        <x:f>MIN(F148:J148)</x:f>
        <x:v>213</x:v>
      </x:c>
      <x:c r="L148" t="str">
        <x:f>TEXTJOIN(", ",TRUE,IF(F148=K148,"IG",""),IF(G148=K148,"FFD",""),IF(H148=K148,"BFD",""),IF(I148=K148,"WFD",""),IF(J148=K148,"CTP",""))</x:f>
        <x:v>IG</x:v>
      </x:c>
      <x:c r="M148" s="14" t="n">
        <x:f>IFERROR((F148-$K148)/$K148,"")</x:f>
        <x:v>0</x:v>
      </x:c>
      <x:c r="N148" s="14" t="n">
        <x:f>IFERROR((G148-$K148)/$K148,"")</x:f>
        <x:v>0.3004694835680751</x:v>
      </x:c>
      <x:c r="O148" s="14" t="n">
        <x:f>IFERROR((H148-$K148)/$K148,"")</x:f>
        <x:v>0.3004694835680751</x:v>
      </x:c>
      <x:c r="P148" s="14" t="n">
        <x:f>IFERROR((I148-$K148)/$K148,"")</x:f>
        <x:v>0.3004694835680751</x:v>
      </x:c>
      <x:c r="Q148" s="14" t="n">
        <x:f>IFERROR((J148-$K148)/$K148,"")</x:f>
        <x:v>0.018779342723004695</x:v>
      </x:c>
      <x:c r="R148" t="n">
        <x:f>--(F148=$K148)</x:f>
        <x:v>1</x:v>
      </x:c>
      <x:c r="S148" t="n">
        <x:f>--(G148=$K148)</x:f>
        <x:v>0</x:v>
      </x:c>
      <x:c r="T148" t="n">
        <x:f>--(H148=$K148)</x:f>
        <x:v>0</x:v>
      </x:c>
      <x:c r="U148" t="n">
        <x:f>--(I148=$K148)</x:f>
        <x:v>0</x:v>
      </x:c>
      <x:c r="V148" t="n">
        <x:f>--(J148=$K148)</x:f>
        <x:v>0</x:v>
      </x:c>
    </x:row>
    <x:row r="149" ht="18" customHeight="1">
      <x:c r="A149" t="str">
        <x:v>bpps_d1000n50m5w150_300s100_200f1_seed1</x:v>
      </x:c>
      <x:c r="B149" s="16" t="n">
        <x:v>50</x:v>
      </x:c>
      <x:c r="C149" s="16" t="n">
        <x:v>5</x:v>
      </x:c>
      <x:c r="D149" s="16" t="n">
        <x:v>1000</x:v>
      </x:c>
      <x:c r="E149" s="16" t="n">
        <x:v>108</x:v>
      </x:c>
      <x:c r="F149" s="12" t="n">
        <x:v>209</x:v>
      </x:c>
      <x:c r="G149" s="12" t="n">
        <x:v>304</x:v>
      </x:c>
      <x:c r="H149" s="12" t="n">
        <x:v>299</x:v>
      </x:c>
      <x:c r="I149" s="12" t="n">
        <x:v>290</x:v>
      </x:c>
      <x:c r="J149" s="12" t="n">
        <x:v>209</x:v>
      </x:c>
      <x:c r="K149" s="12" t="n">
        <x:f>MIN(F149:J149)</x:f>
        <x:v>209</x:v>
      </x:c>
      <x:c r="L149" t="str">
        <x:f>TEXTJOIN(", ",TRUE,IF(F149=K149,"IG",""),IF(G149=K149,"FFD",""),IF(H149=K149,"BFD",""),IF(I149=K149,"WFD",""),IF(J149=K149,"CTP",""))</x:f>
        <x:v>IG, CTP</x:v>
      </x:c>
      <x:c r="M149" s="14" t="n">
        <x:f>IFERROR((F149-$K149)/$K149,"")</x:f>
        <x:v>0</x:v>
      </x:c>
      <x:c r="N149" s="14" t="n">
        <x:f>IFERROR((G149-$K149)/$K149,"")</x:f>
        <x:v>0.45454545454545453</x:v>
      </x:c>
      <x:c r="O149" s="14" t="n">
        <x:f>IFERROR((H149-$K149)/$K149,"")</x:f>
        <x:v>0.430622009569378</x:v>
      </x:c>
      <x:c r="P149" s="14" t="n">
        <x:f>IFERROR((I149-$K149)/$K149,"")</x:f>
        <x:v>0.3875598086124402</x:v>
      </x:c>
      <x:c r="Q149" s="14" t="n">
        <x:f>IFERROR((J149-$K149)/$K149,"")</x:f>
        <x:v>0</x:v>
      </x:c>
      <x:c r="R149" t="n">
        <x:f>--(F149=$K149)</x:f>
        <x:v>1</x:v>
      </x:c>
      <x:c r="S149" t="n">
        <x:f>--(G149=$K149)</x:f>
        <x:v>0</x:v>
      </x:c>
      <x:c r="T149" t="n">
        <x:f>--(H149=$K149)</x:f>
        <x:v>0</x:v>
      </x:c>
      <x:c r="U149" t="n">
        <x:f>--(I149=$K149)</x:f>
        <x:v>0</x:v>
      </x:c>
      <x:c r="V149" t="n">
        <x:f>--(J149=$K149)</x:f>
        <x:v>1</x:v>
      </x:c>
    </x:row>
    <x:row r="150" ht="18" customHeight="1">
      <x:c r="A150" t="str">
        <x:v>bpps_d1000n50m5w150_300s10_100f0_seed0</x:v>
      </x:c>
      <x:c r="B150" s="16" t="n">
        <x:v>50</x:v>
      </x:c>
      <x:c r="C150" s="16" t="n">
        <x:v>5</x:v>
      </x:c>
      <x:c r="D150" s="16" t="n">
        <x:v>1000</x:v>
      </x:c>
      <x:c r="E150" s="16" t="n">
        <x:v>121</x:v>
      </x:c>
      <x:c r="F150" s="12" t="n">
        <x:v>14</x:v>
      </x:c>
      <x:c r="G150" s="12" t="n">
        <x:v>15</x:v>
      </x:c>
      <x:c r="H150" s="12" t="n">
        <x:v>16</x:v>
      </x:c>
      <x:c r="I150" s="12" t="n">
        <x:v>16</x:v>
      </x:c>
      <x:c r="J150" s="12" t="n">
        <x:v>15</x:v>
      </x:c>
      <x:c r="K150" s="12" t="n">
        <x:f>MIN(F150:J150)</x:f>
        <x:v>14</x:v>
      </x:c>
      <x:c r="L150" t="str">
        <x:f>TEXTJOIN(", ",TRUE,IF(F150=K150,"IG",""),IF(G150=K150,"FFD",""),IF(H150=K150,"BFD",""),IF(I150=K150,"WFD",""),IF(J150=K150,"CTP",""))</x:f>
        <x:v>IG</x:v>
      </x:c>
      <x:c r="M150" s="14" t="n">
        <x:f>IFERROR((F150-$K150)/$K150,"")</x:f>
        <x:v>0</x:v>
      </x:c>
      <x:c r="N150" s="14" t="n">
        <x:f>IFERROR((G150-$K150)/$K150,"")</x:f>
        <x:v>0.07142857142857142</x:v>
      </x:c>
      <x:c r="O150" s="14" t="n">
        <x:f>IFERROR((H150-$K150)/$K150,"")</x:f>
        <x:v>0.14285714285714285</x:v>
      </x:c>
      <x:c r="P150" s="14" t="n">
        <x:f>IFERROR((I150-$K150)/$K150,"")</x:f>
        <x:v>0.14285714285714285</x:v>
      </x:c>
      <x:c r="Q150" s="14" t="n">
        <x:f>IFERROR((J150-$K150)/$K150,"")</x:f>
        <x:v>0.07142857142857142</x:v>
      </x:c>
      <x:c r="R150" t="n">
        <x:f>--(F150=$K150)</x:f>
        <x:v>1</x:v>
      </x:c>
      <x:c r="S150" t="n">
        <x:f>--(G150=$K150)</x:f>
        <x:v>0</x:v>
      </x:c>
      <x:c r="T150" t="n">
        <x:f>--(H150=$K150)</x:f>
        <x:v>0</x:v>
      </x:c>
      <x:c r="U150" t="n">
        <x:f>--(I150=$K150)</x:f>
        <x:v>0</x:v>
      </x:c>
      <x:c r="V150" t="n">
        <x:f>--(J150=$K150)</x:f>
        <x:v>0</x:v>
      </x:c>
    </x:row>
    <x:row r="151" ht="18" customHeight="1">
      <x:c r="A151" t="str">
        <x:v>bpps_d1000n50m5w150_300s10_100f0_seed1</x:v>
      </x:c>
      <x:c r="B151" s="16" t="n">
        <x:v>50</x:v>
      </x:c>
      <x:c r="C151" s="16" t="n">
        <x:v>5</x:v>
      </x:c>
      <x:c r="D151" s="16" t="n">
        <x:v>1000</x:v>
      </x:c>
      <x:c r="E151" s="16" t="n">
        <x:v>102</x:v>
      </x:c>
      <x:c r="F151" s="12" t="n">
        <x:v>14</x:v>
      </x:c>
      <x:c r="G151" s="12" t="n">
        <x:v>15</x:v>
      </x:c>
      <x:c r="H151" s="12" t="n">
        <x:v>15</x:v>
      </x:c>
      <x:c r="I151" s="12" t="n">
        <x:v>15</x:v>
      </x:c>
      <x:c r="J151" s="12" t="n">
        <x:v>14</x:v>
      </x:c>
      <x:c r="K151" s="12" t="n">
        <x:f>MIN(F151:J151)</x:f>
        <x:v>14</x:v>
      </x:c>
      <x:c r="L151" t="str">
        <x:f>TEXTJOIN(", ",TRUE,IF(F151=K151,"IG",""),IF(G151=K151,"FFD",""),IF(H151=K151,"BFD",""),IF(I151=K151,"WFD",""),IF(J151=K151,"CTP",""))</x:f>
        <x:v>IG, CTP</x:v>
      </x:c>
      <x:c r="M151" s="14" t="n">
        <x:f>IFERROR((F151-$K151)/$K151,"")</x:f>
        <x:v>0</x:v>
      </x:c>
      <x:c r="N151" s="14" t="n">
        <x:f>IFERROR((G151-$K151)/$K151,"")</x:f>
        <x:v>0.07142857142857142</x:v>
      </x:c>
      <x:c r="O151" s="14" t="n">
        <x:f>IFERROR((H151-$K151)/$K151,"")</x:f>
        <x:v>0.07142857142857142</x:v>
      </x:c>
      <x:c r="P151" s="14" t="n">
        <x:f>IFERROR((I151-$K151)/$K151,"")</x:f>
        <x:v>0.07142857142857142</x:v>
      </x:c>
      <x:c r="Q151" s="14" t="n">
        <x:f>IFERROR((J151-$K151)/$K151,"")</x:f>
        <x:v>0</x:v>
      </x:c>
      <x:c r="R151" t="n">
        <x:f>--(F151=$K151)</x:f>
        <x:v>1</x:v>
      </x:c>
      <x:c r="S151" t="n">
        <x:f>--(G151=$K151)</x:f>
        <x:v>0</x:v>
      </x:c>
      <x:c r="T151" t="n">
        <x:f>--(H151=$K151)</x:f>
        <x:v>0</x:v>
      </x:c>
      <x:c r="U151" t="n">
        <x:f>--(I151=$K151)</x:f>
        <x:v>0</x:v>
      </x:c>
      <x:c r="V151" t="n">
        <x:f>--(J151=$K151)</x:f>
        <x:v>1</x:v>
      </x:c>
    </x:row>
    <x:row r="152" ht="18" customHeight="1">
      <x:c r="A152" t="str">
        <x:v>bpps_d1000n50m5w150_300s10_100f1_seed0</x:v>
      </x:c>
      <x:c r="B152" s="16" t="n">
        <x:v>50</x:v>
      </x:c>
      <x:c r="C152" s="16" t="n">
        <x:v>5</x:v>
      </x:c>
      <x:c r="D152" s="16" t="n">
        <x:v>1000</x:v>
      </x:c>
      <x:c r="E152" s="16" t="n">
        <x:v>129</x:v>
      </x:c>
      <x:c r="F152" s="12" t="n">
        <x:v>189</x:v>
      </x:c>
      <x:c r="G152" s="12" t="n">
        <x:v>243</x:v>
      </x:c>
      <x:c r="H152" s="12" t="n">
        <x:v>243</x:v>
      </x:c>
      <x:c r="I152" s="12" t="n">
        <x:v>247</x:v>
      </x:c>
      <x:c r="J152" s="12" t="n">
        <x:v>199</x:v>
      </x:c>
      <x:c r="K152" s="12" t="n">
        <x:f>MIN(F152:J152)</x:f>
        <x:v>189</x:v>
      </x:c>
      <x:c r="L152" t="str">
        <x:f>TEXTJOIN(", ",TRUE,IF(F152=K152,"IG",""),IF(G152=K152,"FFD",""),IF(H152=K152,"BFD",""),IF(I152=K152,"WFD",""),IF(J152=K152,"CTP",""))</x:f>
        <x:v>IG</x:v>
      </x:c>
      <x:c r="M152" s="14" t="n">
        <x:f>IFERROR((F152-$K152)/$K152,"")</x:f>
        <x:v>0</x:v>
      </x:c>
      <x:c r="N152" s="14" t="n">
        <x:f>IFERROR((G152-$K152)/$K152,"")</x:f>
        <x:v>0.2857142857142857</x:v>
      </x:c>
      <x:c r="O152" s="14" t="n">
        <x:f>IFERROR((H152-$K152)/$K152,"")</x:f>
        <x:v>0.2857142857142857</x:v>
      </x:c>
      <x:c r="P152" s="14" t="n">
        <x:f>IFERROR((I152-$K152)/$K152,"")</x:f>
        <x:v>0.30687830687830686</x:v>
      </x:c>
      <x:c r="Q152" s="14" t="n">
        <x:f>IFERROR((J152-$K152)/$K152,"")</x:f>
        <x:v>0.05291005291005291</x:v>
      </x:c>
      <x:c r="R152" t="n">
        <x:f>--(F152=$K152)</x:f>
        <x:v>1</x:v>
      </x:c>
      <x:c r="S152" t="n">
        <x:f>--(G152=$K152)</x:f>
        <x:v>0</x:v>
      </x:c>
      <x:c r="T152" t="n">
        <x:f>--(H152=$K152)</x:f>
        <x:v>0</x:v>
      </x:c>
      <x:c r="U152" t="n">
        <x:f>--(I152=$K152)</x:f>
        <x:v>0</x:v>
      </x:c>
      <x:c r="V152" t="n">
        <x:f>--(J152=$K152)</x:f>
        <x:v>0</x:v>
      </x:c>
    </x:row>
    <x:row r="153" ht="18" customHeight="1">
      <x:c r="A153" t="str">
        <x:v>bpps_d1000n50m5w150_300s10_100f1_seed1</x:v>
      </x:c>
      <x:c r="B153" s="16" t="n">
        <x:v>50</x:v>
      </x:c>
      <x:c r="C153" s="16" t="n">
        <x:v>5</x:v>
      </x:c>
      <x:c r="D153" s="16" t="n">
        <x:v>1000</x:v>
      </x:c>
      <x:c r="E153" s="16" t="n">
        <x:v>120</x:v>
      </x:c>
      <x:c r="F153" s="12" t="n">
        <x:v>179</x:v>
      </x:c>
      <x:c r="G153" s="12" t="n">
        <x:v>258</x:v>
      </x:c>
      <x:c r="H153" s="12" t="n">
        <x:v>261</x:v>
      </x:c>
      <x:c r="I153" s="12" t="n">
        <x:v>270</x:v>
      </x:c>
      <x:c r="J153" s="12" t="n">
        <x:v>199</x:v>
      </x:c>
      <x:c r="K153" s="12" t="n">
        <x:f>MIN(F153:J153)</x:f>
        <x:v>179</x:v>
      </x:c>
      <x:c r="L153" t="str">
        <x:f>TEXTJOIN(", ",TRUE,IF(F153=K153,"IG",""),IF(G153=K153,"FFD",""),IF(H153=K153,"BFD",""),IF(I153=K153,"WFD",""),IF(J153=K153,"CTP",""))</x:f>
        <x:v>IG</x:v>
      </x:c>
      <x:c r="M153" s="14" t="n">
        <x:f>IFERROR((F153-$K153)/$K153,"")</x:f>
        <x:v>0</x:v>
      </x:c>
      <x:c r="N153" s="14" t="n">
        <x:f>IFERROR((G153-$K153)/$K153,"")</x:f>
        <x:v>0.441340782122905</x:v>
      </x:c>
      <x:c r="O153" s="14" t="n">
        <x:f>IFERROR((H153-$K153)/$K153,"")</x:f>
        <x:v>0.4581005586592179</x:v>
      </x:c>
      <x:c r="P153" s="14" t="n">
        <x:f>IFERROR((I153-$K153)/$K153,"")</x:f>
        <x:v>0.5083798882681564</x:v>
      </x:c>
      <x:c r="Q153" s="14" t="n">
        <x:f>IFERROR((J153-$K153)/$K153,"")</x:f>
        <x:v>0.11173184357541899</x:v>
      </x:c>
      <x:c r="R153" t="n">
        <x:f>--(F153=$K153)</x:f>
        <x:v>1</x:v>
      </x:c>
      <x:c r="S153" t="n">
        <x:f>--(G153=$K153)</x:f>
        <x:v>0</x:v>
      </x:c>
      <x:c r="T153" t="n">
        <x:f>--(H153=$K153)</x:f>
        <x:v>0</x:v>
      </x:c>
      <x:c r="U153" t="n">
        <x:f>--(I153=$K153)</x:f>
        <x:v>0</x:v>
      </x:c>
      <x:c r="V153" t="n">
        <x:f>--(J153=$K153)</x:f>
        <x:v>0</x:v>
      </x:c>
    </x:row>
    <x:row r="154" ht="18" customHeight="1">
      <x:c r="A154" t="str">
        <x:v>bpps_d1000n50m5w50_150s100_200f0_seed0</x:v>
      </x:c>
      <x:c r="B154" s="16" t="n">
        <x:v>50</x:v>
      </x:c>
      <x:c r="C154" s="16" t="n">
        <x:v>5</x:v>
      </x:c>
      <x:c r="D154" s="16" t="n">
        <x:v>1000</x:v>
      </x:c>
      <x:c r="E154" s="16" t="n">
        <x:v>145</x:v>
      </x:c>
      <x:c r="F154" s="12" t="n">
        <x:v>8</x:v>
      </x:c>
      <x:c r="G154" s="12" t="n">
        <x:v>9</x:v>
      </x:c>
      <x:c r="H154" s="12" t="n">
        <x:v>9</x:v>
      </x:c>
      <x:c r="I154" s="12" t="n">
        <x:v>9</x:v>
      </x:c>
      <x:c r="J154" s="12" t="n">
        <x:v>9</x:v>
      </x:c>
      <x:c r="K154" s="12" t="n">
        <x:f>MIN(F154:J154)</x:f>
        <x:v>8</x:v>
      </x:c>
      <x:c r="L154" t="str">
        <x:f>TEXTJOIN(", ",TRUE,IF(F154=K154,"IG",""),IF(G154=K154,"FFD",""),IF(H154=K154,"BFD",""),IF(I154=K154,"WFD",""),IF(J154=K154,"CTP",""))</x:f>
        <x:v>IG</x:v>
      </x:c>
      <x:c r="M154" s="14" t="n">
        <x:f>IFERROR((F154-$K154)/$K154,"")</x:f>
        <x:v>0</x:v>
      </x:c>
      <x:c r="N154" s="14" t="n">
        <x:f>IFERROR((G154-$K154)/$K154,"")</x:f>
        <x:v>0.125</x:v>
      </x:c>
      <x:c r="O154" s="14" t="n">
        <x:f>IFERROR((H154-$K154)/$K154,"")</x:f>
        <x:v>0.125</x:v>
      </x:c>
      <x:c r="P154" s="14" t="n">
        <x:f>IFERROR((I154-$K154)/$K154,"")</x:f>
        <x:v>0.125</x:v>
      </x:c>
      <x:c r="Q154" s="14" t="n">
        <x:f>IFERROR((J154-$K154)/$K154,"")</x:f>
        <x:v>0.125</x:v>
      </x:c>
      <x:c r="R154" t="n">
        <x:f>--(F154=$K154)</x:f>
        <x:v>1</x:v>
      </x:c>
      <x:c r="S154" t="n">
        <x:f>--(G154=$K154)</x:f>
        <x:v>0</x:v>
      </x:c>
      <x:c r="T154" t="n">
        <x:f>--(H154=$K154)</x:f>
        <x:v>0</x:v>
      </x:c>
      <x:c r="U154" t="n">
        <x:f>--(I154=$K154)</x:f>
        <x:v>0</x:v>
      </x:c>
      <x:c r="V154" t="n">
        <x:f>--(J154=$K154)</x:f>
        <x:v>0</x:v>
      </x:c>
    </x:row>
    <x:row r="155" ht="18" customHeight="1">
      <x:c r="A155" t="str">
        <x:v>bpps_d1000n50m5w50_150s100_200f0_seed1</x:v>
      </x:c>
      <x:c r="B155" s="16" t="n">
        <x:v>50</x:v>
      </x:c>
      <x:c r="C155" s="16" t="n">
        <x:v>5</x:v>
      </x:c>
      <x:c r="D155" s="16" t="n">
        <x:v>1000</x:v>
      </x:c>
      <x:c r="E155" s="16" t="n">
        <x:v>122</x:v>
      </x:c>
      <x:c r="F155" s="12" t="n">
        <x:v>8</x:v>
      </x:c>
      <x:c r="G155" s="12" t="n">
        <x:v>10</x:v>
      </x:c>
      <x:c r="H155" s="12" t="n">
        <x:v>10</x:v>
      </x:c>
      <x:c r="I155" s="12" t="n">
        <x:v>10</x:v>
      </x:c>
      <x:c r="J155" s="12" t="n">
        <x:v>10</x:v>
      </x:c>
      <x:c r="K155" s="12" t="n">
        <x:f>MIN(F155:J155)</x:f>
        <x:v>8</x:v>
      </x:c>
      <x:c r="L155" t="str">
        <x:f>TEXTJOIN(", ",TRUE,IF(F155=K155,"IG",""),IF(G155=K155,"FFD",""),IF(H155=K155,"BFD",""),IF(I155=K155,"WFD",""),IF(J155=K155,"CTP",""))</x:f>
        <x:v>IG</x:v>
      </x:c>
      <x:c r="M155" s="14" t="n">
        <x:f>IFERROR((F155-$K155)/$K155,"")</x:f>
        <x:v>0</x:v>
      </x:c>
      <x:c r="N155" s="14" t="n">
        <x:f>IFERROR((G155-$K155)/$K155,"")</x:f>
        <x:v>0.25</x:v>
      </x:c>
      <x:c r="O155" s="14" t="n">
        <x:f>IFERROR((H155-$K155)/$K155,"")</x:f>
        <x:v>0.25</x:v>
      </x:c>
      <x:c r="P155" s="14" t="n">
        <x:f>IFERROR((I155-$K155)/$K155,"")</x:f>
        <x:v>0.25</x:v>
      </x:c>
      <x:c r="Q155" s="14" t="n">
        <x:f>IFERROR((J155-$K155)/$K155,"")</x:f>
        <x:v>0.25</x:v>
      </x:c>
      <x:c r="R155" t="n">
        <x:f>--(F155=$K155)</x:f>
        <x:v>1</x:v>
      </x:c>
      <x:c r="S155" t="n">
        <x:f>--(G155=$K155)</x:f>
        <x:v>0</x:v>
      </x:c>
      <x:c r="T155" t="n">
        <x:f>--(H155=$K155)</x:f>
        <x:v>0</x:v>
      </x:c>
      <x:c r="U155" t="n">
        <x:f>--(I155=$K155)</x:f>
        <x:v>0</x:v>
      </x:c>
      <x:c r="V155" t="n">
        <x:f>--(J155=$K155)</x:f>
        <x:v>0</x:v>
      </x:c>
    </x:row>
    <x:row r="156" ht="18" customHeight="1">
      <x:c r="A156" t="str">
        <x:v>bpps_d1000n50m5w50_150s100_200f1_seed0</x:v>
      </x:c>
      <x:c r="B156" s="16" t="n">
        <x:v>50</x:v>
      </x:c>
      <x:c r="C156" s="16" t="n">
        <x:v>5</x:v>
      </x:c>
      <x:c r="D156" s="16" t="n">
        <x:v>1000</x:v>
      </x:c>
      <x:c r="E156" s="16" t="n">
        <x:v>132</x:v>
      </x:c>
      <x:c r="F156" s="12" t="n">
        <x:v>115</x:v>
      </x:c>
      <x:c r="G156" s="12" t="n">
        <x:v>182</x:v>
      </x:c>
      <x:c r="H156" s="12" t="n">
        <x:v>176</x:v>
      </x:c>
      <x:c r="I156" s="12" t="n">
        <x:v>190</x:v>
      </x:c>
      <x:c r="J156" s="12" t="n">
        <x:v>137</x:v>
      </x:c>
      <x:c r="K156" s="12" t="n">
        <x:f>MIN(F156:J156)</x:f>
        <x:v>115</x:v>
      </x:c>
      <x:c r="L156" t="str">
        <x:f>TEXTJOIN(", ",TRUE,IF(F156=K156,"IG",""),IF(G156=K156,"FFD",""),IF(H156=K156,"BFD",""),IF(I156=K156,"WFD",""),IF(J156=K156,"CTP",""))</x:f>
        <x:v>IG</x:v>
      </x:c>
      <x:c r="M156" s="14" t="n">
        <x:f>IFERROR((F156-$K156)/$K156,"")</x:f>
        <x:v>0</x:v>
      </x:c>
      <x:c r="N156" s="14" t="n">
        <x:f>IFERROR((G156-$K156)/$K156,"")</x:f>
        <x:v>0.5826086956521739</x:v>
      </x:c>
      <x:c r="O156" s="14" t="n">
        <x:f>IFERROR((H156-$K156)/$K156,"")</x:f>
        <x:v>0.5304347826086957</x:v>
      </x:c>
      <x:c r="P156" s="14" t="n">
        <x:f>IFERROR((I156-$K156)/$K156,"")</x:f>
        <x:v>0.6521739130434783</x:v>
      </x:c>
      <x:c r="Q156" s="14" t="n">
        <x:f>IFERROR((J156-$K156)/$K156,"")</x:f>
        <x:v>0.19130434782608696</x:v>
      </x:c>
      <x:c r="R156" t="n">
        <x:f>--(F156=$K156)</x:f>
        <x:v>1</x:v>
      </x:c>
      <x:c r="S156" t="n">
        <x:f>--(G156=$K156)</x:f>
        <x:v>0</x:v>
      </x:c>
      <x:c r="T156" t="n">
        <x:f>--(H156=$K156)</x:f>
        <x:v>0</x:v>
      </x:c>
      <x:c r="U156" t="n">
        <x:f>--(I156=$K156)</x:f>
        <x:v>0</x:v>
      </x:c>
      <x:c r="V156" t="n">
        <x:f>--(J156=$K156)</x:f>
        <x:v>0</x:v>
      </x:c>
    </x:row>
    <x:row r="157" ht="18" customHeight="1">
      <x:c r="A157" t="str">
        <x:v>bpps_d1000n50m5w50_150s100_200f1_seed1</x:v>
      </x:c>
      <x:c r="B157" s="16" t="n">
        <x:v>50</x:v>
      </x:c>
      <x:c r="C157" s="16" t="n">
        <x:v>5</x:v>
      </x:c>
      <x:c r="D157" s="16" t="n">
        <x:v>1000</x:v>
      </x:c>
      <x:c r="E157" s="16" t="n">
        <x:v>121</x:v>
      </x:c>
      <x:c r="F157" s="12" t="n">
        <x:v>105</x:v>
      </x:c>
      <x:c r="G157" s="12" t="n">
        <x:v>155</x:v>
      </x:c>
      <x:c r="H157" s="12" t="n">
        <x:v>157</x:v>
      </x:c>
      <x:c r="I157" s="12" t="n">
        <x:v>170</x:v>
      </x:c>
      <x:c r="J157" s="12" t="n">
        <x:v>122</x:v>
      </x:c>
      <x:c r="K157" s="12" t="n">
        <x:f>MIN(F157:J157)</x:f>
        <x:v>105</x:v>
      </x:c>
      <x:c r="L157" t="str">
        <x:f>TEXTJOIN(", ",TRUE,IF(F157=K157,"IG",""),IF(G157=K157,"FFD",""),IF(H157=K157,"BFD",""),IF(I157=K157,"WFD",""),IF(J157=K157,"CTP",""))</x:f>
        <x:v>IG</x:v>
      </x:c>
      <x:c r="M157" s="14" t="n">
        <x:f>IFERROR((F157-$K157)/$K157,"")</x:f>
        <x:v>0</x:v>
      </x:c>
      <x:c r="N157" s="14" t="n">
        <x:f>IFERROR((G157-$K157)/$K157,"")</x:f>
        <x:v>0.47619047619047616</x:v>
      </x:c>
      <x:c r="O157" s="14" t="n">
        <x:f>IFERROR((H157-$K157)/$K157,"")</x:f>
        <x:v>0.49523809523809526</x:v>
      </x:c>
      <x:c r="P157" s="14" t="n">
        <x:f>IFERROR((I157-$K157)/$K157,"")</x:f>
        <x:v>0.6190476190476191</x:v>
      </x:c>
      <x:c r="Q157" s="14" t="n">
        <x:f>IFERROR((J157-$K157)/$K157,"")</x:f>
        <x:v>0.1619047619047619</x:v>
      </x:c>
      <x:c r="R157" t="n">
        <x:f>--(F157=$K157)</x:f>
        <x:v>1</x:v>
      </x:c>
      <x:c r="S157" t="n">
        <x:f>--(G157=$K157)</x:f>
        <x:v>0</x:v>
      </x:c>
      <x:c r="T157" t="n">
        <x:f>--(H157=$K157)</x:f>
        <x:v>0</x:v>
      </x:c>
      <x:c r="U157" t="n">
        <x:f>--(I157=$K157)</x:f>
        <x:v>0</x:v>
      </x:c>
      <x:c r="V157" t="n">
        <x:f>--(J157=$K157)</x:f>
        <x:v>0</x:v>
      </x:c>
    </x:row>
    <x:row r="158" ht="18" customHeight="1">
      <x:c r="A158" t="str">
        <x:v>bpps_d1000n50m5w50_150s10_100f0_seed0</x:v>
      </x:c>
      <x:c r="B158" s="16" t="n">
        <x:v>50</x:v>
      </x:c>
      <x:c r="C158" s="16" t="n">
        <x:v>5</x:v>
      </x:c>
      <x:c r="D158" s="16" t="n">
        <x:v>1000</x:v>
      </x:c>
      <x:c r="E158" s="16" t="n">
        <x:v>135</x:v>
      </x:c>
      <x:c r="F158" s="12" t="n">
        <x:v>7</x:v>
      </x:c>
      <x:c r="G158" s="12" t="n">
        <x:v>7</x:v>
      </x:c>
      <x:c r="H158" s="12" t="n">
        <x:v>7</x:v>
      </x:c>
      <x:c r="I158" s="12" t="n">
        <x:v>7</x:v>
      </x:c>
      <x:c r="J158" s="12" t="n">
        <x:v>8</x:v>
      </x:c>
      <x:c r="K158" s="12" t="n">
        <x:f>MIN(F158:J158)</x:f>
        <x:v>7</x:v>
      </x:c>
      <x:c r="L158" t="str">
        <x:f>TEXTJOIN(", ",TRUE,IF(F158=K158,"IG",""),IF(G158=K158,"FFD",""),IF(H158=K158,"BFD",""),IF(I158=K158,"WFD",""),IF(J158=K158,"CTP",""))</x:f>
        <x:v>IG, FFD, BFD, WFD</x:v>
      </x:c>
      <x:c r="M158" s="14" t="n">
        <x:f>IFERROR((F158-$K158)/$K158,"")</x:f>
        <x:v>0</x:v>
      </x:c>
      <x:c r="N158" s="14" t="n">
        <x:f>IFERROR((G158-$K158)/$K158,"")</x:f>
        <x:v>0</x:v>
      </x:c>
      <x:c r="O158" s="14" t="n">
        <x:f>IFERROR((H158-$K158)/$K158,"")</x:f>
        <x:v>0</x:v>
      </x:c>
      <x:c r="P158" s="14" t="n">
        <x:f>IFERROR((I158-$K158)/$K158,"")</x:f>
        <x:v>0</x:v>
      </x:c>
      <x:c r="Q158" s="14" t="n">
        <x:f>IFERROR((J158-$K158)/$K158,"")</x:f>
        <x:v>0.14285714285714285</x:v>
      </x:c>
      <x:c r="R158" t="n">
        <x:f>--(F158=$K158)</x:f>
        <x:v>1</x:v>
      </x:c>
      <x:c r="S158" t="n">
        <x:f>--(G158=$K158)</x:f>
        <x:v>1</x:v>
      </x:c>
      <x:c r="T158" t="n">
        <x:f>--(H158=$K158)</x:f>
        <x:v>1</x:v>
      </x:c>
      <x:c r="U158" t="n">
        <x:f>--(I158=$K158)</x:f>
        <x:v>1</x:v>
      </x:c>
      <x:c r="V158" t="n">
        <x:f>--(J158=$K158)</x:f>
        <x:v>0</x:v>
      </x:c>
    </x:row>
    <x:row r="159" ht="18" customHeight="1">
      <x:c r="A159" t="str">
        <x:v>bpps_d1000n50m5w50_150s10_100f0_seed1</x:v>
      </x:c>
      <x:c r="B159" s="16" t="n">
        <x:v>50</x:v>
      </x:c>
      <x:c r="C159" s="16" t="n">
        <x:v>5</x:v>
      </x:c>
      <x:c r="D159" s="16" t="n">
        <x:v>1000</x:v>
      </x:c>
      <x:c r="E159" s="16" t="n">
        <x:v>111</x:v>
      </x:c>
      <x:c r="F159" s="12" t="n">
        <x:v>7</x:v>
      </x:c>
      <x:c r="G159" s="12" t="n">
        <x:v>8</x:v>
      </x:c>
      <x:c r="H159" s="12" t="n">
        <x:v>8</x:v>
      </x:c>
      <x:c r="I159" s="12" t="n">
        <x:v>8</x:v>
      </x:c>
      <x:c r="J159" s="12" t="n">
        <x:v>9</x:v>
      </x:c>
      <x:c r="K159" s="12" t="n">
        <x:f>MIN(F159:J159)</x:f>
        <x:v>7</x:v>
      </x:c>
      <x:c r="L159" t="str">
        <x:f>TEXTJOIN(", ",TRUE,IF(F159=K159,"IG",""),IF(G159=K159,"FFD",""),IF(H159=K159,"BFD",""),IF(I159=K159,"WFD",""),IF(J159=K159,"CTP",""))</x:f>
        <x:v>IG</x:v>
      </x:c>
      <x:c r="M159" s="14" t="n">
        <x:f>IFERROR((F159-$K159)/$K159,"")</x:f>
        <x:v>0</x:v>
      </x:c>
      <x:c r="N159" s="14" t="n">
        <x:f>IFERROR((G159-$K159)/$K159,"")</x:f>
        <x:v>0.14285714285714285</x:v>
      </x:c>
      <x:c r="O159" s="14" t="n">
        <x:f>IFERROR((H159-$K159)/$K159,"")</x:f>
        <x:v>0.14285714285714285</x:v>
      </x:c>
      <x:c r="P159" s="14" t="n">
        <x:f>IFERROR((I159-$K159)/$K159,"")</x:f>
        <x:v>0.14285714285714285</x:v>
      </x:c>
      <x:c r="Q159" s="14" t="n">
        <x:f>IFERROR((J159-$K159)/$K159,"")</x:f>
        <x:v>0.2857142857142857</x:v>
      </x:c>
      <x:c r="R159" t="n">
        <x:f>--(F159=$K159)</x:f>
        <x:v>1</x:v>
      </x:c>
      <x:c r="S159" t="n">
        <x:f>--(G159=$K159)</x:f>
        <x:v>0</x:v>
      </x:c>
      <x:c r="T159" t="n">
        <x:f>--(H159=$K159)</x:f>
        <x:v>0</x:v>
      </x:c>
      <x:c r="U159" t="n">
        <x:f>--(I159=$K159)</x:f>
        <x:v>0</x:v>
      </x:c>
      <x:c r="V159" t="n">
        <x:f>--(J159=$K159)</x:f>
        <x:v>0</x:v>
      </x:c>
    </x:row>
    <x:row r="160" ht="18" customHeight="1">
      <x:c r="A160" t="str">
        <x:v>bpps_d1000n50m5w50_150s10_100f1_seed0</x:v>
      </x:c>
      <x:c r="B160" s="16" t="n">
        <x:v>50</x:v>
      </x:c>
      <x:c r="C160" s="16" t="n">
        <x:v>5</x:v>
      </x:c>
      <x:c r="D160" s="16" t="n">
        <x:v>1000</x:v>
      </x:c>
      <x:c r="E160" s="16" t="n">
        <x:v>123</x:v>
      </x:c>
      <x:c r="F160" s="12" t="n">
        <x:v>103</x:v>
      </x:c>
      <x:c r="G160" s="12" t="n">
        <x:v>159</x:v>
      </x:c>
      <x:c r="H160" s="12" t="n">
        <x:v>159</x:v>
      </x:c>
      <x:c r="I160" s="12" t="n">
        <x:v>167</x:v>
      </x:c>
      <x:c r="J160" s="12" t="n">
        <x:v>115</x:v>
      </x:c>
      <x:c r="K160" s="12" t="n">
        <x:f>MIN(F160:J160)</x:f>
        <x:v>103</x:v>
      </x:c>
      <x:c r="L160" t="str">
        <x:f>TEXTJOIN(", ",TRUE,IF(F160=K160,"IG",""),IF(G160=K160,"FFD",""),IF(H160=K160,"BFD",""),IF(I160=K160,"WFD",""),IF(J160=K160,"CTP",""))</x:f>
        <x:v>IG</x:v>
      </x:c>
      <x:c r="M160" s="14" t="n">
        <x:f>IFERROR((F160-$K160)/$K160,"")</x:f>
        <x:v>0</x:v>
      </x:c>
      <x:c r="N160" s="14" t="n">
        <x:f>IFERROR((G160-$K160)/$K160,"")</x:f>
        <x:v>0.5436893203883495</x:v>
      </x:c>
      <x:c r="O160" s="14" t="n">
        <x:f>IFERROR((H160-$K160)/$K160,"")</x:f>
        <x:v>0.5436893203883495</x:v>
      </x:c>
      <x:c r="P160" s="14" t="n">
        <x:f>IFERROR((I160-$K160)/$K160,"")</x:f>
        <x:v>0.6213592233009708</x:v>
      </x:c>
      <x:c r="Q160" s="14" t="n">
        <x:f>IFERROR((J160-$K160)/$K160,"")</x:f>
        <x:v>0.11650485436893204</x:v>
      </x:c>
      <x:c r="R160" t="n">
        <x:f>--(F160=$K160)</x:f>
        <x:v>1</x:v>
      </x:c>
      <x:c r="S160" t="n">
        <x:f>--(G160=$K160)</x:f>
        <x:v>0</x:v>
      </x:c>
      <x:c r="T160" t="n">
        <x:f>--(H160=$K160)</x:f>
        <x:v>0</x:v>
      </x:c>
      <x:c r="U160" t="n">
        <x:f>--(I160=$K160)</x:f>
        <x:v>0</x:v>
      </x:c>
      <x:c r="V160" t="n">
        <x:f>--(J160=$K160)</x:f>
        <x:v>0</x:v>
      </x:c>
    </x:row>
    <x:row r="161" ht="18" customHeight="1">
      <x:c r="A161" t="str">
        <x:v>bpps_d1000n50m5w50_150s10_100f1_seed1</x:v>
      </x:c>
      <x:c r="B161" s="16" t="n">
        <x:v>50</x:v>
      </x:c>
      <x:c r="C161" s="16" t="n">
        <x:v>5</x:v>
      </x:c>
      <x:c r="D161" s="16" t="n">
        <x:v>1000</x:v>
      </x:c>
      <x:c r="E161" s="16" t="n">
        <x:v>126</x:v>
      </x:c>
      <x:c r="F161" s="12" t="n">
        <x:v>97</x:v>
      </x:c>
      <x:c r="G161" s="12" t="n">
        <x:v>142</x:v>
      </x:c>
      <x:c r="H161" s="12" t="n">
        <x:v>142</x:v>
      </x:c>
      <x:c r="I161" s="12" t="n">
        <x:v>134</x:v>
      </x:c>
      <x:c r="J161" s="12" t="n">
        <x:v>108</x:v>
      </x:c>
      <x:c r="K161" s="12" t="n">
        <x:f>MIN(F161:J161)</x:f>
        <x:v>97</x:v>
      </x:c>
      <x:c r="L161" t="str">
        <x:f>TEXTJOIN(", ",TRUE,IF(F161=K161,"IG",""),IF(G161=K161,"FFD",""),IF(H161=K161,"BFD",""),IF(I161=K161,"WFD",""),IF(J161=K161,"CTP",""))</x:f>
        <x:v>IG</x:v>
      </x:c>
      <x:c r="M161" s="14" t="n">
        <x:f>IFERROR((F161-$K161)/$K161,"")</x:f>
        <x:v>0</x:v>
      </x:c>
      <x:c r="N161" s="14" t="n">
        <x:f>IFERROR((G161-$K161)/$K161,"")</x:f>
        <x:v>0.4639175257731959</x:v>
      </x:c>
      <x:c r="O161" s="14" t="n">
        <x:f>IFERROR((H161-$K161)/$K161,"")</x:f>
        <x:v>0.4639175257731959</x:v>
      </x:c>
      <x:c r="P161" s="14" t="n">
        <x:f>IFERROR((I161-$K161)/$K161,"")</x:f>
        <x:v>0.38144329896907214</x:v>
      </x:c>
      <x:c r="Q161" s="14" t="n">
        <x:f>IFERROR((J161-$K161)/$K161,"")</x:f>
        <x:v>0.1134020618556701</x:v>
      </x:c>
      <x:c r="R161" t="n">
        <x:f>--(F161=$K161)</x:f>
        <x:v>1</x:v>
      </x:c>
      <x:c r="S161" t="n">
        <x:f>--(G161=$K161)</x:f>
        <x:v>0</x:v>
      </x:c>
      <x:c r="T161" t="n">
        <x:f>--(H161=$K161)</x:f>
        <x:v>0</x:v>
      </x:c>
      <x:c r="U161" t="n">
        <x:f>--(I161=$K161)</x:f>
        <x:v>0</x:v>
      </x:c>
      <x:c r="V161" t="n">
        <x:f>--(J161=$K161)</x:f>
        <x:v>0</x:v>
      </x:c>
    </x:row>
    <x:row r="162" ht="18" customHeight="1">
      <x:c r="A162" t="str">
        <x:v>bpps_d200n50m10w10_30s20_40f0_seed0</x:v>
      </x:c>
      <x:c r="B162" s="16" t="n">
        <x:v>50</x:v>
      </x:c>
      <x:c r="C162" s="16" t="n">
        <x:v>10</x:v>
      </x:c>
      <x:c r="D162" s="16" t="n">
        <x:v>200</x:v>
      </x:c>
      <x:c r="E162" s="16" t="n">
        <x:v>124</x:v>
      </x:c>
      <x:c r="F162" s="12" t="n">
        <x:v>9</x:v>
      </x:c>
      <x:c r="G162" s="12" t="n">
        <x:v>11</x:v>
      </x:c>
      <x:c r="H162" s="12" t="n">
        <x:v>11</x:v>
      </x:c>
      <x:c r="I162" s="12" t="n">
        <x:v>11</x:v>
      </x:c>
      <x:c r="J162" s="12" t="n">
        <x:v>9</x:v>
      </x:c>
      <x:c r="K162" s="12" t="n">
        <x:f>MIN(F162:J162)</x:f>
        <x:v>9</x:v>
      </x:c>
      <x:c r="L162" t="str">
        <x:f>TEXTJOIN(", ",TRUE,IF(F162=K162,"IG",""),IF(G162=K162,"FFD",""),IF(H162=K162,"BFD",""),IF(I162=K162,"WFD",""),IF(J162=K162,"CTP",""))</x:f>
        <x:v>IG, CTP</x:v>
      </x:c>
      <x:c r="M162" s="14" t="n">
        <x:f>IFERROR((F162-$K162)/$K162,"")</x:f>
        <x:v>0</x:v>
      </x:c>
      <x:c r="N162" s="14" t="n">
        <x:f>IFERROR((G162-$K162)/$K162,"")</x:f>
        <x:v>0.2222222222222222</x:v>
      </x:c>
      <x:c r="O162" s="14" t="n">
        <x:f>IFERROR((H162-$K162)/$K162,"")</x:f>
        <x:v>0.2222222222222222</x:v>
      </x:c>
      <x:c r="P162" s="14" t="n">
        <x:f>IFERROR((I162-$K162)/$K162,"")</x:f>
        <x:v>0.2222222222222222</x:v>
      </x:c>
      <x:c r="Q162" s="14" t="n">
        <x:f>IFERROR((J162-$K162)/$K162,"")</x:f>
        <x:v>0</x:v>
      </x:c>
      <x:c r="R162" t="n">
        <x:f>--(F162=$K162)</x:f>
        <x:v>1</x:v>
      </x:c>
      <x:c r="S162" t="n">
        <x:f>--(G162=$K162)</x:f>
        <x:v>0</x:v>
      </x:c>
      <x:c r="T162" t="n">
        <x:f>--(H162=$K162)</x:f>
        <x:v>0</x:v>
      </x:c>
      <x:c r="U162" t="n">
        <x:f>--(I162=$K162)</x:f>
        <x:v>0</x:v>
      </x:c>
      <x:c r="V162" t="n">
        <x:f>--(J162=$K162)</x:f>
        <x:v>1</x:v>
      </x:c>
    </x:row>
    <x:row r="163" ht="18" customHeight="1">
      <x:c r="A163" t="str">
        <x:v>bpps_d200n50m10w10_30s20_40f0_seed1</x:v>
      </x:c>
      <x:c r="B163" s="16" t="n">
        <x:v>50</x:v>
      </x:c>
      <x:c r="C163" s="16" t="n">
        <x:v>10</x:v>
      </x:c>
      <x:c r="D163" s="16" t="n">
        <x:v>200</x:v>
      </x:c>
      <x:c r="E163" s="16" t="n">
        <x:v>140</x:v>
      </x:c>
      <x:c r="F163" s="12" t="n">
        <x:v>9</x:v>
      </x:c>
      <x:c r="G163" s="12" t="n">
        <x:v>11</x:v>
      </x:c>
      <x:c r="H163" s="12" t="n">
        <x:v>11</x:v>
      </x:c>
      <x:c r="I163" s="12" t="n">
        <x:v>11</x:v>
      </x:c>
      <x:c r="J163" s="12" t="n">
        <x:v>9</x:v>
      </x:c>
      <x:c r="K163" s="12" t="n">
        <x:f>MIN(F163:J163)</x:f>
        <x:v>9</x:v>
      </x:c>
      <x:c r="L163" t="str">
        <x:f>TEXTJOIN(", ",TRUE,IF(F163=K163,"IG",""),IF(G163=K163,"FFD",""),IF(H163=K163,"BFD",""),IF(I163=K163,"WFD",""),IF(J163=K163,"CTP",""))</x:f>
        <x:v>IG, CTP</x:v>
      </x:c>
      <x:c r="M163" s="14" t="n">
        <x:f>IFERROR((F163-$K163)/$K163,"")</x:f>
        <x:v>0</x:v>
      </x:c>
      <x:c r="N163" s="14" t="n">
        <x:f>IFERROR((G163-$K163)/$K163,"")</x:f>
        <x:v>0.2222222222222222</x:v>
      </x:c>
      <x:c r="O163" s="14" t="n">
        <x:f>IFERROR((H163-$K163)/$K163,"")</x:f>
        <x:v>0.2222222222222222</x:v>
      </x:c>
      <x:c r="P163" s="14" t="n">
        <x:f>IFERROR((I163-$K163)/$K163,"")</x:f>
        <x:v>0.2222222222222222</x:v>
      </x:c>
      <x:c r="Q163" s="14" t="n">
        <x:f>IFERROR((J163-$K163)/$K163,"")</x:f>
        <x:v>0</x:v>
      </x:c>
      <x:c r="R163" t="n">
        <x:f>--(F163=$K163)</x:f>
        <x:v>1</x:v>
      </x:c>
      <x:c r="S163" t="n">
        <x:f>--(G163=$K163)</x:f>
        <x:v>0</x:v>
      </x:c>
      <x:c r="T163" t="n">
        <x:f>--(H163=$K163)</x:f>
        <x:v>0</x:v>
      </x:c>
      <x:c r="U163" t="n">
        <x:f>--(I163=$K163)</x:f>
        <x:v>0</x:v>
      </x:c>
      <x:c r="V163" t="n">
        <x:f>--(J163=$K163)</x:f>
        <x:v>1</x:v>
      </x:c>
    </x:row>
    <x:row r="164" ht="18" customHeight="1">
      <x:c r="A164" t="str">
        <x:v>bpps_d200n50m10w10_30s20_40f1_seed0</x:v>
      </x:c>
      <x:c r="B164" s="16" t="n">
        <x:v>50</x:v>
      </x:c>
      <x:c r="C164" s="16" t="n">
        <x:v>10</x:v>
      </x:c>
      <x:c r="D164" s="16" t="n">
        <x:v>200</x:v>
      </x:c>
      <x:c r="E164" s="16" t="n">
        <x:v>115</x:v>
      </x:c>
      <x:c r="F164" s="12" t="n">
        <x:v>126</x:v>
      </x:c>
      <x:c r="G164" s="12" t="n">
        <x:v>203</x:v>
      </x:c>
      <x:c r="H164" s="12" t="n">
        <x:v>205</x:v>
      </x:c>
      <x:c r="I164" s="12" t="n">
        <x:v>202</x:v>
      </x:c>
      <x:c r="J164" s="12" t="n">
        <x:v>148</x:v>
      </x:c>
      <x:c r="K164" s="12" t="n">
        <x:f>MIN(F164:J164)</x:f>
        <x:v>126</x:v>
      </x:c>
      <x:c r="L164" t="str">
        <x:f>TEXTJOIN(", ",TRUE,IF(F164=K164,"IG",""),IF(G164=K164,"FFD",""),IF(H164=K164,"BFD",""),IF(I164=K164,"WFD",""),IF(J164=K164,"CTP",""))</x:f>
        <x:v>IG</x:v>
      </x:c>
      <x:c r="M164" s="14" t="n">
        <x:f>IFERROR((F164-$K164)/$K164,"")</x:f>
        <x:v>0</x:v>
      </x:c>
      <x:c r="N164" s="14" t="n">
        <x:f>IFERROR((G164-$K164)/$K164,"")</x:f>
        <x:v>0.6111111111111112</x:v>
      </x:c>
      <x:c r="O164" s="14" t="n">
        <x:f>IFERROR((H164-$K164)/$K164,"")</x:f>
        <x:v>0.626984126984127</x:v>
      </x:c>
      <x:c r="P164" s="14" t="n">
        <x:f>IFERROR((I164-$K164)/$K164,"")</x:f>
        <x:v>0.6031746031746031</x:v>
      </x:c>
      <x:c r="Q164" s="14" t="n">
        <x:f>IFERROR((J164-$K164)/$K164,"")</x:f>
        <x:v>0.1746031746031746</x:v>
      </x:c>
      <x:c r="R164" t="n">
        <x:f>--(F164=$K164)</x:f>
        <x:v>1</x:v>
      </x:c>
      <x:c r="S164" t="n">
        <x:f>--(G164=$K164)</x:f>
        <x:v>0</x:v>
      </x:c>
      <x:c r="T164" t="n">
        <x:f>--(H164=$K164)</x:f>
        <x:v>0</x:v>
      </x:c>
      <x:c r="U164" t="n">
        <x:f>--(I164=$K164)</x:f>
        <x:v>0</x:v>
      </x:c>
      <x:c r="V164" t="n">
        <x:f>--(J164=$K164)</x:f>
        <x:v>0</x:v>
      </x:c>
    </x:row>
    <x:row r="165" ht="18" customHeight="1">
      <x:c r="A165" t="str">
        <x:v>bpps_d200n50m10w10_30s20_40f1_seed1</x:v>
      </x:c>
      <x:c r="B165" s="16" t="n">
        <x:v>50</x:v>
      </x:c>
      <x:c r="C165" s="16" t="n">
        <x:v>10</x:v>
      </x:c>
      <x:c r="D165" s="16" t="n">
        <x:v>200</x:v>
      </x:c>
      <x:c r="E165" s="16" t="n">
        <x:v>126</x:v>
      </x:c>
      <x:c r="F165" s="12" t="n">
        <x:v>127</x:v>
      </x:c>
      <x:c r="G165" s="12" t="n">
        <x:v>216</x:v>
      </x:c>
      <x:c r="H165" s="12" t="n">
        <x:v>213</x:v>
      </x:c>
      <x:c r="I165" s="12" t="n">
        <x:v>193</x:v>
      </x:c>
      <x:c r="J165" s="12" t="n">
        <x:v>137</x:v>
      </x:c>
      <x:c r="K165" s="12" t="n">
        <x:f>MIN(F165:J165)</x:f>
        <x:v>127</x:v>
      </x:c>
      <x:c r="L165" t="str">
        <x:f>TEXTJOIN(", ",TRUE,IF(F165=K165,"IG",""),IF(G165=K165,"FFD",""),IF(H165=K165,"BFD",""),IF(I165=K165,"WFD",""),IF(J165=K165,"CTP",""))</x:f>
        <x:v>IG</x:v>
      </x:c>
      <x:c r="M165" s="14" t="n">
        <x:f>IFERROR((F165-$K165)/$K165,"")</x:f>
        <x:v>0</x:v>
      </x:c>
      <x:c r="N165" s="14" t="n">
        <x:f>IFERROR((G165-$K165)/$K165,"")</x:f>
        <x:v>0.7007874015748031</x:v>
      </x:c>
      <x:c r="O165" s="14" t="n">
        <x:f>IFERROR((H165-$K165)/$K165,"")</x:f>
        <x:v>0.6771653543307087</x:v>
      </x:c>
      <x:c r="P165" s="14" t="n">
        <x:f>IFERROR((I165-$K165)/$K165,"")</x:f>
        <x:v>0.5196850393700787</x:v>
      </x:c>
      <x:c r="Q165" s="14" t="n">
        <x:f>IFERROR((J165-$K165)/$K165,"")</x:f>
        <x:v>0.07874015748031496</x:v>
      </x:c>
      <x:c r="R165" t="n">
        <x:f>--(F165=$K165)</x:f>
        <x:v>1</x:v>
      </x:c>
      <x:c r="S165" t="n">
        <x:f>--(G165=$K165)</x:f>
        <x:v>0</x:v>
      </x:c>
      <x:c r="T165" t="n">
        <x:f>--(H165=$K165)</x:f>
        <x:v>0</x:v>
      </x:c>
      <x:c r="U165" t="n">
        <x:f>--(I165=$K165)</x:f>
        <x:v>0</x:v>
      </x:c>
      <x:c r="V165" t="n">
        <x:f>--(J165=$K165)</x:f>
        <x:v>0</x:v>
      </x:c>
    </x:row>
    <x:row r="166" ht="18" customHeight="1">
      <x:c r="A166" t="str">
        <x:v>bpps_d200n50m10w10_30s2_20f0_seed0</x:v>
      </x:c>
      <x:c r="B166" s="16" t="n">
        <x:v>50</x:v>
      </x:c>
      <x:c r="C166" s="16" t="n">
        <x:v>10</x:v>
      </x:c>
      <x:c r="D166" s="16" t="n">
        <x:v>200</x:v>
      </x:c>
      <x:c r="E166" s="16" t="n">
        <x:v>115</x:v>
      </x:c>
      <x:c r="F166" s="12" t="n">
        <x:v>7</x:v>
      </x:c>
      <x:c r="G166" s="12" t="n">
        <x:v>8</x:v>
      </x:c>
      <x:c r="H166" s="12" t="n">
        <x:v>8</x:v>
      </x:c>
      <x:c r="I166" s="12" t="n">
        <x:v>8</x:v>
      </x:c>
      <x:c r="J166" s="12" t="n">
        <x:v>8</x:v>
      </x:c>
      <x:c r="K166" s="12" t="n">
        <x:f>MIN(F166:J166)</x:f>
        <x:v>7</x:v>
      </x:c>
      <x:c r="L166" t="str">
        <x:f>TEXTJOIN(", ",TRUE,IF(F166=K166,"IG",""),IF(G166=K166,"FFD",""),IF(H166=K166,"BFD",""),IF(I166=K166,"WFD",""),IF(J166=K166,"CTP",""))</x:f>
        <x:v>IG</x:v>
      </x:c>
      <x:c r="M166" s="14" t="n">
        <x:f>IFERROR((F166-$K166)/$K166,"")</x:f>
        <x:v>0</x:v>
      </x:c>
      <x:c r="N166" s="14" t="n">
        <x:f>IFERROR((G166-$K166)/$K166,"")</x:f>
        <x:v>0.14285714285714285</x:v>
      </x:c>
      <x:c r="O166" s="14" t="n">
        <x:f>IFERROR((H166-$K166)/$K166,"")</x:f>
        <x:v>0.14285714285714285</x:v>
      </x:c>
      <x:c r="P166" s="14" t="n">
        <x:f>IFERROR((I166-$K166)/$K166,"")</x:f>
        <x:v>0.14285714285714285</x:v>
      </x:c>
      <x:c r="Q166" s="14" t="n">
        <x:f>IFERROR((J166-$K166)/$K166,"")</x:f>
        <x:v>0.14285714285714285</x:v>
      </x:c>
      <x:c r="R166" t="n">
        <x:f>--(F166=$K166)</x:f>
        <x:v>1</x:v>
      </x:c>
      <x:c r="S166" t="n">
        <x:f>--(G166=$K166)</x:f>
        <x:v>0</x:v>
      </x:c>
      <x:c r="T166" t="n">
        <x:f>--(H166=$K166)</x:f>
        <x:v>0</x:v>
      </x:c>
      <x:c r="U166" t="n">
        <x:f>--(I166=$K166)</x:f>
        <x:v>0</x:v>
      </x:c>
      <x:c r="V166" t="n">
        <x:f>--(J166=$K166)</x:f>
        <x:v>0</x:v>
      </x:c>
    </x:row>
    <x:row r="167" ht="18" customHeight="1">
      <x:c r="A167" t="str">
        <x:v>bpps_d200n50m10w10_30s2_20f0_seed1</x:v>
      </x:c>
      <x:c r="B167" s="16" t="n">
        <x:v>50</x:v>
      </x:c>
      <x:c r="C167" s="16" t="n">
        <x:v>10</x:v>
      </x:c>
      <x:c r="D167" s="16" t="n">
        <x:v>200</x:v>
      </x:c>
      <x:c r="E167" s="16" t="n">
        <x:v>113</x:v>
      </x:c>
      <x:c r="F167" s="12" t="n">
        <x:v>7</x:v>
      </x:c>
      <x:c r="G167" s="12" t="n">
        <x:v>8</x:v>
      </x:c>
      <x:c r="H167" s="12" t="n">
        <x:v>8</x:v>
      </x:c>
      <x:c r="I167" s="12" t="n">
        <x:v>8</x:v>
      </x:c>
      <x:c r="J167" s="12" t="n">
        <x:v>8</x:v>
      </x:c>
      <x:c r="K167" s="12" t="n">
        <x:f>MIN(F167:J167)</x:f>
        <x:v>7</x:v>
      </x:c>
      <x:c r="L167" t="str">
        <x:f>TEXTJOIN(", ",TRUE,IF(F167=K167,"IG",""),IF(G167=K167,"FFD",""),IF(H167=K167,"BFD",""),IF(I167=K167,"WFD",""),IF(J167=K167,"CTP",""))</x:f>
        <x:v>IG</x:v>
      </x:c>
      <x:c r="M167" s="14" t="n">
        <x:f>IFERROR((F167-$K167)/$K167,"")</x:f>
        <x:v>0</x:v>
      </x:c>
      <x:c r="N167" s="14" t="n">
        <x:f>IFERROR((G167-$K167)/$K167,"")</x:f>
        <x:v>0.14285714285714285</x:v>
      </x:c>
      <x:c r="O167" s="14" t="n">
        <x:f>IFERROR((H167-$K167)/$K167,"")</x:f>
        <x:v>0.14285714285714285</x:v>
      </x:c>
      <x:c r="P167" s="14" t="n">
        <x:f>IFERROR((I167-$K167)/$K167,"")</x:f>
        <x:v>0.14285714285714285</x:v>
      </x:c>
      <x:c r="Q167" s="14" t="n">
        <x:f>IFERROR((J167-$K167)/$K167,"")</x:f>
        <x:v>0.14285714285714285</x:v>
      </x:c>
      <x:c r="R167" t="n">
        <x:f>--(F167=$K167)</x:f>
        <x:v>1</x:v>
      </x:c>
      <x:c r="S167" t="n">
        <x:f>--(G167=$K167)</x:f>
        <x:v>0</x:v>
      </x:c>
      <x:c r="T167" t="n">
        <x:f>--(H167=$K167)</x:f>
        <x:v>0</x:v>
      </x:c>
      <x:c r="U167" t="n">
        <x:f>--(I167=$K167)</x:f>
        <x:v>0</x:v>
      </x:c>
      <x:c r="V167" t="n">
        <x:f>--(J167=$K167)</x:f>
        <x:v>0</x:v>
      </x:c>
    </x:row>
    <x:row r="168" ht="18" customHeight="1">
      <x:c r="A168" t="str">
        <x:v>bpps_d200n50m10w10_30s2_20f1_seed0</x:v>
      </x:c>
      <x:c r="B168" s="16" t="n">
        <x:v>50</x:v>
      </x:c>
      <x:c r="C168" s="16" t="n">
        <x:v>10</x:v>
      </x:c>
      <x:c r="D168" s="16" t="n">
        <x:v>200</x:v>
      </x:c>
      <x:c r="E168" s="16" t="n">
        <x:v>119</x:v>
      </x:c>
      <x:c r="F168" s="12" t="n">
        <x:v>116</x:v>
      </x:c>
      <x:c r="G168" s="12" t="n">
        <x:v>180</x:v>
      </x:c>
      <x:c r="H168" s="12" t="n">
        <x:v>180</x:v>
      </x:c>
      <x:c r="I168" s="12" t="n">
        <x:v>176</x:v>
      </x:c>
      <x:c r="J168" s="12" t="n">
        <x:v>128</x:v>
      </x:c>
      <x:c r="K168" s="12" t="n">
        <x:f>MIN(F168:J168)</x:f>
        <x:v>116</x:v>
      </x:c>
      <x:c r="L168" t="str">
        <x:f>TEXTJOIN(", ",TRUE,IF(F168=K168,"IG",""),IF(G168=K168,"FFD",""),IF(H168=K168,"BFD",""),IF(I168=K168,"WFD",""),IF(J168=K168,"CTP",""))</x:f>
        <x:v>IG</x:v>
      </x:c>
      <x:c r="M168" s="14" t="n">
        <x:f>IFERROR((F168-$K168)/$K168,"")</x:f>
        <x:v>0</x:v>
      </x:c>
      <x:c r="N168" s="14" t="n">
        <x:f>IFERROR((G168-$K168)/$K168,"")</x:f>
        <x:v>0.5517241379310345</x:v>
      </x:c>
      <x:c r="O168" s="14" t="n">
        <x:f>IFERROR((H168-$K168)/$K168,"")</x:f>
        <x:v>0.5517241379310345</x:v>
      </x:c>
      <x:c r="P168" s="14" t="n">
        <x:f>IFERROR((I168-$K168)/$K168,"")</x:f>
        <x:v>0.5172413793103449</x:v>
      </x:c>
      <x:c r="Q168" s="14" t="n">
        <x:f>IFERROR((J168-$K168)/$K168,"")</x:f>
        <x:v>0.10344827586206896</x:v>
      </x:c>
      <x:c r="R168" t="n">
        <x:f>--(F168=$K168)</x:f>
        <x:v>1</x:v>
      </x:c>
      <x:c r="S168" t="n">
        <x:f>--(G168=$K168)</x:f>
        <x:v>0</x:v>
      </x:c>
      <x:c r="T168" t="n">
        <x:f>--(H168=$K168)</x:f>
        <x:v>0</x:v>
      </x:c>
      <x:c r="U168" t="n">
        <x:f>--(I168=$K168)</x:f>
        <x:v>0</x:v>
      </x:c>
      <x:c r="V168" t="n">
        <x:f>--(J168=$K168)</x:f>
        <x:v>0</x:v>
      </x:c>
    </x:row>
    <x:row r="169" ht="18" customHeight="1">
      <x:c r="A169" t="str">
        <x:v>bpps_d200n50m10w10_30s2_20f1_seed1</x:v>
      </x:c>
      <x:c r="B169" s="16" t="n">
        <x:v>50</x:v>
      </x:c>
      <x:c r="C169" s="16" t="n">
        <x:v>10</x:v>
      </x:c>
      <x:c r="D169" s="16" t="n">
        <x:v>200</x:v>
      </x:c>
      <x:c r="E169" s="16" t="n">
        <x:v>122</x:v>
      </x:c>
      <x:c r="F169" s="12" t="n">
        <x:v>129</x:v>
      </x:c>
      <x:c r="G169" s="12" t="n">
        <x:v>194</x:v>
      </x:c>
      <x:c r="H169" s="12" t="n">
        <x:v>196</x:v>
      </x:c>
      <x:c r="I169" s="12" t="n">
        <x:v>205</x:v>
      </x:c>
      <x:c r="J169" s="12" t="n">
        <x:v>139</x:v>
      </x:c>
      <x:c r="K169" s="12" t="n">
        <x:f>MIN(F169:J169)</x:f>
        <x:v>129</x:v>
      </x:c>
      <x:c r="L169" t="str">
        <x:f>TEXTJOIN(", ",TRUE,IF(F169=K169,"IG",""),IF(G169=K169,"FFD",""),IF(H169=K169,"BFD",""),IF(I169=K169,"WFD",""),IF(J169=K169,"CTP",""))</x:f>
        <x:v>IG</x:v>
      </x:c>
      <x:c r="M169" s="14" t="n">
        <x:f>IFERROR((F169-$K169)/$K169,"")</x:f>
        <x:v>0</x:v>
      </x:c>
      <x:c r="N169" s="14" t="n">
        <x:f>IFERROR((G169-$K169)/$K169,"")</x:f>
        <x:v>0.5038759689922481</x:v>
      </x:c>
      <x:c r="O169" s="14" t="n">
        <x:f>IFERROR((H169-$K169)/$K169,"")</x:f>
        <x:v>0.5193798449612403</x:v>
      </x:c>
      <x:c r="P169" s="14" t="n">
        <x:f>IFERROR((I169-$K169)/$K169,"")</x:f>
        <x:v>0.5891472868217055</x:v>
      </x:c>
      <x:c r="Q169" s="14" t="n">
        <x:f>IFERROR((J169-$K169)/$K169,"")</x:f>
        <x:v>0.07751937984496124</x:v>
      </x:c>
      <x:c r="R169" t="n">
        <x:f>--(F169=$K169)</x:f>
        <x:v>1</x:v>
      </x:c>
      <x:c r="S169" t="n">
        <x:f>--(G169=$K169)</x:f>
        <x:v>0</x:v>
      </x:c>
      <x:c r="T169" t="n">
        <x:f>--(H169=$K169)</x:f>
        <x:v>0</x:v>
      </x:c>
      <x:c r="U169" t="n">
        <x:f>--(I169=$K169)</x:f>
        <x:v>0</x:v>
      </x:c>
      <x:c r="V169" t="n">
        <x:f>--(J169=$K169)</x:f>
        <x:v>0</x:v>
      </x:c>
    </x:row>
    <x:row r="170" ht="18" customHeight="1">
      <x:c r="A170" t="str">
        <x:v>bpps_d200n50m10w30_60s20_40f0_seed0</x:v>
      </x:c>
      <x:c r="B170" s="16" t="n">
        <x:v>50</x:v>
      </x:c>
      <x:c r="C170" s="16" t="n">
        <x:v>10</x:v>
      </x:c>
      <x:c r="D170" s="16" t="n">
        <x:v>200</x:v>
      </x:c>
      <x:c r="E170" s="16" t="n">
        <x:v>118</x:v>
      </x:c>
      <x:c r="F170" s="12" t="n">
        <x:v>17</x:v>
      </x:c>
      <x:c r="G170" s="12" t="n">
        <x:v>20</x:v>
      </x:c>
      <x:c r="H170" s="12" t="n">
        <x:v>20</x:v>
      </x:c>
      <x:c r="I170" s="12" t="n">
        <x:v>20</x:v>
      </x:c>
      <x:c r="J170" s="12" t="n">
        <x:v>17</x:v>
      </x:c>
      <x:c r="K170" s="12" t="n">
        <x:f>MIN(F170:J170)</x:f>
        <x:v>17</x:v>
      </x:c>
      <x:c r="L170" t="str">
        <x:f>TEXTJOIN(", ",TRUE,IF(F170=K170,"IG",""),IF(G170=K170,"FFD",""),IF(H170=K170,"BFD",""),IF(I170=K170,"WFD",""),IF(J170=K170,"CTP",""))</x:f>
        <x:v>IG, CTP</x:v>
      </x:c>
      <x:c r="M170" s="14" t="n">
        <x:f>IFERROR((F170-$K170)/$K170,"")</x:f>
        <x:v>0</x:v>
      </x:c>
      <x:c r="N170" s="14" t="n">
        <x:f>IFERROR((G170-$K170)/$K170,"")</x:f>
        <x:v>0.17647058823529413</x:v>
      </x:c>
      <x:c r="O170" s="14" t="n">
        <x:f>IFERROR((H170-$K170)/$K170,"")</x:f>
        <x:v>0.17647058823529413</x:v>
      </x:c>
      <x:c r="P170" s="14" t="n">
        <x:f>IFERROR((I170-$K170)/$K170,"")</x:f>
        <x:v>0.17647058823529413</x:v>
      </x:c>
      <x:c r="Q170" s="14" t="n">
        <x:f>IFERROR((J170-$K170)/$K170,"")</x:f>
        <x:v>0</x:v>
      </x:c>
      <x:c r="R170" t="n">
        <x:f>--(F170=$K170)</x:f>
        <x:v>1</x:v>
      </x:c>
      <x:c r="S170" t="n">
        <x:f>--(G170=$K170)</x:f>
        <x:v>0</x:v>
      </x:c>
      <x:c r="T170" t="n">
        <x:f>--(H170=$K170)</x:f>
        <x:v>0</x:v>
      </x:c>
      <x:c r="U170" t="n">
        <x:f>--(I170=$K170)</x:f>
        <x:v>0</x:v>
      </x:c>
      <x:c r="V170" t="n">
        <x:f>--(J170=$K170)</x:f>
        <x:v>1</x:v>
      </x:c>
    </x:row>
    <x:row r="171" ht="18" customHeight="1">
      <x:c r="A171" t="str">
        <x:v>bpps_d200n50m10w30_60s20_40f0_seed1</x:v>
      </x:c>
      <x:c r="B171" s="16" t="n">
        <x:v>50</x:v>
      </x:c>
      <x:c r="C171" s="16" t="n">
        <x:v>10</x:v>
      </x:c>
      <x:c r="D171" s="16" t="n">
        <x:v>200</x:v>
      </x:c>
      <x:c r="E171" s="16" t="n">
        <x:v>118</x:v>
      </x:c>
      <x:c r="F171" s="12" t="n">
        <x:v>17</x:v>
      </x:c>
      <x:c r="G171" s="12" t="n">
        <x:v>19</x:v>
      </x:c>
      <x:c r="H171" s="12" t="n">
        <x:v>19</x:v>
      </x:c>
      <x:c r="I171" s="12" t="n">
        <x:v>19</x:v>
      </x:c>
      <x:c r="J171" s="12" t="n">
        <x:v>17</x:v>
      </x:c>
      <x:c r="K171" s="12" t="n">
        <x:f>MIN(F171:J171)</x:f>
        <x:v>17</x:v>
      </x:c>
      <x:c r="L171" t="str">
        <x:f>TEXTJOIN(", ",TRUE,IF(F171=K171,"IG",""),IF(G171=K171,"FFD",""),IF(H171=K171,"BFD",""),IF(I171=K171,"WFD",""),IF(J171=K171,"CTP",""))</x:f>
        <x:v>IG, CTP</x:v>
      </x:c>
      <x:c r="M171" s="14" t="n">
        <x:f>IFERROR((F171-$K171)/$K171,"")</x:f>
        <x:v>0</x:v>
      </x:c>
      <x:c r="N171" s="14" t="n">
        <x:f>IFERROR((G171-$K171)/$K171,"")</x:f>
        <x:v>0.11764705882352941</x:v>
      </x:c>
      <x:c r="O171" s="14" t="n">
        <x:f>IFERROR((H171-$K171)/$K171,"")</x:f>
        <x:v>0.11764705882352941</x:v>
      </x:c>
      <x:c r="P171" s="14" t="n">
        <x:f>IFERROR((I171-$K171)/$K171,"")</x:f>
        <x:v>0.11764705882352941</x:v>
      </x:c>
      <x:c r="Q171" s="14" t="n">
        <x:f>IFERROR((J171-$K171)/$K171,"")</x:f>
        <x:v>0</x:v>
      </x:c>
      <x:c r="R171" t="n">
        <x:f>--(F171=$K171)</x:f>
        <x:v>1</x:v>
      </x:c>
      <x:c r="S171" t="n">
        <x:f>--(G171=$K171)</x:f>
        <x:v>0</x:v>
      </x:c>
      <x:c r="T171" t="n">
        <x:f>--(H171=$K171)</x:f>
        <x:v>0</x:v>
      </x:c>
      <x:c r="U171" t="n">
        <x:f>--(I171=$K171)</x:f>
        <x:v>0</x:v>
      </x:c>
      <x:c r="V171" t="n">
        <x:f>--(J171=$K171)</x:f>
        <x:v>1</x:v>
      </x:c>
    </x:row>
    <x:row r="172" ht="18" customHeight="1">
      <x:c r="A172" t="str">
        <x:v>bpps_d200n50m10w30_60s20_40f1_seed0</x:v>
      </x:c>
      <x:c r="B172" s="16" t="n">
        <x:v>50</x:v>
      </x:c>
      <x:c r="C172" s="16" t="n">
        <x:v>10</x:v>
      </x:c>
      <x:c r="D172" s="16" t="n">
        <x:v>200</x:v>
      </x:c>
      <x:c r="E172" s="16" t="n">
        <x:v>135</x:v>
      </x:c>
      <x:c r="F172" s="12" t="n">
        <x:v>203</x:v>
      </x:c>
      <x:c r="G172" s="12" t="n">
        <x:v>285</x:v>
      </x:c>
      <x:c r="H172" s="12" t="n">
        <x:v>283</x:v>
      </x:c>
      <x:c r="I172" s="12" t="n">
        <x:v>284</x:v>
      </x:c>
      <x:c r="J172" s="12" t="n">
        <x:v>221</x:v>
      </x:c>
      <x:c r="K172" s="12" t="n">
        <x:f>MIN(F172:J172)</x:f>
        <x:v>203</x:v>
      </x:c>
      <x:c r="L172" t="str">
        <x:f>TEXTJOIN(", ",TRUE,IF(F172=K172,"IG",""),IF(G172=K172,"FFD",""),IF(H172=K172,"BFD",""),IF(I172=K172,"WFD",""),IF(J172=K172,"CTP",""))</x:f>
        <x:v>IG</x:v>
      </x:c>
      <x:c r="M172" s="14" t="n">
        <x:f>IFERROR((F172-$K172)/$K172,"")</x:f>
        <x:v>0</x:v>
      </x:c>
      <x:c r="N172" s="14" t="n">
        <x:f>IFERROR((G172-$K172)/$K172,"")</x:f>
        <x:v>0.4039408866995074</x:v>
      </x:c>
      <x:c r="O172" s="14" t="n">
        <x:f>IFERROR((H172-$K172)/$K172,"")</x:f>
        <x:v>0.39408866995073893</x:v>
      </x:c>
      <x:c r="P172" s="14" t="n">
        <x:f>IFERROR((I172-$K172)/$K172,"")</x:f>
        <x:v>0.39901477832512317</x:v>
      </x:c>
      <x:c r="Q172" s="14" t="n">
        <x:f>IFERROR((J172-$K172)/$K172,"")</x:f>
        <x:v>0.08866995073891626</x:v>
      </x:c>
      <x:c r="R172" t="n">
        <x:f>--(F172=$K172)</x:f>
        <x:v>1</x:v>
      </x:c>
      <x:c r="S172" t="n">
        <x:f>--(G172=$K172)</x:f>
        <x:v>0</x:v>
      </x:c>
      <x:c r="T172" t="n">
        <x:f>--(H172=$K172)</x:f>
        <x:v>0</x:v>
      </x:c>
      <x:c r="U172" t="n">
        <x:f>--(I172=$K172)</x:f>
        <x:v>0</x:v>
      </x:c>
      <x:c r="V172" t="n">
        <x:f>--(J172=$K172)</x:f>
        <x:v>0</x:v>
      </x:c>
    </x:row>
    <x:row r="173" ht="18" customHeight="1">
      <x:c r="A173" t="str">
        <x:v>bpps_d200n50m10w30_60s20_40f1_seed1</x:v>
      </x:c>
      <x:c r="B173" s="16" t="n">
        <x:v>50</x:v>
      </x:c>
      <x:c r="C173" s="16" t="n">
        <x:v>10</x:v>
      </x:c>
      <x:c r="D173" s="16" t="n">
        <x:v>200</x:v>
      </x:c>
      <x:c r="E173" s="16" t="n">
        <x:v>119</x:v>
      </x:c>
      <x:c r="F173" s="12" t="n">
        <x:v>216</x:v>
      </x:c>
      <x:c r="G173" s="12" t="n">
        <x:v>296</x:v>
      </x:c>
      <x:c r="H173" s="12" t="n">
        <x:v>305</x:v>
      </x:c>
      <x:c r="I173" s="12" t="n">
        <x:v>300</x:v>
      </x:c>
      <x:c r="J173" s="12" t="n">
        <x:v>228</x:v>
      </x:c>
      <x:c r="K173" s="12" t="n">
        <x:f>MIN(F173:J173)</x:f>
        <x:v>216</x:v>
      </x:c>
      <x:c r="L173" t="str">
        <x:f>TEXTJOIN(", ",TRUE,IF(F173=K173,"IG",""),IF(G173=K173,"FFD",""),IF(H173=K173,"BFD",""),IF(I173=K173,"WFD",""),IF(J173=K173,"CTP",""))</x:f>
        <x:v>IG</x:v>
      </x:c>
      <x:c r="M173" s="14" t="n">
        <x:f>IFERROR((F173-$K173)/$K173,"")</x:f>
        <x:v>0</x:v>
      </x:c>
      <x:c r="N173" s="14" t="n">
        <x:f>IFERROR((G173-$K173)/$K173,"")</x:f>
        <x:v>0.37037037037037035</x:v>
      </x:c>
      <x:c r="O173" s="14" t="n">
        <x:f>IFERROR((H173-$K173)/$K173,"")</x:f>
        <x:v>0.41203703703703703</x:v>
      </x:c>
      <x:c r="P173" s="14" t="n">
        <x:f>IFERROR((I173-$K173)/$K173,"")</x:f>
        <x:v>0.3888888888888889</x:v>
      </x:c>
      <x:c r="Q173" s="14" t="n">
        <x:f>IFERROR((J173-$K173)/$K173,"")</x:f>
        <x:v>0.05555555555555555</x:v>
      </x:c>
      <x:c r="R173" t="n">
        <x:f>--(F173=$K173)</x:f>
        <x:v>1</x:v>
      </x:c>
      <x:c r="S173" t="n">
        <x:f>--(G173=$K173)</x:f>
        <x:v>0</x:v>
      </x:c>
      <x:c r="T173" t="n">
        <x:f>--(H173=$K173)</x:f>
        <x:v>0</x:v>
      </x:c>
      <x:c r="U173" t="n">
        <x:f>--(I173=$K173)</x:f>
        <x:v>0</x:v>
      </x:c>
      <x:c r="V173" t="n">
        <x:f>--(J173=$K173)</x:f>
        <x:v>0</x:v>
      </x:c>
    </x:row>
    <x:row r="174" ht="18" customHeight="1">
      <x:c r="A174" t="str">
        <x:v>bpps_d200n50m10w30_60s2_20f0_seed0</x:v>
      </x:c>
      <x:c r="B174" s="16" t="n">
        <x:v>50</x:v>
      </x:c>
      <x:c r="C174" s="16" t="n">
        <x:v>10</x:v>
      </x:c>
      <x:c r="D174" s="16" t="n">
        <x:v>200</x:v>
      </x:c>
      <x:c r="E174" s="16" t="n">
        <x:v>134</x:v>
      </x:c>
      <x:c r="F174" s="12" t="n">
        <x:v>15</x:v>
      </x:c>
      <x:c r="G174" s="12" t="n">
        <x:v>15</x:v>
      </x:c>
      <x:c r="H174" s="12" t="n">
        <x:v>15</x:v>
      </x:c>
      <x:c r="I174" s="12" t="n">
        <x:v>16</x:v>
      </x:c>
      <x:c r="J174" s="12" t="n">
        <x:v>15</x:v>
      </x:c>
      <x:c r="K174" s="12" t="n">
        <x:f>MIN(F174:J174)</x:f>
        <x:v>15</x:v>
      </x:c>
      <x:c r="L174" t="str">
        <x:f>TEXTJOIN(", ",TRUE,IF(F174=K174,"IG",""),IF(G174=K174,"FFD",""),IF(H174=K174,"BFD",""),IF(I174=K174,"WFD",""),IF(J174=K174,"CTP",""))</x:f>
        <x:v>IG, FFD, BFD, CTP</x:v>
      </x:c>
      <x:c r="M174" s="14" t="n">
        <x:f>IFERROR((F174-$K174)/$K174,"")</x:f>
        <x:v>0</x:v>
      </x:c>
      <x:c r="N174" s="14" t="n">
        <x:f>IFERROR((G174-$K174)/$K174,"")</x:f>
        <x:v>0</x:v>
      </x:c>
      <x:c r="O174" s="14" t="n">
        <x:f>IFERROR((H174-$K174)/$K174,"")</x:f>
        <x:v>0</x:v>
      </x:c>
      <x:c r="P174" s="14" t="n">
        <x:f>IFERROR((I174-$K174)/$K174,"")</x:f>
        <x:v>0.06666666666666667</x:v>
      </x:c>
      <x:c r="Q174" s="14" t="n">
        <x:f>IFERROR((J174-$K174)/$K174,"")</x:f>
        <x:v>0</x:v>
      </x:c>
      <x:c r="R174" t="n">
        <x:f>--(F174=$K174)</x:f>
        <x:v>1</x:v>
      </x:c>
      <x:c r="S174" t="n">
        <x:f>--(G174=$K174)</x:f>
        <x:v>1</x:v>
      </x:c>
      <x:c r="T174" t="n">
        <x:f>--(H174=$K174)</x:f>
        <x:v>1</x:v>
      </x:c>
      <x:c r="U174" t="n">
        <x:f>--(I174=$K174)</x:f>
        <x:v>0</x:v>
      </x:c>
      <x:c r="V174" t="n">
        <x:f>--(J174=$K174)</x:f>
        <x:v>1</x:v>
      </x:c>
    </x:row>
    <x:row r="175" ht="18" customHeight="1">
      <x:c r="A175" t="str">
        <x:v>bpps_d200n50m10w30_60s2_20f0_seed1</x:v>
      </x:c>
      <x:c r="B175" s="16" t="n">
        <x:v>50</x:v>
      </x:c>
      <x:c r="C175" s="16" t="n">
        <x:v>10</x:v>
      </x:c>
      <x:c r="D175" s="16" t="n">
        <x:v>200</x:v>
      </x:c>
      <x:c r="E175" s="16" t="n">
        <x:v>108</x:v>
      </x:c>
      <x:c r="F175" s="12" t="n">
        <x:v>14</x:v>
      </x:c>
      <x:c r="G175" s="12" t="n">
        <x:v>15</x:v>
      </x:c>
      <x:c r="H175" s="12" t="n">
        <x:v>15</x:v>
      </x:c>
      <x:c r="I175" s="12" t="n">
        <x:v>15</x:v>
      </x:c>
      <x:c r="J175" s="12" t="n">
        <x:v>15</x:v>
      </x:c>
      <x:c r="K175" s="12" t="n">
        <x:f>MIN(F175:J175)</x:f>
        <x:v>14</x:v>
      </x:c>
      <x:c r="L175" t="str">
        <x:f>TEXTJOIN(", ",TRUE,IF(F175=K175,"IG",""),IF(G175=K175,"FFD",""),IF(H175=K175,"BFD",""),IF(I175=K175,"WFD",""),IF(J175=K175,"CTP",""))</x:f>
        <x:v>IG</x:v>
      </x:c>
      <x:c r="M175" s="14" t="n">
        <x:f>IFERROR((F175-$K175)/$K175,"")</x:f>
        <x:v>0</x:v>
      </x:c>
      <x:c r="N175" s="14" t="n">
        <x:f>IFERROR((G175-$K175)/$K175,"")</x:f>
        <x:v>0.07142857142857142</x:v>
      </x:c>
      <x:c r="O175" s="14" t="n">
        <x:f>IFERROR((H175-$K175)/$K175,"")</x:f>
        <x:v>0.07142857142857142</x:v>
      </x:c>
      <x:c r="P175" s="14" t="n">
        <x:f>IFERROR((I175-$K175)/$K175,"")</x:f>
        <x:v>0.07142857142857142</x:v>
      </x:c>
      <x:c r="Q175" s="14" t="n">
        <x:f>IFERROR((J175-$K175)/$K175,"")</x:f>
        <x:v>0.07142857142857142</x:v>
      </x:c>
      <x:c r="R175" t="n">
        <x:f>--(F175=$K175)</x:f>
        <x:v>1</x:v>
      </x:c>
      <x:c r="S175" t="n">
        <x:f>--(G175=$K175)</x:f>
        <x:v>0</x:v>
      </x:c>
      <x:c r="T175" t="n">
        <x:f>--(H175=$K175)</x:f>
        <x:v>0</x:v>
      </x:c>
      <x:c r="U175" t="n">
        <x:f>--(I175=$K175)</x:f>
        <x:v>0</x:v>
      </x:c>
      <x:c r="V175" t="n">
        <x:f>--(J175=$K175)</x:f>
        <x:v>0</x:v>
      </x:c>
    </x:row>
    <x:row r="176" ht="18" customHeight="1">
      <x:c r="A176" t="str">
        <x:v>bpps_d200n50m10w30_60s2_20f1_seed0</x:v>
      </x:c>
      <x:c r="B176" s="16" t="n">
        <x:v>50</x:v>
      </x:c>
      <x:c r="C176" s="16" t="n">
        <x:v>10</x:v>
      </x:c>
      <x:c r="D176" s="16" t="n">
        <x:v>200</x:v>
      </x:c>
      <x:c r="E176" s="16" t="n">
        <x:v>120</x:v>
      </x:c>
      <x:c r="F176" s="12" t="n">
        <x:v>191</x:v>
      </x:c>
      <x:c r="G176" s="12" t="n">
        <x:v>243</x:v>
      </x:c>
      <x:c r="H176" s="12" t="n">
        <x:v>247</x:v>
      </x:c>
      <x:c r="I176" s="12" t="n">
        <x:v>246</x:v>
      </x:c>
      <x:c r="J176" s="12" t="n">
        <x:v>204</x:v>
      </x:c>
      <x:c r="K176" s="12" t="n">
        <x:f>MIN(F176:J176)</x:f>
        <x:v>191</x:v>
      </x:c>
      <x:c r="L176" t="str">
        <x:f>TEXTJOIN(", ",TRUE,IF(F176=K176,"IG",""),IF(G176=K176,"FFD",""),IF(H176=K176,"BFD",""),IF(I176=K176,"WFD",""),IF(J176=K176,"CTP",""))</x:f>
        <x:v>IG</x:v>
      </x:c>
      <x:c r="M176" s="14" t="n">
        <x:f>IFERROR((F176-$K176)/$K176,"")</x:f>
        <x:v>0</x:v>
      </x:c>
      <x:c r="N176" s="14" t="n">
        <x:f>IFERROR((G176-$K176)/$K176,"")</x:f>
        <x:v>0.27225130890052357</x:v>
      </x:c>
      <x:c r="O176" s="14" t="n">
        <x:f>IFERROR((H176-$K176)/$K176,"")</x:f>
        <x:v>0.2931937172774869</x:v>
      </x:c>
      <x:c r="P176" s="14" t="n">
        <x:f>IFERROR((I176-$K176)/$K176,"")</x:f>
        <x:v>0.2879581151832461</x:v>
      </x:c>
      <x:c r="Q176" s="14" t="n">
        <x:f>IFERROR((J176-$K176)/$K176,"")</x:f>
        <x:v>0.06806282722513089</x:v>
      </x:c>
      <x:c r="R176" t="n">
        <x:f>--(F176=$K176)</x:f>
        <x:v>1</x:v>
      </x:c>
      <x:c r="S176" t="n">
        <x:f>--(G176=$K176)</x:f>
        <x:v>0</x:v>
      </x:c>
      <x:c r="T176" t="n">
        <x:f>--(H176=$K176)</x:f>
        <x:v>0</x:v>
      </x:c>
      <x:c r="U176" t="n">
        <x:f>--(I176=$K176)</x:f>
        <x:v>0</x:v>
      </x:c>
      <x:c r="V176" t="n">
        <x:f>--(J176=$K176)</x:f>
        <x:v>0</x:v>
      </x:c>
    </x:row>
    <x:row r="177" ht="18" customHeight="1">
      <x:c r="A177" t="str">
        <x:v>bpps_d200n50m10w30_60s2_20f1_seed1</x:v>
      </x:c>
      <x:c r="B177" s="16" t="n">
        <x:v>50</x:v>
      </x:c>
      <x:c r="C177" s="16" t="n">
        <x:v>10</x:v>
      </x:c>
      <x:c r="D177" s="16" t="n">
        <x:v>200</x:v>
      </x:c>
      <x:c r="E177" s="16" t="n">
        <x:v>139</x:v>
      </x:c>
      <x:c r="F177" s="12" t="n">
        <x:v>196</x:v>
      </x:c>
      <x:c r="G177" s="12" t="n">
        <x:v>281</x:v>
      </x:c>
      <x:c r="H177" s="12" t="n">
        <x:v>282</x:v>
      </x:c>
      <x:c r="I177" s="12" t="n">
        <x:v>283</x:v>
      </x:c>
      <x:c r="J177" s="12" t="n">
        <x:v>204</x:v>
      </x:c>
      <x:c r="K177" s="12" t="n">
        <x:f>MIN(F177:J177)</x:f>
        <x:v>196</x:v>
      </x:c>
      <x:c r="L177" t="str">
        <x:f>TEXTJOIN(", ",TRUE,IF(F177=K177,"IG",""),IF(G177=K177,"FFD",""),IF(H177=K177,"BFD",""),IF(I177=K177,"WFD",""),IF(J177=K177,"CTP",""))</x:f>
        <x:v>IG</x:v>
      </x:c>
      <x:c r="M177" s="14" t="n">
        <x:f>IFERROR((F177-$K177)/$K177,"")</x:f>
        <x:v>0</x:v>
      </x:c>
      <x:c r="N177" s="14" t="n">
        <x:f>IFERROR((G177-$K177)/$K177,"")</x:f>
        <x:v>0.4336734693877551</x:v>
      </x:c>
      <x:c r="O177" s="14" t="n">
        <x:f>IFERROR((H177-$K177)/$K177,"")</x:f>
        <x:v>0.4387755102040816</x:v>
      </x:c>
      <x:c r="P177" s="14" t="n">
        <x:f>IFERROR((I177-$K177)/$K177,"")</x:f>
        <x:v>0.44387755102040816</x:v>
      </x:c>
      <x:c r="Q177" s="14" t="n">
        <x:f>IFERROR((J177-$K177)/$K177,"")</x:f>
        <x:v>0.04081632653061224</x:v>
      </x:c>
      <x:c r="R177" t="n">
        <x:f>--(F177=$K177)</x:f>
        <x:v>1</x:v>
      </x:c>
      <x:c r="S177" t="n">
        <x:f>--(G177=$K177)</x:f>
        <x:v>0</x:v>
      </x:c>
      <x:c r="T177" t="n">
        <x:f>--(H177=$K177)</x:f>
        <x:v>0</x:v>
      </x:c>
      <x:c r="U177" t="n">
        <x:f>--(I177=$K177)</x:f>
        <x:v>0</x:v>
      </x:c>
      <x:c r="V177" t="n">
        <x:f>--(J177=$K177)</x:f>
        <x:v>0</x:v>
      </x:c>
    </x:row>
    <x:row r="178" ht="18" customHeight="1">
      <x:c r="A178" t="str">
        <x:v>bpps_d200n50m5w10_30s20_40f0_seed0</x:v>
      </x:c>
      <x:c r="B178" s="16" t="n">
        <x:v>50</x:v>
      </x:c>
      <x:c r="C178" s="16" t="n">
        <x:v>5</x:v>
      </x:c>
      <x:c r="D178" s="16" t="n">
        <x:v>200</x:v>
      </x:c>
      <x:c r="E178" s="16" t="n">
        <x:v>129</x:v>
      </x:c>
      <x:c r="F178" s="12" t="n">
        <x:v>8</x:v>
      </x:c>
      <x:c r="G178" s="12" t="n">
        <x:v>10</x:v>
      </x:c>
      <x:c r="H178" s="12" t="n">
        <x:v>10</x:v>
      </x:c>
      <x:c r="I178" s="12" t="n">
        <x:v>9</x:v>
      </x:c>
      <x:c r="J178" s="12" t="n">
        <x:v>9</x:v>
      </x:c>
      <x:c r="K178" s="12" t="n">
        <x:f>MIN(F178:J178)</x:f>
        <x:v>8</x:v>
      </x:c>
      <x:c r="L178" t="str">
        <x:f>TEXTJOIN(", ",TRUE,IF(F178=K178,"IG",""),IF(G178=K178,"FFD",""),IF(H178=K178,"BFD",""),IF(I178=K178,"WFD",""),IF(J178=K178,"CTP",""))</x:f>
        <x:v>IG</x:v>
      </x:c>
      <x:c r="M178" s="14" t="n">
        <x:f>IFERROR((F178-$K178)/$K178,"")</x:f>
        <x:v>0</x:v>
      </x:c>
      <x:c r="N178" s="14" t="n">
        <x:f>IFERROR((G178-$K178)/$K178,"")</x:f>
        <x:v>0.25</x:v>
      </x:c>
      <x:c r="O178" s="14" t="n">
        <x:f>IFERROR((H178-$K178)/$K178,"")</x:f>
        <x:v>0.25</x:v>
      </x:c>
      <x:c r="P178" s="14" t="n">
        <x:f>IFERROR((I178-$K178)/$K178,"")</x:f>
        <x:v>0.125</x:v>
      </x:c>
      <x:c r="Q178" s="14" t="n">
        <x:f>IFERROR((J178-$K178)/$K178,"")</x:f>
        <x:v>0.125</x:v>
      </x:c>
      <x:c r="R178" t="n">
        <x:f>--(F178=$K178)</x:f>
        <x:v>1</x:v>
      </x:c>
      <x:c r="S178" t="n">
        <x:f>--(G178=$K178)</x:f>
        <x:v>0</x:v>
      </x:c>
      <x:c r="T178" t="n">
        <x:f>--(H178=$K178)</x:f>
        <x:v>0</x:v>
      </x:c>
      <x:c r="U178" t="n">
        <x:f>--(I178=$K178)</x:f>
        <x:v>0</x:v>
      </x:c>
      <x:c r="V178" t="n">
        <x:f>--(J178=$K178)</x:f>
        <x:v>0</x:v>
      </x:c>
    </x:row>
    <x:row r="179" ht="18" customHeight="1">
      <x:c r="A179" t="str">
        <x:v>bpps_d200n50m5w10_30s20_40f0_seed1</x:v>
      </x:c>
      <x:c r="B179" s="16" t="n">
        <x:v>50</x:v>
      </x:c>
      <x:c r="C179" s="16" t="n">
        <x:v>5</x:v>
      </x:c>
      <x:c r="D179" s="16" t="n">
        <x:v>200</x:v>
      </x:c>
      <x:c r="E179" s="16" t="n">
        <x:v>159</x:v>
      </x:c>
      <x:c r="F179" s="12" t="n">
        <x:v>9</x:v>
      </x:c>
      <x:c r="G179" s="12" t="n">
        <x:v>10</x:v>
      </x:c>
      <x:c r="H179" s="12" t="n">
        <x:v>10</x:v>
      </x:c>
      <x:c r="I179" s="12" t="n">
        <x:v>10</x:v>
      </x:c>
      <x:c r="J179" s="12" t="n">
        <x:v>9</x:v>
      </x:c>
      <x:c r="K179" s="12" t="n">
        <x:f>MIN(F179:J179)</x:f>
        <x:v>9</x:v>
      </x:c>
      <x:c r="L179" t="str">
        <x:f>TEXTJOIN(", ",TRUE,IF(F179=K179,"IG",""),IF(G179=K179,"FFD",""),IF(H179=K179,"BFD",""),IF(I179=K179,"WFD",""),IF(J179=K179,"CTP",""))</x:f>
        <x:v>IG, CTP</x:v>
      </x:c>
      <x:c r="M179" s="14" t="n">
        <x:f>IFERROR((F179-$K179)/$K179,"")</x:f>
        <x:v>0</x:v>
      </x:c>
      <x:c r="N179" s="14" t="n">
        <x:f>IFERROR((G179-$K179)/$K179,"")</x:f>
        <x:v>0.1111111111111111</x:v>
      </x:c>
      <x:c r="O179" s="14" t="n">
        <x:f>IFERROR((H179-$K179)/$K179,"")</x:f>
        <x:v>0.1111111111111111</x:v>
      </x:c>
      <x:c r="P179" s="14" t="n">
        <x:f>IFERROR((I179-$K179)/$K179,"")</x:f>
        <x:v>0.1111111111111111</x:v>
      </x:c>
      <x:c r="Q179" s="14" t="n">
        <x:f>IFERROR((J179-$K179)/$K179,"")</x:f>
        <x:v>0</x:v>
      </x:c>
      <x:c r="R179" t="n">
        <x:f>--(F179=$K179)</x:f>
        <x:v>1</x:v>
      </x:c>
      <x:c r="S179" t="n">
        <x:f>--(G179=$K179)</x:f>
        <x:v>0</x:v>
      </x:c>
      <x:c r="T179" t="n">
        <x:f>--(H179=$K179)</x:f>
        <x:v>0</x:v>
      </x:c>
      <x:c r="U179" t="n">
        <x:f>--(I179=$K179)</x:f>
        <x:v>0</x:v>
      </x:c>
      <x:c r="V179" t="n">
        <x:f>--(J179=$K179)</x:f>
        <x:v>1</x:v>
      </x:c>
    </x:row>
    <x:row r="180" ht="18" customHeight="1">
      <x:c r="A180" t="str">
        <x:v>bpps_d200n50m5w10_30s20_40f1_seed0</x:v>
      </x:c>
      <x:c r="B180" s="16" t="n">
        <x:v>50</x:v>
      </x:c>
      <x:c r="C180" s="16" t="n">
        <x:v>5</x:v>
      </x:c>
      <x:c r="D180" s="16" t="n">
        <x:v>200</x:v>
      </x:c>
      <x:c r="E180" s="16" t="n">
        <x:v>118</x:v>
      </x:c>
      <x:c r="F180" s="12" t="n">
        <x:v>116</x:v>
      </x:c>
      <x:c r="G180" s="12" t="n">
        <x:v>194</x:v>
      </x:c>
      <x:c r="H180" s="12" t="n">
        <x:v>194</x:v>
      </x:c>
      <x:c r="I180" s="12" t="n">
        <x:v>185</x:v>
      </x:c>
      <x:c r="J180" s="12" t="n">
        <x:v>136</x:v>
      </x:c>
      <x:c r="K180" s="12" t="n">
        <x:f>MIN(F180:J180)</x:f>
        <x:v>116</x:v>
      </x:c>
      <x:c r="L180" t="str">
        <x:f>TEXTJOIN(", ",TRUE,IF(F180=K180,"IG",""),IF(G180=K180,"FFD",""),IF(H180=K180,"BFD",""),IF(I180=K180,"WFD",""),IF(J180=K180,"CTP",""))</x:f>
        <x:v>IG</x:v>
      </x:c>
      <x:c r="M180" s="14" t="n">
        <x:f>IFERROR((F180-$K180)/$K180,"")</x:f>
        <x:v>0</x:v>
      </x:c>
      <x:c r="N180" s="14" t="n">
        <x:f>IFERROR((G180-$K180)/$K180,"")</x:f>
        <x:v>0.6724137931034483</x:v>
      </x:c>
      <x:c r="O180" s="14" t="n">
        <x:f>IFERROR((H180-$K180)/$K180,"")</x:f>
        <x:v>0.6724137931034483</x:v>
      </x:c>
      <x:c r="P180" s="14" t="n">
        <x:f>IFERROR((I180-$K180)/$K180,"")</x:f>
        <x:v>0.5948275862068966</x:v>
      </x:c>
      <x:c r="Q180" s="14" t="n">
        <x:f>IFERROR((J180-$K180)/$K180,"")</x:f>
        <x:v>0.1724137931034483</x:v>
      </x:c>
      <x:c r="R180" t="n">
        <x:f>--(F180=$K180)</x:f>
        <x:v>1</x:v>
      </x:c>
      <x:c r="S180" t="n">
        <x:f>--(G180=$K180)</x:f>
        <x:v>0</x:v>
      </x:c>
      <x:c r="T180" t="n">
        <x:f>--(H180=$K180)</x:f>
        <x:v>0</x:v>
      </x:c>
      <x:c r="U180" t="n">
        <x:f>--(I180=$K180)</x:f>
        <x:v>0</x:v>
      </x:c>
      <x:c r="V180" t="n">
        <x:f>--(J180=$K180)</x:f>
        <x:v>0</x:v>
      </x:c>
    </x:row>
    <x:row r="181" ht="18" customHeight="1">
      <x:c r="A181" t="str">
        <x:v>bpps_d200n50m5w10_30s20_40f1_seed1</x:v>
      </x:c>
      <x:c r="B181" s="16" t="n">
        <x:v>50</x:v>
      </x:c>
      <x:c r="C181" s="16" t="n">
        <x:v>5</x:v>
      </x:c>
      <x:c r="D181" s="16" t="n">
        <x:v>200</x:v>
      </x:c>
      <x:c r="E181" s="16" t="n">
        <x:v>122</x:v>
      </x:c>
      <x:c r="F181" s="12" t="n">
        <x:v>110</x:v>
      </x:c>
      <x:c r="G181" s="12" t="n">
        <x:v>196</x:v>
      </x:c>
      <x:c r="H181" s="12" t="n">
        <x:v>191</x:v>
      </x:c>
      <x:c r="I181" s="12" t="n">
        <x:v>175</x:v>
      </x:c>
      <x:c r="J181" s="12" t="n">
        <x:v>125</x:v>
      </x:c>
      <x:c r="K181" s="12" t="n">
        <x:f>MIN(F181:J181)</x:f>
        <x:v>110</x:v>
      </x:c>
      <x:c r="L181" t="str">
        <x:f>TEXTJOIN(", ",TRUE,IF(F181=K181,"IG",""),IF(G181=K181,"FFD",""),IF(H181=K181,"BFD",""),IF(I181=K181,"WFD",""),IF(J181=K181,"CTP",""))</x:f>
        <x:v>IG</x:v>
      </x:c>
      <x:c r="M181" s="14" t="n">
        <x:f>IFERROR((F181-$K181)/$K181,"")</x:f>
        <x:v>0</x:v>
      </x:c>
      <x:c r="N181" s="14" t="n">
        <x:f>IFERROR((G181-$K181)/$K181,"")</x:f>
        <x:v>0.7818181818181819</x:v>
      </x:c>
      <x:c r="O181" s="14" t="n">
        <x:f>IFERROR((H181-$K181)/$K181,"")</x:f>
        <x:v>0.7363636363636363</x:v>
      </x:c>
      <x:c r="P181" s="14" t="n">
        <x:f>IFERROR((I181-$K181)/$K181,"")</x:f>
        <x:v>0.5909090909090909</x:v>
      </x:c>
      <x:c r="Q181" s="14" t="n">
        <x:f>IFERROR((J181-$K181)/$K181,"")</x:f>
        <x:v>0.13636363636363635</x:v>
      </x:c>
      <x:c r="R181" t="n">
        <x:f>--(F181=$K181)</x:f>
        <x:v>1</x:v>
      </x:c>
      <x:c r="S181" t="n">
        <x:f>--(G181=$K181)</x:f>
        <x:v>0</x:v>
      </x:c>
      <x:c r="T181" t="n">
        <x:f>--(H181=$K181)</x:f>
        <x:v>0</x:v>
      </x:c>
      <x:c r="U181" t="n">
        <x:f>--(I181=$K181)</x:f>
        <x:v>0</x:v>
      </x:c>
      <x:c r="V181" t="n">
        <x:f>--(J181=$K181)</x:f>
        <x:v>0</x:v>
      </x:c>
    </x:row>
    <x:row r="182" ht="18" customHeight="1">
      <x:c r="A182" t="str">
        <x:v>bpps_d200n50m5w10_30s2_20f0_seed0</x:v>
      </x:c>
      <x:c r="B182" s="16" t="n">
        <x:v>50</x:v>
      </x:c>
      <x:c r="C182" s="16" t="n">
        <x:v>5</x:v>
      </x:c>
      <x:c r="D182" s="16" t="n">
        <x:v>200</x:v>
      </x:c>
      <x:c r="E182" s="16" t="n">
        <x:v>132</x:v>
      </x:c>
      <x:c r="F182" s="12" t="n">
        <x:v>7</x:v>
      </x:c>
      <x:c r="G182" s="12" t="n">
        <x:v>7</x:v>
      </x:c>
      <x:c r="H182" s="12" t="n">
        <x:v>7</x:v>
      </x:c>
      <x:c r="I182" s="12" t="n">
        <x:v>7</x:v>
      </x:c>
      <x:c r="J182" s="12" t="n">
        <x:v>8</x:v>
      </x:c>
      <x:c r="K182" s="12" t="n">
        <x:f>MIN(F182:J182)</x:f>
        <x:v>7</x:v>
      </x:c>
      <x:c r="L182" t="str">
        <x:f>TEXTJOIN(", ",TRUE,IF(F182=K182,"IG",""),IF(G182=K182,"FFD",""),IF(H182=K182,"BFD",""),IF(I182=K182,"WFD",""),IF(J182=K182,"CTP",""))</x:f>
        <x:v>IG, FFD, BFD, WFD</x:v>
      </x:c>
      <x:c r="M182" s="14" t="n">
        <x:f>IFERROR((F182-$K182)/$K182,"")</x:f>
        <x:v>0</x:v>
      </x:c>
      <x:c r="N182" s="14" t="n">
        <x:f>IFERROR((G182-$K182)/$K182,"")</x:f>
        <x:v>0</x:v>
      </x:c>
      <x:c r="O182" s="14" t="n">
        <x:f>IFERROR((H182-$K182)/$K182,"")</x:f>
        <x:v>0</x:v>
      </x:c>
      <x:c r="P182" s="14" t="n">
        <x:f>IFERROR((I182-$K182)/$K182,"")</x:f>
        <x:v>0</x:v>
      </x:c>
      <x:c r="Q182" s="14" t="n">
        <x:f>IFERROR((J182-$K182)/$K182,"")</x:f>
        <x:v>0.14285714285714285</x:v>
      </x:c>
      <x:c r="R182" t="n">
        <x:f>--(F182=$K182)</x:f>
        <x:v>1</x:v>
      </x:c>
      <x:c r="S182" t="n">
        <x:f>--(G182=$K182)</x:f>
        <x:v>1</x:v>
      </x:c>
      <x:c r="T182" t="n">
        <x:f>--(H182=$K182)</x:f>
        <x:v>1</x:v>
      </x:c>
      <x:c r="U182" t="n">
        <x:f>--(I182=$K182)</x:f>
        <x:v>1</x:v>
      </x:c>
      <x:c r="V182" t="n">
        <x:f>--(J182=$K182)</x:f>
        <x:v>0</x:v>
      </x:c>
    </x:row>
    <x:row r="183" ht="18" customHeight="1">
      <x:c r="A183" t="str">
        <x:v>bpps_d200n50m5w10_30s2_20f0_seed1</x:v>
      </x:c>
      <x:c r="B183" s="16" t="n">
        <x:v>50</x:v>
      </x:c>
      <x:c r="C183" s="16" t="n">
        <x:v>5</x:v>
      </x:c>
      <x:c r="D183" s="16" t="n">
        <x:v>200</x:v>
      </x:c>
      <x:c r="E183" s="16" t="n">
        <x:v>116</x:v>
      </x:c>
      <x:c r="F183" s="12" t="n">
        <x:v>7</x:v>
      </x:c>
      <x:c r="G183" s="12" t="n">
        <x:v>7</x:v>
      </x:c>
      <x:c r="H183" s="12" t="n">
        <x:v>7</x:v>
      </x:c>
      <x:c r="I183" s="12" t="n">
        <x:v>7</x:v>
      </x:c>
      <x:c r="J183" s="12" t="n">
        <x:v>7</x:v>
      </x:c>
      <x:c r="K183" s="12" t="n">
        <x:f>MIN(F183:J183)</x:f>
        <x:v>7</x:v>
      </x:c>
      <x:c r="L183" t="str">
        <x:f>TEXTJOIN(", ",TRUE,IF(F183=K183,"IG",""),IF(G183=K183,"FFD",""),IF(H183=K183,"BFD",""),IF(I183=K183,"WFD",""),IF(J183=K183,"CTP",""))</x:f>
        <x:v>IG, FFD, BFD, WFD, CTP</x:v>
      </x:c>
      <x:c r="M183" s="14" t="n">
        <x:f>IFERROR((F183-$K183)/$K183,"")</x:f>
        <x:v>0</x:v>
      </x:c>
      <x:c r="N183" s="14" t="n">
        <x:f>IFERROR((G183-$K183)/$K183,"")</x:f>
        <x:v>0</x:v>
      </x:c>
      <x:c r="O183" s="14" t="n">
        <x:f>IFERROR((H183-$K183)/$K183,"")</x:f>
        <x:v>0</x:v>
      </x:c>
      <x:c r="P183" s="14" t="n">
        <x:f>IFERROR((I183-$K183)/$K183,"")</x:f>
        <x:v>0</x:v>
      </x:c>
      <x:c r="Q183" s="14" t="n">
        <x:f>IFERROR((J183-$K183)/$K183,"")</x:f>
        <x:v>0</x:v>
      </x:c>
      <x:c r="R183" t="n">
        <x:f>--(F183=$K183)</x:f>
        <x:v>1</x:v>
      </x:c>
      <x:c r="S183" t="n">
        <x:f>--(G183=$K183)</x:f>
        <x:v>1</x:v>
      </x:c>
      <x:c r="T183" t="n">
        <x:f>--(H183=$K183)</x:f>
        <x:v>1</x:v>
      </x:c>
      <x:c r="U183" t="n">
        <x:f>--(I183=$K183)</x:f>
        <x:v>1</x:v>
      </x:c>
      <x:c r="V183" t="n">
        <x:f>--(J183=$K183)</x:f>
        <x:v>1</x:v>
      </x:c>
    </x:row>
    <x:row r="184" ht="18" customHeight="1">
      <x:c r="A184" t="str">
        <x:v>bpps_d200n50m5w10_30s2_20f1_seed0</x:v>
      </x:c>
      <x:c r="B184" s="16" t="n">
        <x:v>50</x:v>
      </x:c>
      <x:c r="C184" s="16" t="n">
        <x:v>5</x:v>
      </x:c>
      <x:c r="D184" s="16" t="n">
        <x:v>200</x:v>
      </x:c>
      <x:c r="E184" s="16" t="n">
        <x:v>130</x:v>
      </x:c>
      <x:c r="F184" s="12" t="n">
        <x:v>111</x:v>
      </x:c>
      <x:c r="G184" s="12" t="n">
        <x:v>169</x:v>
      </x:c>
      <x:c r="H184" s="12" t="n">
        <x:v>169</x:v>
      </x:c>
      <x:c r="I184" s="12" t="n">
        <x:v>179</x:v>
      </x:c>
      <x:c r="J184" s="12" t="n">
        <x:v>124</x:v>
      </x:c>
      <x:c r="K184" s="12" t="n">
        <x:f>MIN(F184:J184)</x:f>
        <x:v>111</x:v>
      </x:c>
      <x:c r="L184" t="str">
        <x:f>TEXTJOIN(", ",TRUE,IF(F184=K184,"IG",""),IF(G184=K184,"FFD",""),IF(H184=K184,"BFD",""),IF(I184=K184,"WFD",""),IF(J184=K184,"CTP",""))</x:f>
        <x:v>IG</x:v>
      </x:c>
      <x:c r="M184" s="14" t="n">
        <x:f>IFERROR((F184-$K184)/$K184,"")</x:f>
        <x:v>0</x:v>
      </x:c>
      <x:c r="N184" s="14" t="n">
        <x:f>IFERROR((G184-$K184)/$K184,"")</x:f>
        <x:v>0.5225225225225225</x:v>
      </x:c>
      <x:c r="O184" s="14" t="n">
        <x:f>IFERROR((H184-$K184)/$K184,"")</x:f>
        <x:v>0.5225225225225225</x:v>
      </x:c>
      <x:c r="P184" s="14" t="n">
        <x:f>IFERROR((I184-$K184)/$K184,"")</x:f>
        <x:v>0.6126126126126126</x:v>
      </x:c>
      <x:c r="Q184" s="14" t="n">
        <x:f>IFERROR((J184-$K184)/$K184,"")</x:f>
        <x:v>0.11711711711711711</x:v>
      </x:c>
      <x:c r="R184" t="n">
        <x:f>--(F184=$K184)</x:f>
        <x:v>1</x:v>
      </x:c>
      <x:c r="S184" t="n">
        <x:f>--(G184=$K184)</x:f>
        <x:v>0</x:v>
      </x:c>
      <x:c r="T184" t="n">
        <x:f>--(H184=$K184)</x:f>
        <x:v>0</x:v>
      </x:c>
      <x:c r="U184" t="n">
        <x:f>--(I184=$K184)</x:f>
        <x:v>0</x:v>
      </x:c>
      <x:c r="V184" t="n">
        <x:f>--(J184=$K184)</x:f>
        <x:v>0</x:v>
      </x:c>
    </x:row>
    <x:row r="185" ht="18" customHeight="1">
      <x:c r="A185" t="str">
        <x:v>bpps_d200n50m5w10_30s2_20f1_seed1</x:v>
      </x:c>
      <x:c r="B185" s="16" t="n">
        <x:v>50</x:v>
      </x:c>
      <x:c r="C185" s="16" t="n">
        <x:v>5</x:v>
      </x:c>
      <x:c r="D185" s="16" t="n">
        <x:v>200</x:v>
      </x:c>
      <x:c r="E185" s="16" t="n">
        <x:v>112</x:v>
      </x:c>
      <x:c r="F185" s="12" t="n">
        <x:v>95</x:v>
      </x:c>
      <x:c r="G185" s="12" t="n">
        <x:v>162</x:v>
      </x:c>
      <x:c r="H185" s="12" t="n">
        <x:v>162</x:v>
      </x:c>
      <x:c r="I185" s="12" t="n">
        <x:v>156</x:v>
      </x:c>
      <x:c r="J185" s="12" t="n">
        <x:v>114</x:v>
      </x:c>
      <x:c r="K185" s="12" t="n">
        <x:f>MIN(F185:J185)</x:f>
        <x:v>95</x:v>
      </x:c>
      <x:c r="L185" t="str">
        <x:f>TEXTJOIN(", ",TRUE,IF(F185=K185,"IG",""),IF(G185=K185,"FFD",""),IF(H185=K185,"BFD",""),IF(I185=K185,"WFD",""),IF(J185=K185,"CTP",""))</x:f>
        <x:v>IG</x:v>
      </x:c>
      <x:c r="M185" s="14" t="n">
        <x:f>IFERROR((F185-$K185)/$K185,"")</x:f>
        <x:v>0</x:v>
      </x:c>
      <x:c r="N185" s="14" t="n">
        <x:f>IFERROR((G185-$K185)/$K185,"")</x:f>
        <x:v>0.7052631578947368</x:v>
      </x:c>
      <x:c r="O185" s="14" t="n">
        <x:f>IFERROR((H185-$K185)/$K185,"")</x:f>
        <x:v>0.7052631578947368</x:v>
      </x:c>
      <x:c r="P185" s="14" t="n">
        <x:f>IFERROR((I185-$K185)/$K185,"")</x:f>
        <x:v>0.6421052631578947</x:v>
      </x:c>
      <x:c r="Q185" s="14" t="n">
        <x:f>IFERROR((J185-$K185)/$K185,"")</x:f>
        <x:v>0.2</x:v>
      </x:c>
      <x:c r="R185" t="n">
        <x:f>--(F185=$K185)</x:f>
        <x:v>1</x:v>
      </x:c>
      <x:c r="S185" t="n">
        <x:f>--(G185=$K185)</x:f>
        <x:v>0</x:v>
      </x:c>
      <x:c r="T185" t="n">
        <x:f>--(H185=$K185)</x:f>
        <x:v>0</x:v>
      </x:c>
      <x:c r="U185" t="n">
        <x:f>--(I185=$K185)</x:f>
        <x:v>0</x:v>
      </x:c>
      <x:c r="V185" t="n">
        <x:f>--(J185=$K185)</x:f>
        <x:v>0</x:v>
      </x:c>
    </x:row>
    <x:row r="186" ht="18" customHeight="1">
      <x:c r="A186" t="str">
        <x:v>bpps_d200n50m5w30_60s20_40f0_seed0</x:v>
      </x:c>
      <x:c r="B186" s="16" t="n">
        <x:v>50</x:v>
      </x:c>
      <x:c r="C186" s="16" t="n">
        <x:v>5</x:v>
      </x:c>
      <x:c r="D186" s="16" t="n">
        <x:v>200</x:v>
      </x:c>
      <x:c r="E186" s="16" t="n">
        <x:v>129</x:v>
      </x:c>
      <x:c r="F186" s="12" t="n">
        <x:v>16</x:v>
      </x:c>
      <x:c r="G186" s="12" t="n">
        <x:v>19</x:v>
      </x:c>
      <x:c r="H186" s="12" t="n">
        <x:v>19</x:v>
      </x:c>
      <x:c r="I186" s="12" t="n">
        <x:v>19</x:v>
      </x:c>
      <x:c r="J186" s="12" t="n">
        <x:v>16</x:v>
      </x:c>
      <x:c r="K186" s="12" t="n">
        <x:f>MIN(F186:J186)</x:f>
        <x:v>16</x:v>
      </x:c>
      <x:c r="L186" t="str">
        <x:f>TEXTJOIN(", ",TRUE,IF(F186=K186,"IG",""),IF(G186=K186,"FFD",""),IF(H186=K186,"BFD",""),IF(I186=K186,"WFD",""),IF(J186=K186,"CTP",""))</x:f>
        <x:v>IG, CTP</x:v>
      </x:c>
      <x:c r="M186" s="14" t="n">
        <x:f>IFERROR((F186-$K186)/$K186,"")</x:f>
        <x:v>0</x:v>
      </x:c>
      <x:c r="N186" s="14" t="n">
        <x:f>IFERROR((G186-$K186)/$K186,"")</x:f>
        <x:v>0.1875</x:v>
      </x:c>
      <x:c r="O186" s="14" t="n">
        <x:f>IFERROR((H186-$K186)/$K186,"")</x:f>
        <x:v>0.1875</x:v>
      </x:c>
      <x:c r="P186" s="14" t="n">
        <x:f>IFERROR((I186-$K186)/$K186,"")</x:f>
        <x:v>0.1875</x:v>
      </x:c>
      <x:c r="Q186" s="14" t="n">
        <x:f>IFERROR((J186-$K186)/$K186,"")</x:f>
        <x:v>0</x:v>
      </x:c>
      <x:c r="R186" t="n">
        <x:f>--(F186=$K186)</x:f>
        <x:v>1</x:v>
      </x:c>
      <x:c r="S186" t="n">
        <x:f>--(G186=$K186)</x:f>
        <x:v>0</x:v>
      </x:c>
      <x:c r="T186" t="n">
        <x:f>--(H186=$K186)</x:f>
        <x:v>0</x:v>
      </x:c>
      <x:c r="U186" t="n">
        <x:f>--(I186=$K186)</x:f>
        <x:v>0</x:v>
      </x:c>
      <x:c r="V186" t="n">
        <x:f>--(J186=$K186)</x:f>
        <x:v>1</x:v>
      </x:c>
    </x:row>
    <x:row r="187" ht="18" customHeight="1">
      <x:c r="A187" t="str">
        <x:v>bpps_d200n50m5w30_60s20_40f0_seed1</x:v>
      </x:c>
      <x:c r="B187" s="16" t="n">
        <x:v>50</x:v>
      </x:c>
      <x:c r="C187" s="16" t="n">
        <x:v>5</x:v>
      </x:c>
      <x:c r="D187" s="16" t="n">
        <x:v>200</x:v>
      </x:c>
      <x:c r="E187" s="16" t="n">
        <x:v>124</x:v>
      </x:c>
      <x:c r="F187" s="12" t="n">
        <x:v>16</x:v>
      </x:c>
      <x:c r="G187" s="12" t="n">
        <x:v>17</x:v>
      </x:c>
      <x:c r="H187" s="12" t="n">
        <x:v>17</x:v>
      </x:c>
      <x:c r="I187" s="12" t="n">
        <x:v>18</x:v>
      </x:c>
      <x:c r="J187" s="12" t="n">
        <x:v>16</x:v>
      </x:c>
      <x:c r="K187" s="12" t="n">
        <x:f>MIN(F187:J187)</x:f>
        <x:v>16</x:v>
      </x:c>
      <x:c r="L187" t="str">
        <x:f>TEXTJOIN(", ",TRUE,IF(F187=K187,"IG",""),IF(G187=K187,"FFD",""),IF(H187=K187,"BFD",""),IF(I187=K187,"WFD",""),IF(J187=K187,"CTP",""))</x:f>
        <x:v>IG, CTP</x:v>
      </x:c>
      <x:c r="M187" s="14" t="n">
        <x:f>IFERROR((F187-$K187)/$K187,"")</x:f>
        <x:v>0</x:v>
      </x:c>
      <x:c r="N187" s="14" t="n">
        <x:f>IFERROR((G187-$K187)/$K187,"")</x:f>
        <x:v>0.0625</x:v>
      </x:c>
      <x:c r="O187" s="14" t="n">
        <x:f>IFERROR((H187-$K187)/$K187,"")</x:f>
        <x:v>0.0625</x:v>
      </x:c>
      <x:c r="P187" s="14" t="n">
        <x:f>IFERROR((I187-$K187)/$K187,"")</x:f>
        <x:v>0.125</x:v>
      </x:c>
      <x:c r="Q187" s="14" t="n">
        <x:f>IFERROR((J187-$K187)/$K187,"")</x:f>
        <x:v>0</x:v>
      </x:c>
      <x:c r="R187" t="n">
        <x:f>--(F187=$K187)</x:f>
        <x:v>1</x:v>
      </x:c>
      <x:c r="S187" t="n">
        <x:f>--(G187=$K187)</x:f>
        <x:v>0</x:v>
      </x:c>
      <x:c r="T187" t="n">
        <x:f>--(H187=$K187)</x:f>
        <x:v>0</x:v>
      </x:c>
      <x:c r="U187" t="n">
        <x:f>--(I187=$K187)</x:f>
        <x:v>0</x:v>
      </x:c>
      <x:c r="V187" t="n">
        <x:f>--(J187=$K187)</x:f>
        <x:v>1</x:v>
      </x:c>
    </x:row>
    <x:row r="188" ht="18" customHeight="1">
      <x:c r="A188" t="str">
        <x:v>bpps_d200n50m5w30_60s20_40f1_seed0</x:v>
      </x:c>
      <x:c r="B188" s="16" t="n">
        <x:v>50</x:v>
      </x:c>
      <x:c r="C188" s="16" t="n">
        <x:v>5</x:v>
      </x:c>
      <x:c r="D188" s="16" t="n">
        <x:v>200</x:v>
      </x:c>
      <x:c r="E188" s="16" t="n">
        <x:v>120</x:v>
      </x:c>
      <x:c r="F188" s="12" t="n">
        <x:v>209</x:v>
      </x:c>
      <x:c r="G188" s="12" t="n">
        <x:v>291</x:v>
      </x:c>
      <x:c r="H188" s="12" t="n">
        <x:v>291</x:v>
      </x:c>
      <x:c r="I188" s="12" t="n">
        <x:v>283</x:v>
      </x:c>
      <x:c r="J188" s="12" t="n">
        <x:v>227</x:v>
      </x:c>
      <x:c r="K188" s="12" t="n">
        <x:f>MIN(F188:J188)</x:f>
        <x:v>209</x:v>
      </x:c>
      <x:c r="L188" t="str">
        <x:f>TEXTJOIN(", ",TRUE,IF(F188=K188,"IG",""),IF(G188=K188,"FFD",""),IF(H188=K188,"BFD",""),IF(I188=K188,"WFD",""),IF(J188=K188,"CTP",""))</x:f>
        <x:v>IG</x:v>
      </x:c>
      <x:c r="M188" s="14" t="n">
        <x:f>IFERROR((F188-$K188)/$K188,"")</x:f>
        <x:v>0</x:v>
      </x:c>
      <x:c r="N188" s="14" t="n">
        <x:f>IFERROR((G188-$K188)/$K188,"")</x:f>
        <x:v>0.3923444976076555</x:v>
      </x:c>
      <x:c r="O188" s="14" t="n">
        <x:f>IFERROR((H188-$K188)/$K188,"")</x:f>
        <x:v>0.3923444976076555</x:v>
      </x:c>
      <x:c r="P188" s="14" t="n">
        <x:f>IFERROR((I188-$K188)/$K188,"")</x:f>
        <x:v>0.35406698564593303</x:v>
      </x:c>
      <x:c r="Q188" s="14" t="n">
        <x:f>IFERROR((J188-$K188)/$K188,"")</x:f>
        <x:v>0.0861244019138756</x:v>
      </x:c>
      <x:c r="R188" t="n">
        <x:f>--(F188=$K188)</x:f>
        <x:v>1</x:v>
      </x:c>
      <x:c r="S188" t="n">
        <x:f>--(G188=$K188)</x:f>
        <x:v>0</x:v>
      </x:c>
      <x:c r="T188" t="n">
        <x:f>--(H188=$K188)</x:f>
        <x:v>0</x:v>
      </x:c>
      <x:c r="U188" t="n">
        <x:f>--(I188=$K188)</x:f>
        <x:v>0</x:v>
      </x:c>
      <x:c r="V188" t="n">
        <x:f>--(J188=$K188)</x:f>
        <x:v>0</x:v>
      </x:c>
    </x:row>
    <x:row r="189" ht="18" customHeight="1">
      <x:c r="A189" t="str">
        <x:v>bpps_d200n50m5w30_60s20_40f1_seed1</x:v>
      </x:c>
      <x:c r="B189" s="16" t="n">
        <x:v>50</x:v>
      </x:c>
      <x:c r="C189" s="16" t="n">
        <x:v>5</x:v>
      </x:c>
      <x:c r="D189" s="16" t="n">
        <x:v>200</x:v>
      </x:c>
      <x:c r="E189" s="16" t="n">
        <x:v>117</x:v>
      </x:c>
      <x:c r="F189" s="12" t="n">
        <x:v>209</x:v>
      </x:c>
      <x:c r="G189" s="12" t="n">
        <x:v>278</x:v>
      </x:c>
      <x:c r="H189" s="12" t="n">
        <x:v>276</x:v>
      </x:c>
      <x:c r="I189" s="12" t="n">
        <x:v>286</x:v>
      </x:c>
      <x:c r="J189" s="12" t="n">
        <x:v>229</x:v>
      </x:c>
      <x:c r="K189" s="12" t="n">
        <x:f>MIN(F189:J189)</x:f>
        <x:v>209</x:v>
      </x:c>
      <x:c r="L189" t="str">
        <x:f>TEXTJOIN(", ",TRUE,IF(F189=K189,"IG",""),IF(G189=K189,"FFD",""),IF(H189=K189,"BFD",""),IF(I189=K189,"WFD",""),IF(J189=K189,"CTP",""))</x:f>
        <x:v>IG</x:v>
      </x:c>
      <x:c r="M189" s="14" t="n">
        <x:f>IFERROR((F189-$K189)/$K189,"")</x:f>
        <x:v>0</x:v>
      </x:c>
      <x:c r="N189" s="14" t="n">
        <x:f>IFERROR((G189-$K189)/$K189,"")</x:f>
        <x:v>0.33014354066985646</x:v>
      </x:c>
      <x:c r="O189" s="14" t="n">
        <x:f>IFERROR((H189-$K189)/$K189,"")</x:f>
        <x:v>0.32057416267942584</x:v>
      </x:c>
      <x:c r="P189" s="14" t="n">
        <x:f>IFERROR((I189-$K189)/$K189,"")</x:f>
        <x:v>0.3684210526315789</x:v>
      </x:c>
      <x:c r="Q189" s="14" t="n">
        <x:f>IFERROR((J189-$K189)/$K189,"")</x:f>
        <x:v>0.09569377990430622</x:v>
      </x:c>
      <x:c r="R189" t="n">
        <x:f>--(F189=$K189)</x:f>
        <x:v>1</x:v>
      </x:c>
      <x:c r="S189" t="n">
        <x:f>--(G189=$K189)</x:f>
        <x:v>0</x:v>
      </x:c>
      <x:c r="T189" t="n">
        <x:f>--(H189=$K189)</x:f>
        <x:v>0</x:v>
      </x:c>
      <x:c r="U189" t="n">
        <x:f>--(I189=$K189)</x:f>
        <x:v>0</x:v>
      </x:c>
      <x:c r="V189" t="n">
        <x:f>--(J189=$K189)</x:f>
        <x:v>0</x:v>
      </x:c>
    </x:row>
    <x:row r="190" ht="18" customHeight="1">
      <x:c r="A190" t="str">
        <x:v>bpps_d200n50m5w30_60s2_20f0_seed0</x:v>
      </x:c>
      <x:c r="B190" s="16" t="n">
        <x:v>50</x:v>
      </x:c>
      <x:c r="C190" s="16" t="n">
        <x:v>5</x:v>
      </x:c>
      <x:c r="D190" s="16" t="n">
        <x:v>200</x:v>
      </x:c>
      <x:c r="E190" s="16" t="n">
        <x:v>124</x:v>
      </x:c>
      <x:c r="F190" s="12" t="n">
        <x:v>14</x:v>
      </x:c>
      <x:c r="G190" s="12" t="n">
        <x:v>15</x:v>
      </x:c>
      <x:c r="H190" s="12" t="n">
        <x:v>15</x:v>
      </x:c>
      <x:c r="I190" s="12" t="n">
        <x:v>15</x:v>
      </x:c>
      <x:c r="J190" s="12" t="n">
        <x:v>16</x:v>
      </x:c>
      <x:c r="K190" s="12" t="n">
        <x:f>MIN(F190:J190)</x:f>
        <x:v>14</x:v>
      </x:c>
      <x:c r="L190" t="str">
        <x:f>TEXTJOIN(", ",TRUE,IF(F190=K190,"IG",""),IF(G190=K190,"FFD",""),IF(H190=K190,"BFD",""),IF(I190=K190,"WFD",""),IF(J190=K190,"CTP",""))</x:f>
        <x:v>IG</x:v>
      </x:c>
      <x:c r="M190" s="14" t="n">
        <x:f>IFERROR((F190-$K190)/$K190,"")</x:f>
        <x:v>0</x:v>
      </x:c>
      <x:c r="N190" s="14" t="n">
        <x:f>IFERROR((G190-$K190)/$K190,"")</x:f>
        <x:v>0.07142857142857142</x:v>
      </x:c>
      <x:c r="O190" s="14" t="n">
        <x:f>IFERROR((H190-$K190)/$K190,"")</x:f>
        <x:v>0.07142857142857142</x:v>
      </x:c>
      <x:c r="P190" s="14" t="n">
        <x:f>IFERROR((I190-$K190)/$K190,"")</x:f>
        <x:v>0.07142857142857142</x:v>
      </x:c>
      <x:c r="Q190" s="14" t="n">
        <x:f>IFERROR((J190-$K190)/$K190,"")</x:f>
        <x:v>0.14285714285714285</x:v>
      </x:c>
      <x:c r="R190" t="n">
        <x:f>--(F190=$K190)</x:f>
        <x:v>1</x:v>
      </x:c>
      <x:c r="S190" t="n">
        <x:f>--(G190=$K190)</x:f>
        <x:v>0</x:v>
      </x:c>
      <x:c r="T190" t="n">
        <x:f>--(H190=$K190)</x:f>
        <x:v>0</x:v>
      </x:c>
      <x:c r="U190" t="n">
        <x:f>--(I190=$K190)</x:f>
        <x:v>0</x:v>
      </x:c>
      <x:c r="V190" t="n">
        <x:f>--(J190=$K190)</x:f>
        <x:v>0</x:v>
      </x:c>
    </x:row>
    <x:row r="191" ht="18" customHeight="1">
      <x:c r="A191" t="str">
        <x:v>bpps_d200n50m5w30_60s2_20f0_seed1</x:v>
      </x:c>
      <x:c r="B191" s="16" t="n">
        <x:v>50</x:v>
      </x:c>
      <x:c r="C191" s="16" t="n">
        <x:v>5</x:v>
      </x:c>
      <x:c r="D191" s="16" t="n">
        <x:v>200</x:v>
      </x:c>
      <x:c r="E191" s="16" t="n">
        <x:v>140</x:v>
      </x:c>
      <x:c r="F191" s="12" t="n">
        <x:v>14</x:v>
      </x:c>
      <x:c r="G191" s="12" t="n">
        <x:v>14</x:v>
      </x:c>
      <x:c r="H191" s="12" t="n">
        <x:v>14</x:v>
      </x:c>
      <x:c r="I191" s="12" t="n">
        <x:v>15</x:v>
      </x:c>
      <x:c r="J191" s="12" t="n">
        <x:v>14</x:v>
      </x:c>
      <x:c r="K191" s="12" t="n">
        <x:f>MIN(F191:J191)</x:f>
        <x:v>14</x:v>
      </x:c>
      <x:c r="L191" t="str">
        <x:f>TEXTJOIN(", ",TRUE,IF(F191=K191,"IG",""),IF(G191=K191,"FFD",""),IF(H191=K191,"BFD",""),IF(I191=K191,"WFD",""),IF(J191=K191,"CTP",""))</x:f>
        <x:v>IG, FFD, BFD, CTP</x:v>
      </x:c>
      <x:c r="M191" s="14" t="n">
        <x:f>IFERROR((F191-$K191)/$K191,"")</x:f>
        <x:v>0</x:v>
      </x:c>
      <x:c r="N191" s="14" t="n">
        <x:f>IFERROR((G191-$K191)/$K191,"")</x:f>
        <x:v>0</x:v>
      </x:c>
      <x:c r="O191" s="14" t="n">
        <x:f>IFERROR((H191-$K191)/$K191,"")</x:f>
        <x:v>0</x:v>
      </x:c>
      <x:c r="P191" s="14" t="n">
        <x:f>IFERROR((I191-$K191)/$K191,"")</x:f>
        <x:v>0.07142857142857142</x:v>
      </x:c>
      <x:c r="Q191" s="14" t="n">
        <x:f>IFERROR((J191-$K191)/$K191,"")</x:f>
        <x:v>0</x:v>
      </x:c>
      <x:c r="R191" t="n">
        <x:f>--(F191=$K191)</x:f>
        <x:v>1</x:v>
      </x:c>
      <x:c r="S191" t="n">
        <x:f>--(G191=$K191)</x:f>
        <x:v>1</x:v>
      </x:c>
      <x:c r="T191" t="n">
        <x:f>--(H191=$K191)</x:f>
        <x:v>1</x:v>
      </x:c>
      <x:c r="U191" t="n">
        <x:f>--(I191=$K191)</x:f>
        <x:v>0</x:v>
      </x:c>
      <x:c r="V191" t="n">
        <x:f>--(J191=$K191)</x:f>
        <x:v>1</x:v>
      </x:c>
    </x:row>
    <x:row r="192" ht="18" customHeight="1">
      <x:c r="A192" t="str">
        <x:v>bpps_d200n50m5w30_60s2_20f1_seed0</x:v>
      </x:c>
      <x:c r="B192" s="16" t="n">
        <x:v>50</x:v>
      </x:c>
      <x:c r="C192" s="16" t="n">
        <x:v>5</x:v>
      </x:c>
      <x:c r="D192" s="16" t="n">
        <x:v>200</x:v>
      </x:c>
      <x:c r="E192" s="16" t="n">
        <x:v>116</x:v>
      </x:c>
      <x:c r="F192" s="12" t="n">
        <x:v>182</x:v>
      </x:c>
      <x:c r="G192" s="12" t="n">
        <x:v>249</x:v>
      </x:c>
      <x:c r="H192" s="12" t="n">
        <x:v>251</x:v>
      </x:c>
      <x:c r="I192" s="12" t="n">
        <x:v>247</x:v>
      </x:c>
      <x:c r="J192" s="12" t="n">
        <x:v>189</x:v>
      </x:c>
      <x:c r="K192" s="12" t="n">
        <x:f>MIN(F192:J192)</x:f>
        <x:v>182</x:v>
      </x:c>
      <x:c r="L192" t="str">
        <x:f>TEXTJOIN(", ",TRUE,IF(F192=K192,"IG",""),IF(G192=K192,"FFD",""),IF(H192=K192,"BFD",""),IF(I192=K192,"WFD",""),IF(J192=K192,"CTP",""))</x:f>
        <x:v>IG</x:v>
      </x:c>
      <x:c r="M192" s="14" t="n">
        <x:f>IFERROR((F192-$K192)/$K192,"")</x:f>
        <x:v>0</x:v>
      </x:c>
      <x:c r="N192" s="14" t="n">
        <x:f>IFERROR((G192-$K192)/$K192,"")</x:f>
        <x:v>0.36813186813186816</x:v>
      </x:c>
      <x:c r="O192" s="14" t="n">
        <x:f>IFERROR((H192-$K192)/$K192,"")</x:f>
        <x:v>0.3791208791208791</x:v>
      </x:c>
      <x:c r="P192" s="14" t="n">
        <x:f>IFERROR((I192-$K192)/$K192,"")</x:f>
        <x:v>0.35714285714285715</x:v>
      </x:c>
      <x:c r="Q192" s="14" t="n">
        <x:f>IFERROR((J192-$K192)/$K192,"")</x:f>
        <x:v>0.038461538461538464</x:v>
      </x:c>
      <x:c r="R192" t="n">
        <x:f>--(F192=$K192)</x:f>
        <x:v>1</x:v>
      </x:c>
      <x:c r="S192" t="n">
        <x:f>--(G192=$K192)</x:f>
        <x:v>0</x:v>
      </x:c>
      <x:c r="T192" t="n">
        <x:f>--(H192=$K192)</x:f>
        <x:v>0</x:v>
      </x:c>
      <x:c r="U192" t="n">
        <x:f>--(I192=$K192)</x:f>
        <x:v>0</x:v>
      </x:c>
      <x:c r="V192" t="n">
        <x:f>--(J192=$K192)</x:f>
        <x:v>0</x:v>
      </x:c>
    </x:row>
    <x:row r="193" ht="18" customHeight="1">
      <x:c r="A193" t="str">
        <x:v>bpps_d200n50m5w30_60s2_20f1_seed1</x:v>
      </x:c>
      <x:c r="B193" s="16" t="n">
        <x:v>50</x:v>
      </x:c>
      <x:c r="C193" s="16" t="n">
        <x:v>5</x:v>
      </x:c>
      <x:c r="D193" s="16" t="n">
        <x:v>200</x:v>
      </x:c>
      <x:c r="E193" s="16" t="n">
        <x:v>111</x:v>
      </x:c>
      <x:c r="F193" s="12" t="n">
        <x:v>184</x:v>
      </x:c>
      <x:c r="G193" s="12" t="n">
        <x:v>247</x:v>
      </x:c>
      <x:c r="H193" s="12" t="n">
        <x:v>247</x:v>
      </x:c>
      <x:c r="I193" s="12" t="n">
        <x:v>274</x:v>
      </x:c>
      <x:c r="J193" s="12" t="n">
        <x:v>194</x:v>
      </x:c>
      <x:c r="K193" s="12" t="n">
        <x:f>MIN(F193:J193)</x:f>
        <x:v>184</x:v>
      </x:c>
      <x:c r="L193" t="str">
        <x:f>TEXTJOIN(", ",TRUE,IF(F193=K193,"IG",""),IF(G193=K193,"FFD",""),IF(H193=K193,"BFD",""),IF(I193=K193,"WFD",""),IF(J193=K193,"CTP",""))</x:f>
        <x:v>IG</x:v>
      </x:c>
      <x:c r="M193" s="14" t="n">
        <x:f>IFERROR((F193-$K193)/$K193,"")</x:f>
        <x:v>0</x:v>
      </x:c>
      <x:c r="N193" s="14" t="n">
        <x:f>IFERROR((G193-$K193)/$K193,"")</x:f>
        <x:v>0.3423913043478261</x:v>
      </x:c>
      <x:c r="O193" s="14" t="n">
        <x:f>IFERROR((H193-$K193)/$K193,"")</x:f>
        <x:v>0.3423913043478261</x:v>
      </x:c>
      <x:c r="P193" s="14" t="n">
        <x:f>IFERROR((I193-$K193)/$K193,"")</x:f>
        <x:v>0.4891304347826087</x:v>
      </x:c>
      <x:c r="Q193" s="14" t="n">
        <x:f>IFERROR((J193-$K193)/$K193,"")</x:f>
        <x:v>0.05434782608695652</x:v>
      </x:c>
      <x:c r="R193" t="n">
        <x:f>--(F193=$K193)</x:f>
        <x:v>1</x:v>
      </x:c>
      <x:c r="S193" t="n">
        <x:f>--(G193=$K193)</x:f>
        <x:v>0</x:v>
      </x:c>
      <x:c r="T193" t="n">
        <x:f>--(H193=$K193)</x:f>
        <x:v>0</x:v>
      </x:c>
      <x:c r="U193" t="n">
        <x:f>--(I193=$K193)</x:f>
        <x:v>0</x:v>
      </x:c>
      <x:c r="V193" t="n">
        <x:f>--(J193=$K193)</x:f>
        <x:v>0</x:v>
      </x:c>
    </x:row>
    <x:row r="194" ht="18" customHeight="1">
      <x:c r="A194" t="str">
        <x:v>bpps_d10000n75m10w1500_3000s1000_2000f0_seed0</x:v>
      </x:c>
      <x:c r="B194" s="16" t="n">
        <x:v>75</x:v>
      </x:c>
      <x:c r="C194" s="16" t="n">
        <x:v>10</x:v>
      </x:c>
      <x:c r="D194" s="16" t="n">
        <x:v>10000</x:v>
      </x:c>
      <x:c r="E194" s="16" t="n">
        <x:v>302</x:v>
      </x:c>
      <x:c r="F194" s="12" t="n">
        <x:v>23</x:v>
      </x:c>
      <x:c r="G194" s="12" t="n">
        <x:v>27</x:v>
      </x:c>
      <x:c r="H194" s="12" t="n">
        <x:v>27</x:v>
      </x:c>
      <x:c r="I194" s="12" t="n">
        <x:v>27</x:v>
      </x:c>
      <x:c r="J194" s="12" t="n">
        <x:v>23</x:v>
      </x:c>
      <x:c r="K194" s="12" t="n">
        <x:f>MIN(F194:J194)</x:f>
        <x:v>23</x:v>
      </x:c>
      <x:c r="L194" t="str">
        <x:f>TEXTJOIN(", ",TRUE,IF(F194=K194,"IG",""),IF(G194=K194,"FFD",""),IF(H194=K194,"BFD",""),IF(I194=K194,"WFD",""),IF(J194=K194,"CTP",""))</x:f>
        <x:v>IG, CTP</x:v>
      </x:c>
      <x:c r="M194" s="14" t="n">
        <x:f>IFERROR((F194-$K194)/$K194,"")</x:f>
        <x:v>0</x:v>
      </x:c>
      <x:c r="N194" s="14" t="n">
        <x:f>IFERROR((G194-$K194)/$K194,"")</x:f>
        <x:v>0.17391304347826086</x:v>
      </x:c>
      <x:c r="O194" s="14" t="n">
        <x:f>IFERROR((H194-$K194)/$K194,"")</x:f>
        <x:v>0.17391304347826086</x:v>
      </x:c>
      <x:c r="P194" s="14" t="n">
        <x:f>IFERROR((I194-$K194)/$K194,"")</x:f>
        <x:v>0.17391304347826086</x:v>
      </x:c>
      <x:c r="Q194" s="14" t="n">
        <x:f>IFERROR((J194-$K194)/$K194,"")</x:f>
        <x:v>0</x:v>
      </x:c>
      <x:c r="R194" t="n">
        <x:f>--(F194=$K194)</x:f>
        <x:v>1</x:v>
      </x:c>
      <x:c r="S194" t="n">
        <x:f>--(G194=$K194)</x:f>
        <x:v>0</x:v>
      </x:c>
      <x:c r="T194" t="n">
        <x:f>--(H194=$K194)</x:f>
        <x:v>0</x:v>
      </x:c>
      <x:c r="U194" t="n">
        <x:f>--(I194=$K194)</x:f>
        <x:v>0</x:v>
      </x:c>
      <x:c r="V194" t="n">
        <x:f>--(J194=$K194)</x:f>
        <x:v>1</x:v>
      </x:c>
    </x:row>
    <x:row r="195" ht="18" customHeight="1">
      <x:c r="A195" t="str">
        <x:v>bpps_d10000n75m10w1500_3000s1000_2000f0_seed1</x:v>
      </x:c>
      <x:c r="B195" s="16" t="n">
        <x:v>75</x:v>
      </x:c>
      <x:c r="C195" s="16" t="n">
        <x:v>10</x:v>
      </x:c>
      <x:c r="D195" s="16" t="n">
        <x:v>10000</x:v>
      </x:c>
      <x:c r="E195" s="16" t="n">
        <x:v>289</x:v>
      </x:c>
      <x:c r="F195" s="12" t="n">
        <x:v>25</x:v>
      </x:c>
      <x:c r="G195" s="12" t="n">
        <x:v>30</x:v>
      </x:c>
      <x:c r="H195" s="12" t="n">
        <x:v>30</x:v>
      </x:c>
      <x:c r="I195" s="12" t="n">
        <x:v>30</x:v>
      </x:c>
      <x:c r="J195" s="12" t="n">
        <x:v>26</x:v>
      </x:c>
      <x:c r="K195" s="12" t="n">
        <x:f>MIN(F195:J195)</x:f>
        <x:v>25</x:v>
      </x:c>
      <x:c r="L195" t="str">
        <x:f>TEXTJOIN(", ",TRUE,IF(F195=K195,"IG",""),IF(G195=K195,"FFD",""),IF(H195=K195,"BFD",""),IF(I195=K195,"WFD",""),IF(J195=K195,"CTP",""))</x:f>
        <x:v>IG</x:v>
      </x:c>
      <x:c r="M195" s="14" t="n">
        <x:f>IFERROR((F195-$K195)/$K195,"")</x:f>
        <x:v>0</x:v>
      </x:c>
      <x:c r="N195" s="14" t="n">
        <x:f>IFERROR((G195-$K195)/$K195,"")</x:f>
        <x:v>0.2</x:v>
      </x:c>
      <x:c r="O195" s="14" t="n">
        <x:f>IFERROR((H195-$K195)/$K195,"")</x:f>
        <x:v>0.2</x:v>
      </x:c>
      <x:c r="P195" s="14" t="n">
        <x:f>IFERROR((I195-$K195)/$K195,"")</x:f>
        <x:v>0.2</x:v>
      </x:c>
      <x:c r="Q195" s="14" t="n">
        <x:f>IFERROR((J195-$K195)/$K195,"")</x:f>
        <x:v>0.04</x:v>
      </x:c>
      <x:c r="R195" t="n">
        <x:f>--(F195=$K195)</x:f>
        <x:v>1</x:v>
      </x:c>
      <x:c r="S195" t="n">
        <x:f>--(G195=$K195)</x:f>
        <x:v>0</x:v>
      </x:c>
      <x:c r="T195" t="n">
        <x:f>--(H195=$K195)</x:f>
        <x:v>0</x:v>
      </x:c>
      <x:c r="U195" t="n">
        <x:f>--(I195=$K195)</x:f>
        <x:v>0</x:v>
      </x:c>
      <x:c r="V195" t="n">
        <x:f>--(J195=$K195)</x:f>
        <x:v>0</x:v>
      </x:c>
    </x:row>
    <x:row r="196" ht="18" customHeight="1">
      <x:c r="A196" t="str">
        <x:v>bpps_d10000n75m10w1500_3000s1000_2000f1_seed0</x:v>
      </x:c>
      <x:c r="B196" s="16" t="n">
        <x:v>75</x:v>
      </x:c>
      <x:c r="C196" s="16" t="n">
        <x:v>10</x:v>
      </x:c>
      <x:c r="D196" s="16" t="n">
        <x:v>10000</x:v>
      </x:c>
      <x:c r="E196" s="16" t="n">
        <x:v>282</x:v>
      </x:c>
      <x:c r="F196" s="12" t="n">
        <x:v>312</x:v>
      </x:c>
      <x:c r="G196" s="12" t="n">
        <x:v>460</x:v>
      </x:c>
      <x:c r="H196" s="12" t="n">
        <x:v>464</x:v>
      </x:c>
      <x:c r="I196" s="12" t="n">
        <x:v>475</x:v>
      </x:c>
      <x:c r="J196" s="12" t="n">
        <x:v>334</x:v>
      </x:c>
      <x:c r="K196" s="12" t="n">
        <x:f>MIN(F196:J196)</x:f>
        <x:v>312</x:v>
      </x:c>
      <x:c r="L196" t="str">
        <x:f>TEXTJOIN(", ",TRUE,IF(F196=K196,"IG",""),IF(G196=K196,"FFD",""),IF(H196=K196,"BFD",""),IF(I196=K196,"WFD",""),IF(J196=K196,"CTP",""))</x:f>
        <x:v>IG</x:v>
      </x:c>
      <x:c r="M196" s="14" t="n">
        <x:f>IFERROR((F196-$K196)/$K196,"")</x:f>
        <x:v>0</x:v>
      </x:c>
      <x:c r="N196" s="14" t="n">
        <x:f>IFERROR((G196-$K196)/$K196,"")</x:f>
        <x:v>0.47435897435897434</x:v>
      </x:c>
      <x:c r="O196" s="14" t="n">
        <x:f>IFERROR((H196-$K196)/$K196,"")</x:f>
        <x:v>0.48717948717948717</x:v>
      </x:c>
      <x:c r="P196" s="14" t="n">
        <x:f>IFERROR((I196-$K196)/$K196,"")</x:f>
        <x:v>0.5224358974358975</x:v>
      </x:c>
      <x:c r="Q196" s="14" t="n">
        <x:f>IFERROR((J196-$K196)/$K196,"")</x:f>
        <x:v>0.07051282051282051</x:v>
      </x:c>
      <x:c r="R196" t="n">
        <x:f>--(F196=$K196)</x:f>
        <x:v>1</x:v>
      </x:c>
      <x:c r="S196" t="n">
        <x:f>--(G196=$K196)</x:f>
        <x:v>0</x:v>
      </x:c>
      <x:c r="T196" t="n">
        <x:f>--(H196=$K196)</x:f>
        <x:v>0</x:v>
      </x:c>
      <x:c r="U196" t="n">
        <x:f>--(I196=$K196)</x:f>
        <x:v>0</x:v>
      </x:c>
      <x:c r="V196" t="n">
        <x:f>--(J196=$K196)</x:f>
        <x:v>0</x:v>
      </x:c>
    </x:row>
    <x:row r="197" ht="18" customHeight="1">
      <x:c r="A197" t="str">
        <x:v>bpps_d10000n75m10w1500_3000s1000_2000f1_seed1</x:v>
      </x:c>
      <x:c r="B197" s="16" t="n">
        <x:v>75</x:v>
      </x:c>
      <x:c r="C197" s="16" t="n">
        <x:v>10</x:v>
      </x:c>
      <x:c r="D197" s="16" t="n">
        <x:v>10000</x:v>
      </x:c>
      <x:c r="E197" s="16" t="n">
        <x:v>270</x:v>
      </x:c>
      <x:c r="F197" s="12" t="n">
        <x:v>317</x:v>
      </x:c>
      <x:c r="G197" s="12" t="n">
        <x:v>411</x:v>
      </x:c>
      <x:c r="H197" s="12" t="n">
        <x:v>410</x:v>
      </x:c>
      <x:c r="I197" s="12" t="n">
        <x:v>423</x:v>
      </x:c>
      <x:c r="J197" s="12" t="n">
        <x:v>327</x:v>
      </x:c>
      <x:c r="K197" s="12" t="n">
        <x:f>MIN(F197:J197)</x:f>
        <x:v>317</x:v>
      </x:c>
      <x:c r="L197" t="str">
        <x:f>TEXTJOIN(", ",TRUE,IF(F197=K197,"IG",""),IF(G197=K197,"FFD",""),IF(H197=K197,"BFD",""),IF(I197=K197,"WFD",""),IF(J197=K197,"CTP",""))</x:f>
        <x:v>IG</x:v>
      </x:c>
      <x:c r="M197" s="14" t="n">
        <x:f>IFERROR((F197-$K197)/$K197,"")</x:f>
        <x:v>0</x:v>
      </x:c>
      <x:c r="N197" s="14" t="n">
        <x:f>IFERROR((G197-$K197)/$K197,"")</x:f>
        <x:v>0.29652996845425866</x:v>
      </x:c>
      <x:c r="O197" s="14" t="n">
        <x:f>IFERROR((H197-$K197)/$K197,"")</x:f>
        <x:v>0.29337539432176657</x:v>
      </x:c>
      <x:c r="P197" s="14" t="n">
        <x:f>IFERROR((I197-$K197)/$K197,"")</x:f>
        <x:v>0.334384858044164</x:v>
      </x:c>
      <x:c r="Q197" s="14" t="n">
        <x:f>IFERROR((J197-$K197)/$K197,"")</x:f>
        <x:v>0.031545741324921134</x:v>
      </x:c>
      <x:c r="R197" t="n">
        <x:f>--(F197=$K197)</x:f>
        <x:v>1</x:v>
      </x:c>
      <x:c r="S197" t="n">
        <x:f>--(G197=$K197)</x:f>
        <x:v>0</x:v>
      </x:c>
      <x:c r="T197" t="n">
        <x:f>--(H197=$K197)</x:f>
        <x:v>0</x:v>
      </x:c>
      <x:c r="U197" t="n">
        <x:f>--(I197=$K197)</x:f>
        <x:v>0</x:v>
      </x:c>
      <x:c r="V197" t="n">
        <x:f>--(J197=$K197)</x:f>
        <x:v>0</x:v>
      </x:c>
    </x:row>
    <x:row r="198" ht="18" customHeight="1">
      <x:c r="A198" t="str">
        <x:v>bpps_d10000n75m10w1500_3000s100_1000f0_seed0</x:v>
      </x:c>
      <x:c r="B198" s="16" t="n">
        <x:v>75</x:v>
      </x:c>
      <x:c r="C198" s="16" t="n">
        <x:v>10</x:v>
      </x:c>
      <x:c r="D198" s="16" t="n">
        <x:v>10000</x:v>
      </x:c>
      <x:c r="E198" s="16" t="n">
        <x:v>294</x:v>
      </x:c>
      <x:c r="F198" s="12" t="n">
        <x:v>21</x:v>
      </x:c>
      <x:c r="G198" s="12" t="n">
        <x:v>22</x:v>
      </x:c>
      <x:c r="H198" s="12" t="n">
        <x:v>22</x:v>
      </x:c>
      <x:c r="I198" s="12" t="n">
        <x:v>22</x:v>
      </x:c>
      <x:c r="J198" s="12" t="n">
        <x:v>21</x:v>
      </x:c>
      <x:c r="K198" s="12" t="n">
        <x:f>MIN(F198:J198)</x:f>
        <x:v>21</x:v>
      </x:c>
      <x:c r="L198" t="str">
        <x:f>TEXTJOIN(", ",TRUE,IF(F198=K198,"IG",""),IF(G198=K198,"FFD",""),IF(H198=K198,"BFD",""),IF(I198=K198,"WFD",""),IF(J198=K198,"CTP",""))</x:f>
        <x:v>IG, CTP</x:v>
      </x:c>
      <x:c r="M198" s="14" t="n">
        <x:f>IFERROR((F198-$K198)/$K198,"")</x:f>
        <x:v>0</x:v>
      </x:c>
      <x:c r="N198" s="14" t="n">
        <x:f>IFERROR((G198-$K198)/$K198,"")</x:f>
        <x:v>0.047619047619047616</x:v>
      </x:c>
      <x:c r="O198" s="14" t="n">
        <x:f>IFERROR((H198-$K198)/$K198,"")</x:f>
        <x:v>0.047619047619047616</x:v>
      </x:c>
      <x:c r="P198" s="14" t="n">
        <x:f>IFERROR((I198-$K198)/$K198,"")</x:f>
        <x:v>0.047619047619047616</x:v>
      </x:c>
      <x:c r="Q198" s="14" t="n">
        <x:f>IFERROR((J198-$K198)/$K198,"")</x:f>
        <x:v>0</x:v>
      </x:c>
      <x:c r="R198" t="n">
        <x:f>--(F198=$K198)</x:f>
        <x:v>1</x:v>
      </x:c>
      <x:c r="S198" t="n">
        <x:f>--(G198=$K198)</x:f>
        <x:v>0</x:v>
      </x:c>
      <x:c r="T198" t="n">
        <x:f>--(H198=$K198)</x:f>
        <x:v>0</x:v>
      </x:c>
      <x:c r="U198" t="n">
        <x:f>--(I198=$K198)</x:f>
        <x:v>0</x:v>
      </x:c>
      <x:c r="V198" t="n">
        <x:f>--(J198=$K198)</x:f>
        <x:v>1</x:v>
      </x:c>
    </x:row>
    <x:row r="199" ht="18" customHeight="1">
      <x:c r="A199" t="str">
        <x:v>bpps_d10000n75m10w1500_3000s100_1000f0_seed1</x:v>
      </x:c>
      <x:c r="B199" s="16" t="n">
        <x:v>75</x:v>
      </x:c>
      <x:c r="C199" s="16" t="n">
        <x:v>10</x:v>
      </x:c>
      <x:c r="D199" s="16" t="n">
        <x:v>10000</x:v>
      </x:c>
      <x:c r="E199" s="16" t="n">
        <x:v>267</x:v>
      </x:c>
      <x:c r="F199" s="12" t="n">
        <x:v>22</x:v>
      </x:c>
      <x:c r="G199" s="12" t="n">
        <x:v>23</x:v>
      </x:c>
      <x:c r="H199" s="12" t="n">
        <x:v>23</x:v>
      </x:c>
      <x:c r="I199" s="12" t="n">
        <x:v>23</x:v>
      </x:c>
      <x:c r="J199" s="12" t="n">
        <x:v>23</x:v>
      </x:c>
      <x:c r="K199" s="12" t="n">
        <x:f>MIN(F199:J199)</x:f>
        <x:v>22</x:v>
      </x:c>
      <x:c r="L199" t="str">
        <x:f>TEXTJOIN(", ",TRUE,IF(F199=K199,"IG",""),IF(G199=K199,"FFD",""),IF(H199=K199,"BFD",""),IF(I199=K199,"WFD",""),IF(J199=K199,"CTP",""))</x:f>
        <x:v>IG</x:v>
      </x:c>
      <x:c r="M199" s="14" t="n">
        <x:f>IFERROR((F199-$K199)/$K199,"")</x:f>
        <x:v>0</x:v>
      </x:c>
      <x:c r="N199" s="14" t="n">
        <x:f>IFERROR((G199-$K199)/$K199,"")</x:f>
        <x:v>0.045454545454545456</x:v>
      </x:c>
      <x:c r="O199" s="14" t="n">
        <x:f>IFERROR((H199-$K199)/$K199,"")</x:f>
        <x:v>0.045454545454545456</x:v>
      </x:c>
      <x:c r="P199" s="14" t="n">
        <x:f>IFERROR((I199-$K199)/$K199,"")</x:f>
        <x:v>0.045454545454545456</x:v>
      </x:c>
      <x:c r="Q199" s="14" t="n">
        <x:f>IFERROR((J199-$K199)/$K199,"")</x:f>
        <x:v>0.045454545454545456</x:v>
      </x:c>
      <x:c r="R199" t="n">
        <x:f>--(F199=$K199)</x:f>
        <x:v>1</x:v>
      </x:c>
      <x:c r="S199" t="n">
        <x:f>--(G199=$K199)</x:f>
        <x:v>0</x:v>
      </x:c>
      <x:c r="T199" t="n">
        <x:f>--(H199=$K199)</x:f>
        <x:v>0</x:v>
      </x:c>
      <x:c r="U199" t="n">
        <x:f>--(I199=$K199)</x:f>
        <x:v>0</x:v>
      </x:c>
      <x:c r="V199" t="n">
        <x:f>--(J199=$K199)</x:f>
        <x:v>0</x:v>
      </x:c>
    </x:row>
    <x:row r="200" ht="18" customHeight="1">
      <x:c r="A200" t="str">
        <x:v>bpps_d10000n75m10w1500_3000s100_1000f1_seed0</x:v>
      </x:c>
      <x:c r="B200" s="16" t="n">
        <x:v>75</x:v>
      </x:c>
      <x:c r="C200" s="16" t="n">
        <x:v>10</x:v>
      </x:c>
      <x:c r="D200" s="16" t="n">
        <x:v>10000</x:v>
      </x:c>
      <x:c r="E200" s="16" t="n">
        <x:v>277</x:v>
      </x:c>
      <x:c r="F200" s="12" t="n">
        <x:v>283</x:v>
      </x:c>
      <x:c r="G200" s="12" t="n">
        <x:v>434</x:v>
      </x:c>
      <x:c r="H200" s="12" t="n">
        <x:v>434</x:v>
      </x:c>
      <x:c r="I200" s="12" t="n">
        <x:v>437</x:v>
      </x:c>
      <x:c r="J200" s="12" t="n">
        <x:v>306</x:v>
      </x:c>
      <x:c r="K200" s="12" t="n">
        <x:f>MIN(F200:J200)</x:f>
        <x:v>283</x:v>
      </x:c>
      <x:c r="L200" t="str">
        <x:f>TEXTJOIN(", ",TRUE,IF(F200=K200,"IG",""),IF(G200=K200,"FFD",""),IF(H200=K200,"BFD",""),IF(I200=K200,"WFD",""),IF(J200=K200,"CTP",""))</x:f>
        <x:v>IG</x:v>
      </x:c>
      <x:c r="M200" s="14" t="n">
        <x:f>IFERROR((F200-$K200)/$K200,"")</x:f>
        <x:v>0</x:v>
      </x:c>
      <x:c r="N200" s="14" t="n">
        <x:f>IFERROR((G200-$K200)/$K200,"")</x:f>
        <x:v>0.5335689045936396</x:v>
      </x:c>
      <x:c r="O200" s="14" t="n">
        <x:f>IFERROR((H200-$K200)/$K200,"")</x:f>
        <x:v>0.5335689045936396</x:v>
      </x:c>
      <x:c r="P200" s="14" t="n">
        <x:f>IFERROR((I200-$K200)/$K200,"")</x:f>
        <x:v>0.5441696113074205</x:v>
      </x:c>
      <x:c r="Q200" s="14" t="n">
        <x:f>IFERROR((J200-$K200)/$K200,"")</x:f>
        <x:v>0.0812720848056537</x:v>
      </x:c>
      <x:c r="R200" t="n">
        <x:f>--(F200=$K200)</x:f>
        <x:v>1</x:v>
      </x:c>
      <x:c r="S200" t="n">
        <x:f>--(G200=$K200)</x:f>
        <x:v>0</x:v>
      </x:c>
      <x:c r="T200" t="n">
        <x:f>--(H200=$K200)</x:f>
        <x:v>0</x:v>
      </x:c>
      <x:c r="U200" t="n">
        <x:f>--(I200=$K200)</x:f>
        <x:v>0</x:v>
      </x:c>
      <x:c r="V200" t="n">
        <x:f>--(J200=$K200)</x:f>
        <x:v>0</x:v>
      </x:c>
    </x:row>
    <x:row r="201" ht="18" customHeight="1">
      <x:c r="A201" t="str">
        <x:v>bpps_d10000n75m10w1500_3000s100_1000f1_seed1</x:v>
      </x:c>
      <x:c r="B201" s="16" t="n">
        <x:v>75</x:v>
      </x:c>
      <x:c r="C201" s="16" t="n">
        <x:v>10</x:v>
      </x:c>
      <x:c r="D201" s="16" t="n">
        <x:v>10000</x:v>
      </x:c>
      <x:c r="E201" s="16" t="n">
        <x:v>268</x:v>
      </x:c>
      <x:c r="F201" s="12" t="n">
        <x:v>281</x:v>
      </x:c>
      <x:c r="G201" s="12" t="n">
        <x:v>402</x:v>
      </x:c>
      <x:c r="H201" s="12" t="n">
        <x:v>409</x:v>
      </x:c>
      <x:c r="I201" s="12" t="n">
        <x:v>412</x:v>
      </x:c>
      <x:c r="J201" s="12" t="n">
        <x:v>291</x:v>
      </x:c>
      <x:c r="K201" s="12" t="n">
        <x:f>MIN(F201:J201)</x:f>
        <x:v>281</x:v>
      </x:c>
      <x:c r="L201" t="str">
        <x:f>TEXTJOIN(", ",TRUE,IF(F201=K201,"IG",""),IF(G201=K201,"FFD",""),IF(H201=K201,"BFD",""),IF(I201=K201,"WFD",""),IF(J201=K201,"CTP",""))</x:f>
        <x:v>IG</x:v>
      </x:c>
      <x:c r="M201" s="14" t="n">
        <x:f>IFERROR((F201-$K201)/$K201,"")</x:f>
        <x:v>0</x:v>
      </x:c>
      <x:c r="N201" s="14" t="n">
        <x:f>IFERROR((G201-$K201)/$K201,"")</x:f>
        <x:v>0.4306049822064057</x:v>
      </x:c>
      <x:c r="O201" s="14" t="n">
        <x:f>IFERROR((H201-$K201)/$K201,"")</x:f>
        <x:v>0.4555160142348754</x:v>
      </x:c>
      <x:c r="P201" s="14" t="n">
        <x:f>IFERROR((I201-$K201)/$K201,"")</x:f>
        <x:v>0.46619217081850534</x:v>
      </x:c>
      <x:c r="Q201" s="14" t="n">
        <x:f>IFERROR((J201-$K201)/$K201,"")</x:f>
        <x:v>0.03558718861209965</x:v>
      </x:c>
      <x:c r="R201" t="n">
        <x:f>--(F201=$K201)</x:f>
        <x:v>1</x:v>
      </x:c>
      <x:c r="S201" t="n">
        <x:f>--(G201=$K201)</x:f>
        <x:v>0</x:v>
      </x:c>
      <x:c r="T201" t="n">
        <x:f>--(H201=$K201)</x:f>
        <x:v>0</x:v>
      </x:c>
      <x:c r="U201" t="n">
        <x:f>--(I201=$K201)</x:f>
        <x:v>0</x:v>
      </x:c>
      <x:c r="V201" t="n">
        <x:f>--(J201=$K201)</x:f>
        <x:v>0</x:v>
      </x:c>
    </x:row>
    <x:row r="202" ht="18" customHeight="1">
      <x:c r="A202" t="str">
        <x:v>bpps_d10000n75m10w500_1500s1000_2000f0_seed0</x:v>
      </x:c>
      <x:c r="B202" s="16" t="n">
        <x:v>75</x:v>
      </x:c>
      <x:c r="C202" s="16" t="n">
        <x:v>10</x:v>
      </x:c>
      <x:c r="D202" s="16" t="n">
        <x:v>10000</x:v>
      </x:c>
      <x:c r="E202" s="16" t="n">
        <x:v>263</x:v>
      </x:c>
      <x:c r="F202" s="12" t="n">
        <x:v>12</x:v>
      </x:c>
      <x:c r="G202" s="12" t="n">
        <x:v>16</x:v>
      </x:c>
      <x:c r="H202" s="12" t="n">
        <x:v>16</x:v>
      </x:c>
      <x:c r="I202" s="12" t="n">
        <x:v>16</x:v>
      </x:c>
      <x:c r="J202" s="12" t="n">
        <x:v>13</x:v>
      </x:c>
      <x:c r="K202" s="12" t="n">
        <x:f>MIN(F202:J202)</x:f>
        <x:v>12</x:v>
      </x:c>
      <x:c r="L202" t="str">
        <x:f>TEXTJOIN(", ",TRUE,IF(F202=K202,"IG",""),IF(G202=K202,"FFD",""),IF(H202=K202,"BFD",""),IF(I202=K202,"WFD",""),IF(J202=K202,"CTP",""))</x:f>
        <x:v>IG</x:v>
      </x:c>
      <x:c r="M202" s="14" t="n">
        <x:f>IFERROR((F202-$K202)/$K202,"")</x:f>
        <x:v>0</x:v>
      </x:c>
      <x:c r="N202" s="14" t="n">
        <x:f>IFERROR((G202-$K202)/$K202,"")</x:f>
        <x:v>0.3333333333333333</x:v>
      </x:c>
      <x:c r="O202" s="14" t="n">
        <x:f>IFERROR((H202-$K202)/$K202,"")</x:f>
        <x:v>0.3333333333333333</x:v>
      </x:c>
      <x:c r="P202" s="14" t="n">
        <x:f>IFERROR((I202-$K202)/$K202,"")</x:f>
        <x:v>0.3333333333333333</x:v>
      </x:c>
      <x:c r="Q202" s="14" t="n">
        <x:f>IFERROR((J202-$K202)/$K202,"")</x:f>
        <x:v>0.08333333333333333</x:v>
      </x:c>
      <x:c r="R202" t="n">
        <x:f>--(F202=$K202)</x:f>
        <x:v>1</x:v>
      </x:c>
      <x:c r="S202" t="n">
        <x:f>--(G202=$K202)</x:f>
        <x:v>0</x:v>
      </x:c>
      <x:c r="T202" t="n">
        <x:f>--(H202=$K202)</x:f>
        <x:v>0</x:v>
      </x:c>
      <x:c r="U202" t="n">
        <x:f>--(I202=$K202)</x:f>
        <x:v>0</x:v>
      </x:c>
      <x:c r="V202" t="n">
        <x:f>--(J202=$K202)</x:f>
        <x:v>0</x:v>
      </x:c>
    </x:row>
    <x:row r="203" ht="18" customHeight="1">
      <x:c r="A203" t="str">
        <x:v>bpps_d10000n75m10w500_1500s1000_2000f0_seed1</x:v>
      </x:c>
      <x:c r="B203" s="16" t="n">
        <x:v>75</x:v>
      </x:c>
      <x:c r="C203" s="16" t="n">
        <x:v>10</x:v>
      </x:c>
      <x:c r="D203" s="16" t="n">
        <x:v>10000</x:v>
      </x:c>
      <x:c r="E203" s="16" t="n">
        <x:v>266</x:v>
      </x:c>
      <x:c r="F203" s="12" t="n">
        <x:v>12</x:v>
      </x:c>
      <x:c r="G203" s="12" t="n">
        <x:v>16</x:v>
      </x:c>
      <x:c r="H203" s="12" t="n">
        <x:v>16</x:v>
      </x:c>
      <x:c r="I203" s="12" t="n">
        <x:v>16</x:v>
      </x:c>
      <x:c r="J203" s="12" t="n">
        <x:v>13</x:v>
      </x:c>
      <x:c r="K203" s="12" t="n">
        <x:f>MIN(F203:J203)</x:f>
        <x:v>12</x:v>
      </x:c>
      <x:c r="L203" t="str">
        <x:f>TEXTJOIN(", ",TRUE,IF(F203=K203,"IG",""),IF(G203=K203,"FFD",""),IF(H203=K203,"BFD",""),IF(I203=K203,"WFD",""),IF(J203=K203,"CTP",""))</x:f>
        <x:v>IG</x:v>
      </x:c>
      <x:c r="M203" s="14" t="n">
        <x:f>IFERROR((F203-$K203)/$K203,"")</x:f>
        <x:v>0</x:v>
      </x:c>
      <x:c r="N203" s="14" t="n">
        <x:f>IFERROR((G203-$K203)/$K203,"")</x:f>
        <x:v>0.3333333333333333</x:v>
      </x:c>
      <x:c r="O203" s="14" t="n">
        <x:f>IFERROR((H203-$K203)/$K203,"")</x:f>
        <x:v>0.3333333333333333</x:v>
      </x:c>
      <x:c r="P203" s="14" t="n">
        <x:f>IFERROR((I203-$K203)/$K203,"")</x:f>
        <x:v>0.3333333333333333</x:v>
      </x:c>
      <x:c r="Q203" s="14" t="n">
        <x:f>IFERROR((J203-$K203)/$K203,"")</x:f>
        <x:v>0.08333333333333333</x:v>
      </x:c>
      <x:c r="R203" t="n">
        <x:f>--(F203=$K203)</x:f>
        <x:v>1</x:v>
      </x:c>
      <x:c r="S203" t="n">
        <x:f>--(G203=$K203)</x:f>
        <x:v>0</x:v>
      </x:c>
      <x:c r="T203" t="n">
        <x:f>--(H203=$K203)</x:f>
        <x:v>0</x:v>
      </x:c>
      <x:c r="U203" t="n">
        <x:f>--(I203=$K203)</x:f>
        <x:v>0</x:v>
      </x:c>
      <x:c r="V203" t="n">
        <x:f>--(J203=$K203)</x:f>
        <x:v>0</x:v>
      </x:c>
    </x:row>
    <x:row r="204" ht="18" customHeight="1">
      <x:c r="A204" t="str">
        <x:v>bpps_d10000n75m10w500_1500s1000_2000f1_seed0</x:v>
      </x:c>
      <x:c r="B204" s="16" t="n">
        <x:v>75</x:v>
      </x:c>
      <x:c r="C204" s="16" t="n">
        <x:v>10</x:v>
      </x:c>
      <x:c r="D204" s="16" t="n">
        <x:v>10000</x:v>
      </x:c>
      <x:c r="E204" s="16" t="n">
        <x:v>288</x:v>
      </x:c>
      <x:c r="F204" s="12" t="n">
        <x:v>187</x:v>
      </x:c>
      <x:c r="G204" s="12" t="n">
        <x:v>324</x:v>
      </x:c>
      <x:c r="H204" s="12" t="n">
        <x:v>315</x:v>
      </x:c>
      <x:c r="I204" s="12" t="n">
        <x:v>332</x:v>
      </x:c>
      <x:c r="J204" s="12" t="n">
        <x:v>200</x:v>
      </x:c>
      <x:c r="K204" s="12" t="n">
        <x:f>MIN(F204:J204)</x:f>
        <x:v>187</x:v>
      </x:c>
      <x:c r="L204" t="str">
        <x:f>TEXTJOIN(", ",TRUE,IF(F204=K204,"IG",""),IF(G204=K204,"FFD",""),IF(H204=K204,"BFD",""),IF(I204=K204,"WFD",""),IF(J204=K204,"CTP",""))</x:f>
        <x:v>IG</x:v>
      </x:c>
      <x:c r="M204" s="14" t="n">
        <x:f>IFERROR((F204-$K204)/$K204,"")</x:f>
        <x:v>0</x:v>
      </x:c>
      <x:c r="N204" s="14" t="n">
        <x:f>IFERROR((G204-$K204)/$K204,"")</x:f>
        <x:v>0.732620320855615</x:v>
      </x:c>
      <x:c r="O204" s="14" t="n">
        <x:f>IFERROR((H204-$K204)/$K204,"")</x:f>
        <x:v>0.6844919786096256</x:v>
      </x:c>
      <x:c r="P204" s="14" t="n">
        <x:f>IFERROR((I204-$K204)/$K204,"")</x:f>
        <x:v>0.7754010695187166</x:v>
      </x:c>
      <x:c r="Q204" s="14" t="n">
        <x:f>IFERROR((J204-$K204)/$K204,"")</x:f>
        <x:v>0.06951871657754011</x:v>
      </x:c>
      <x:c r="R204" t="n">
        <x:f>--(F204=$K204)</x:f>
        <x:v>1</x:v>
      </x:c>
      <x:c r="S204" t="n">
        <x:f>--(G204=$K204)</x:f>
        <x:v>0</x:v>
      </x:c>
      <x:c r="T204" t="n">
        <x:f>--(H204=$K204)</x:f>
        <x:v>0</x:v>
      </x:c>
      <x:c r="U204" t="n">
        <x:f>--(I204=$K204)</x:f>
        <x:v>0</x:v>
      </x:c>
      <x:c r="V204" t="n">
        <x:f>--(J204=$K204)</x:f>
        <x:v>0</x:v>
      </x:c>
    </x:row>
    <x:row r="205" ht="18" customHeight="1">
      <x:c r="A205" t="str">
        <x:v>bpps_d10000n75m10w500_1500s1000_2000f1_seed1</x:v>
      </x:c>
      <x:c r="B205" s="16" t="n">
        <x:v>75</x:v>
      </x:c>
      <x:c r="C205" s="16" t="n">
        <x:v>10</x:v>
      </x:c>
      <x:c r="D205" s="16" t="n">
        <x:v>10000</x:v>
      </x:c>
      <x:c r="E205" s="16" t="n">
        <x:v>268</x:v>
      </x:c>
      <x:c r="F205" s="12" t="n">
        <x:v>171</x:v>
      </x:c>
      <x:c r="G205" s="12" t="n">
        <x:v>302</x:v>
      </x:c>
      <x:c r="H205" s="12" t="n">
        <x:v>310</x:v>
      </x:c>
      <x:c r="I205" s="12" t="n">
        <x:v>319</x:v>
      </x:c>
      <x:c r="J205" s="12" t="n">
        <x:v>195</x:v>
      </x:c>
      <x:c r="K205" s="12" t="n">
        <x:f>MIN(F205:J205)</x:f>
        <x:v>171</x:v>
      </x:c>
      <x:c r="L205" t="str">
        <x:f>TEXTJOIN(", ",TRUE,IF(F205=K205,"IG",""),IF(G205=K205,"FFD",""),IF(H205=K205,"BFD",""),IF(I205=K205,"WFD",""),IF(J205=K205,"CTP",""))</x:f>
        <x:v>IG</x:v>
      </x:c>
      <x:c r="M205" s="14" t="n">
        <x:f>IFERROR((F205-$K205)/$K205,"")</x:f>
        <x:v>0</x:v>
      </x:c>
      <x:c r="N205" s="14" t="n">
        <x:f>IFERROR((G205-$K205)/$K205,"")</x:f>
        <x:v>0.7660818713450293</x:v>
      </x:c>
      <x:c r="O205" s="14" t="n">
        <x:f>IFERROR((H205-$K205)/$K205,"")</x:f>
        <x:v>0.8128654970760234</x:v>
      </x:c>
      <x:c r="P205" s="14" t="n">
        <x:f>IFERROR((I205-$K205)/$K205,"")</x:f>
        <x:v>0.8654970760233918</x:v>
      </x:c>
      <x:c r="Q205" s="14" t="n">
        <x:f>IFERROR((J205-$K205)/$K205,"")</x:f>
        <x:v>0.14035087719298245</x:v>
      </x:c>
      <x:c r="R205" t="n">
        <x:f>--(F205=$K205)</x:f>
        <x:v>1</x:v>
      </x:c>
      <x:c r="S205" t="n">
        <x:f>--(G205=$K205)</x:f>
        <x:v>0</x:v>
      </x:c>
      <x:c r="T205" t="n">
        <x:f>--(H205=$K205)</x:f>
        <x:v>0</x:v>
      </x:c>
      <x:c r="U205" t="n">
        <x:f>--(I205=$K205)</x:f>
        <x:v>0</x:v>
      </x:c>
      <x:c r="V205" t="n">
        <x:f>--(J205=$K205)</x:f>
        <x:v>0</x:v>
      </x:c>
    </x:row>
    <x:row r="206" ht="18" customHeight="1">
      <x:c r="A206" t="str">
        <x:v>bpps_d10000n75m10w500_1500s100_1000f0_seed0</x:v>
      </x:c>
      <x:c r="B206" s="16" t="n">
        <x:v>75</x:v>
      </x:c>
      <x:c r="C206" s="16" t="n">
        <x:v>10</x:v>
      </x:c>
      <x:c r="D206" s="16" t="n">
        <x:v>10000</x:v>
      </x:c>
      <x:c r="E206" s="16" t="n">
        <x:v>293</x:v>
      </x:c>
      <x:c r="F206" s="12" t="n">
        <x:v>10</x:v>
      </x:c>
      <x:c r="G206" s="12" t="n">
        <x:v>11</x:v>
      </x:c>
      <x:c r="H206" s="12" t="n">
        <x:v>11</x:v>
      </x:c>
      <x:c r="I206" s="12" t="n">
        <x:v>12</x:v>
      </x:c>
      <x:c r="J206" s="12" t="n">
        <x:v>12</x:v>
      </x:c>
      <x:c r="K206" s="12" t="n">
        <x:f>MIN(F206:J206)</x:f>
        <x:v>10</x:v>
      </x:c>
      <x:c r="L206" t="str">
        <x:f>TEXTJOIN(", ",TRUE,IF(F206=K206,"IG",""),IF(G206=K206,"FFD",""),IF(H206=K206,"BFD",""),IF(I206=K206,"WFD",""),IF(J206=K206,"CTP",""))</x:f>
        <x:v>IG</x:v>
      </x:c>
      <x:c r="M206" s="14" t="n">
        <x:f>IFERROR((F206-$K206)/$K206,"")</x:f>
        <x:v>0</x:v>
      </x:c>
      <x:c r="N206" s="14" t="n">
        <x:f>IFERROR((G206-$K206)/$K206,"")</x:f>
        <x:v>0.1</x:v>
      </x:c>
      <x:c r="O206" s="14" t="n">
        <x:f>IFERROR((H206-$K206)/$K206,"")</x:f>
        <x:v>0.1</x:v>
      </x:c>
      <x:c r="P206" s="14" t="n">
        <x:f>IFERROR((I206-$K206)/$K206,"")</x:f>
        <x:v>0.2</x:v>
      </x:c>
      <x:c r="Q206" s="14" t="n">
        <x:f>IFERROR((J206-$K206)/$K206,"")</x:f>
        <x:v>0.2</x:v>
      </x:c>
      <x:c r="R206" t="n">
        <x:f>--(F206=$K206)</x:f>
        <x:v>1</x:v>
      </x:c>
      <x:c r="S206" t="n">
        <x:f>--(G206=$K206)</x:f>
        <x:v>0</x:v>
      </x:c>
      <x:c r="T206" t="n">
        <x:f>--(H206=$K206)</x:f>
        <x:v>0</x:v>
      </x:c>
      <x:c r="U206" t="n">
        <x:f>--(I206=$K206)</x:f>
        <x:v>0</x:v>
      </x:c>
      <x:c r="V206" t="n">
        <x:f>--(J206=$K206)</x:f>
        <x:v>0</x:v>
      </x:c>
    </x:row>
    <x:row r="207" ht="18" customHeight="1">
      <x:c r="A207" t="str">
        <x:v>bpps_d10000n75m10w500_1500s100_1000f0_seed1</x:v>
      </x:c>
      <x:c r="B207" s="16" t="n">
        <x:v>75</x:v>
      </x:c>
      <x:c r="C207" s="16" t="n">
        <x:v>10</x:v>
      </x:c>
      <x:c r="D207" s="16" t="n">
        <x:v>10000</x:v>
      </x:c>
      <x:c r="E207" s="16" t="n">
        <x:v>260</x:v>
      </x:c>
      <x:c r="F207" s="12" t="n">
        <x:v>10</x:v>
      </x:c>
      <x:c r="G207" s="12" t="n">
        <x:v>12</x:v>
      </x:c>
      <x:c r="H207" s="12" t="n">
        <x:v>12</x:v>
      </x:c>
      <x:c r="I207" s="12" t="n">
        <x:v>12</x:v>
      </x:c>
      <x:c r="J207" s="12" t="n">
        <x:v>11</x:v>
      </x:c>
      <x:c r="K207" s="12" t="n">
        <x:f>MIN(F207:J207)</x:f>
        <x:v>10</x:v>
      </x:c>
      <x:c r="L207" t="str">
        <x:f>TEXTJOIN(", ",TRUE,IF(F207=K207,"IG",""),IF(G207=K207,"FFD",""),IF(H207=K207,"BFD",""),IF(I207=K207,"WFD",""),IF(J207=K207,"CTP",""))</x:f>
        <x:v>IG</x:v>
      </x:c>
      <x:c r="M207" s="14" t="n">
        <x:f>IFERROR((F207-$K207)/$K207,"")</x:f>
        <x:v>0</x:v>
      </x:c>
      <x:c r="N207" s="14" t="n">
        <x:f>IFERROR((G207-$K207)/$K207,"")</x:f>
        <x:v>0.2</x:v>
      </x:c>
      <x:c r="O207" s="14" t="n">
        <x:f>IFERROR((H207-$K207)/$K207,"")</x:f>
        <x:v>0.2</x:v>
      </x:c>
      <x:c r="P207" s="14" t="n">
        <x:f>IFERROR((I207-$K207)/$K207,"")</x:f>
        <x:v>0.2</x:v>
      </x:c>
      <x:c r="Q207" s="14" t="n">
        <x:f>IFERROR((J207-$K207)/$K207,"")</x:f>
        <x:v>0.1</x:v>
      </x:c>
      <x:c r="R207" t="n">
        <x:f>--(F207=$K207)</x:f>
        <x:v>1</x:v>
      </x:c>
      <x:c r="S207" t="n">
        <x:f>--(G207=$K207)</x:f>
        <x:v>0</x:v>
      </x:c>
      <x:c r="T207" t="n">
        <x:f>--(H207=$K207)</x:f>
        <x:v>0</x:v>
      </x:c>
      <x:c r="U207" t="n">
        <x:f>--(I207=$K207)</x:f>
        <x:v>0</x:v>
      </x:c>
      <x:c r="V207" t="n">
        <x:f>--(J207=$K207)</x:f>
        <x:v>0</x:v>
      </x:c>
    </x:row>
    <x:row r="208" ht="18" customHeight="1">
      <x:c r="A208" t="str">
        <x:v>bpps_d10000n75m10w500_1500s100_1000f1_seed0</x:v>
      </x:c>
      <x:c r="B208" s="16" t="n">
        <x:v>75</x:v>
      </x:c>
      <x:c r="C208" s="16" t="n">
        <x:v>10</x:v>
      </x:c>
      <x:c r="D208" s="16" t="n">
        <x:v>10000</x:v>
      </x:c>
      <x:c r="E208" s="16" t="n">
        <x:v>255</x:v>
      </x:c>
      <x:c r="F208" s="12" t="n">
        <x:v>162</x:v>
      </x:c>
      <x:c r="G208" s="12" t="n">
        <x:v>285</x:v>
      </x:c>
      <x:c r="H208" s="12" t="n">
        <x:v>268</x:v>
      </x:c>
      <x:c r="I208" s="12" t="n">
        <x:v>290</x:v>
      </x:c>
      <x:c r="J208" s="12" t="n">
        <x:v>176</x:v>
      </x:c>
      <x:c r="K208" s="12" t="n">
        <x:f>MIN(F208:J208)</x:f>
        <x:v>162</x:v>
      </x:c>
      <x:c r="L208" t="str">
        <x:f>TEXTJOIN(", ",TRUE,IF(F208=K208,"IG",""),IF(G208=K208,"FFD",""),IF(H208=K208,"BFD",""),IF(I208=K208,"WFD",""),IF(J208=K208,"CTP",""))</x:f>
        <x:v>IG</x:v>
      </x:c>
      <x:c r="M208" s="14" t="n">
        <x:f>IFERROR((F208-$K208)/$K208,"")</x:f>
        <x:v>0</x:v>
      </x:c>
      <x:c r="N208" s="14" t="n">
        <x:f>IFERROR((G208-$K208)/$K208,"")</x:f>
        <x:v>0.7592592592592593</x:v>
      </x:c>
      <x:c r="O208" s="14" t="n">
        <x:f>IFERROR((H208-$K208)/$K208,"")</x:f>
        <x:v>0.654320987654321</x:v>
      </x:c>
      <x:c r="P208" s="14" t="n">
        <x:f>IFERROR((I208-$K208)/$K208,"")</x:f>
        <x:v>0.7901234567901234</x:v>
      </x:c>
      <x:c r="Q208" s="14" t="n">
        <x:f>IFERROR((J208-$K208)/$K208,"")</x:f>
        <x:v>0.08641975308641975</x:v>
      </x:c>
      <x:c r="R208" t="n">
        <x:f>--(F208=$K208)</x:f>
        <x:v>1</x:v>
      </x:c>
      <x:c r="S208" t="n">
        <x:f>--(G208=$K208)</x:f>
        <x:v>0</x:v>
      </x:c>
      <x:c r="T208" t="n">
        <x:f>--(H208=$K208)</x:f>
        <x:v>0</x:v>
      </x:c>
      <x:c r="U208" t="n">
        <x:f>--(I208=$K208)</x:f>
        <x:v>0</x:v>
      </x:c>
      <x:c r="V208" t="n">
        <x:f>--(J208=$K208)</x:f>
        <x:v>0</x:v>
      </x:c>
    </x:row>
    <x:row r="209" ht="18" customHeight="1">
      <x:c r="A209" t="str">
        <x:v>bpps_d10000n75m10w500_1500s100_1000f1_seed1</x:v>
      </x:c>
      <x:c r="B209" s="16" t="n">
        <x:v>75</x:v>
      </x:c>
      <x:c r="C209" s="16" t="n">
        <x:v>10</x:v>
      </x:c>
      <x:c r="D209" s="16" t="n">
        <x:v>10000</x:v>
      </x:c>
      <x:c r="E209" s="16" t="n">
        <x:v>292</x:v>
      </x:c>
      <x:c r="F209" s="12" t="n">
        <x:v>158</x:v>
      </x:c>
      <x:c r="G209" s="12" t="n">
        <x:v>258</x:v>
      </x:c>
      <x:c r="H209" s="12" t="n">
        <x:v>263</x:v>
      </x:c>
      <x:c r="I209" s="12" t="n">
        <x:v>266</x:v>
      </x:c>
      <x:c r="J209" s="12" t="n">
        <x:v>175</x:v>
      </x:c>
      <x:c r="K209" s="12" t="n">
        <x:f>MIN(F209:J209)</x:f>
        <x:v>158</x:v>
      </x:c>
      <x:c r="L209" t="str">
        <x:f>TEXTJOIN(", ",TRUE,IF(F209=K209,"IG",""),IF(G209=K209,"FFD",""),IF(H209=K209,"BFD",""),IF(I209=K209,"WFD",""),IF(J209=K209,"CTP",""))</x:f>
        <x:v>IG</x:v>
      </x:c>
      <x:c r="M209" s="14" t="n">
        <x:f>IFERROR((F209-$K209)/$K209,"")</x:f>
        <x:v>0</x:v>
      </x:c>
      <x:c r="N209" s="14" t="n">
        <x:f>IFERROR((G209-$K209)/$K209,"")</x:f>
        <x:v>0.6329113924050633</x:v>
      </x:c>
      <x:c r="O209" s="14" t="n">
        <x:f>IFERROR((H209-$K209)/$K209,"")</x:f>
        <x:v>0.6645569620253164</x:v>
      </x:c>
      <x:c r="P209" s="14" t="n">
        <x:f>IFERROR((I209-$K209)/$K209,"")</x:f>
        <x:v>0.6835443037974683</x:v>
      </x:c>
      <x:c r="Q209" s="14" t="n">
        <x:f>IFERROR((J209-$K209)/$K209,"")</x:f>
        <x:v>0.10759493670886076</x:v>
      </x:c>
      <x:c r="R209" t="n">
        <x:f>--(F209=$K209)</x:f>
        <x:v>1</x:v>
      </x:c>
      <x:c r="S209" t="n">
        <x:f>--(G209=$K209)</x:f>
        <x:v>0</x:v>
      </x:c>
      <x:c r="T209" t="n">
        <x:f>--(H209=$K209)</x:f>
        <x:v>0</x:v>
      </x:c>
      <x:c r="U209" t="n">
        <x:f>--(I209=$K209)</x:f>
        <x:v>0</x:v>
      </x:c>
      <x:c r="V209" t="n">
        <x:f>--(J209=$K209)</x:f>
        <x:v>0</x:v>
      </x:c>
    </x:row>
    <x:row r="210" ht="18" customHeight="1">
      <x:c r="A210" t="str">
        <x:v>bpps_d10000n75m5w1500_3000s1000_2000f0_seed0</x:v>
      </x:c>
      <x:c r="B210" s="16" t="n">
        <x:v>75</x:v>
      </x:c>
      <x:c r="C210" s="16" t="n">
        <x:v>5</x:v>
      </x:c>
      <x:c r="D210" s="16" t="n">
        <x:v>10000</x:v>
      </x:c>
      <x:c r="E210" s="16" t="n">
        <x:v>269</x:v>
      </x:c>
      <x:c r="F210" s="12" t="n">
        <x:v>22</x:v>
      </x:c>
      <x:c r="G210" s="12" t="n">
        <x:v>26</x:v>
      </x:c>
      <x:c r="H210" s="12" t="n">
        <x:v>26</x:v>
      </x:c>
      <x:c r="I210" s="12" t="n">
        <x:v>26</x:v>
      </x:c>
      <x:c r="J210" s="12" t="n">
        <x:v>23</x:v>
      </x:c>
      <x:c r="K210" s="12" t="n">
        <x:f>MIN(F210:J210)</x:f>
        <x:v>22</x:v>
      </x:c>
      <x:c r="L210" t="str">
        <x:f>TEXTJOIN(", ",TRUE,IF(F210=K210,"IG",""),IF(G210=K210,"FFD",""),IF(H210=K210,"BFD",""),IF(I210=K210,"WFD",""),IF(J210=K210,"CTP",""))</x:f>
        <x:v>IG</x:v>
      </x:c>
      <x:c r="M210" s="14" t="n">
        <x:f>IFERROR((F210-$K210)/$K210,"")</x:f>
        <x:v>0</x:v>
      </x:c>
      <x:c r="N210" s="14" t="n">
        <x:f>IFERROR((G210-$K210)/$K210,"")</x:f>
        <x:v>0.18181818181818182</x:v>
      </x:c>
      <x:c r="O210" s="14" t="n">
        <x:f>IFERROR((H210-$K210)/$K210,"")</x:f>
        <x:v>0.18181818181818182</x:v>
      </x:c>
      <x:c r="P210" s="14" t="n">
        <x:f>IFERROR((I210-$K210)/$K210,"")</x:f>
        <x:v>0.18181818181818182</x:v>
      </x:c>
      <x:c r="Q210" s="14" t="n">
        <x:f>IFERROR((J210-$K210)/$K210,"")</x:f>
        <x:v>0.045454545454545456</x:v>
      </x:c>
      <x:c r="R210" t="n">
        <x:f>--(F210=$K210)</x:f>
        <x:v>1</x:v>
      </x:c>
      <x:c r="S210" t="n">
        <x:f>--(G210=$K210)</x:f>
        <x:v>0</x:v>
      </x:c>
      <x:c r="T210" t="n">
        <x:f>--(H210=$K210)</x:f>
        <x:v>0</x:v>
      </x:c>
      <x:c r="U210" t="n">
        <x:f>--(I210=$K210)</x:f>
        <x:v>0</x:v>
      </x:c>
      <x:c r="V210" t="n">
        <x:f>--(J210=$K210)</x:f>
        <x:v>0</x:v>
      </x:c>
    </x:row>
    <x:row r="211" ht="18" customHeight="1">
      <x:c r="A211" t="str">
        <x:v>bpps_d10000n75m5w1500_3000s1000_2000f0_seed1</x:v>
      </x:c>
      <x:c r="B211" s="16" t="n">
        <x:v>75</x:v>
      </x:c>
      <x:c r="C211" s="16" t="n">
        <x:v>5</x:v>
      </x:c>
      <x:c r="D211" s="16" t="n">
        <x:v>10000</x:v>
      </x:c>
      <x:c r="E211" s="16" t="n">
        <x:v>316</x:v>
      </x:c>
      <x:c r="F211" s="12" t="n">
        <x:v>24</x:v>
      </x:c>
      <x:c r="G211" s="12" t="n">
        <x:v>27</x:v>
      </x:c>
      <x:c r="H211" s="12" t="n">
        <x:v>28</x:v>
      </x:c>
      <x:c r="I211" s="12" t="n">
        <x:v>28</x:v>
      </x:c>
      <x:c r="J211" s="12" t="n">
        <x:v>24</x:v>
      </x:c>
      <x:c r="K211" s="12" t="n">
        <x:f>MIN(F211:J211)</x:f>
        <x:v>24</x:v>
      </x:c>
      <x:c r="L211" t="str">
        <x:f>TEXTJOIN(", ",TRUE,IF(F211=K211,"IG",""),IF(G211=K211,"FFD",""),IF(H211=K211,"BFD",""),IF(I211=K211,"WFD",""),IF(J211=K211,"CTP",""))</x:f>
        <x:v>IG, CTP</x:v>
      </x:c>
      <x:c r="M211" s="14" t="n">
        <x:f>IFERROR((F211-$K211)/$K211,"")</x:f>
        <x:v>0</x:v>
      </x:c>
      <x:c r="N211" s="14" t="n">
        <x:f>IFERROR((G211-$K211)/$K211,"")</x:f>
        <x:v>0.125</x:v>
      </x:c>
      <x:c r="O211" s="14" t="n">
        <x:f>IFERROR((H211-$K211)/$K211,"")</x:f>
        <x:v>0.16666666666666666</x:v>
      </x:c>
      <x:c r="P211" s="14" t="n">
        <x:f>IFERROR((I211-$K211)/$K211,"")</x:f>
        <x:v>0.16666666666666666</x:v>
      </x:c>
      <x:c r="Q211" s="14" t="n">
        <x:f>IFERROR((J211-$K211)/$K211,"")</x:f>
        <x:v>0</x:v>
      </x:c>
      <x:c r="R211" t="n">
        <x:f>--(F211=$K211)</x:f>
        <x:v>1</x:v>
      </x:c>
      <x:c r="S211" t="n">
        <x:f>--(G211=$K211)</x:f>
        <x:v>0</x:v>
      </x:c>
      <x:c r="T211" t="n">
        <x:f>--(H211=$K211)</x:f>
        <x:v>0</x:v>
      </x:c>
      <x:c r="U211" t="n">
        <x:f>--(I211=$K211)</x:f>
        <x:v>0</x:v>
      </x:c>
      <x:c r="V211" t="n">
        <x:f>--(J211=$K211)</x:f>
        <x:v>1</x:v>
      </x:c>
    </x:row>
    <x:row r="212" ht="18" customHeight="1">
      <x:c r="A212" t="str">
        <x:v>bpps_d10000n75m5w1500_3000s1000_2000f1_seed0</x:v>
      </x:c>
      <x:c r="B212" s="16" t="n">
        <x:v>75</x:v>
      </x:c>
      <x:c r="C212" s="16" t="n">
        <x:v>5</x:v>
      </x:c>
      <x:c r="D212" s="16" t="n">
        <x:v>10000</x:v>
      </x:c>
      <x:c r="E212" s="16" t="n">
        <x:v>272</x:v>
      </x:c>
      <x:c r="F212" s="12" t="n">
        <x:v>282</x:v>
      </x:c>
      <x:c r="G212" s="12" t="n">
        <x:v>402</x:v>
      </x:c>
      <x:c r="H212" s="12" t="n">
        <x:v>404</x:v>
      </x:c>
      <x:c r="I212" s="12" t="n">
        <x:v>398</x:v>
      </x:c>
      <x:c r="J212" s="12" t="n">
        <x:v>320</x:v>
      </x:c>
      <x:c r="K212" s="12" t="n">
        <x:f>MIN(F212:J212)</x:f>
        <x:v>282</x:v>
      </x:c>
      <x:c r="L212" t="str">
        <x:f>TEXTJOIN(", ",TRUE,IF(F212=K212,"IG",""),IF(G212=K212,"FFD",""),IF(H212=K212,"BFD",""),IF(I212=K212,"WFD",""),IF(J212=K212,"CTP",""))</x:f>
        <x:v>IG</x:v>
      </x:c>
      <x:c r="M212" s="14" t="n">
        <x:f>IFERROR((F212-$K212)/$K212,"")</x:f>
        <x:v>0</x:v>
      </x:c>
      <x:c r="N212" s="14" t="n">
        <x:f>IFERROR((G212-$K212)/$K212,"")</x:f>
        <x:v>0.425531914893617</x:v>
      </x:c>
      <x:c r="O212" s="14" t="n">
        <x:f>IFERROR((H212-$K212)/$K212,"")</x:f>
        <x:v>0.4326241134751773</x:v>
      </x:c>
      <x:c r="P212" s="14" t="n">
        <x:f>IFERROR((I212-$K212)/$K212,"")</x:f>
        <x:v>0.41134751773049644</x:v>
      </x:c>
      <x:c r="Q212" s="14" t="n">
        <x:f>IFERROR((J212-$K212)/$K212,"")</x:f>
        <x:v>0.1347517730496454</x:v>
      </x:c>
      <x:c r="R212" t="n">
        <x:f>--(F212=$K212)</x:f>
        <x:v>1</x:v>
      </x:c>
      <x:c r="S212" t="n">
        <x:f>--(G212=$K212)</x:f>
        <x:v>0</x:v>
      </x:c>
      <x:c r="T212" t="n">
        <x:f>--(H212=$K212)</x:f>
        <x:v>0</x:v>
      </x:c>
      <x:c r="U212" t="n">
        <x:f>--(I212=$K212)</x:f>
        <x:v>0</x:v>
      </x:c>
      <x:c r="V212" t="n">
        <x:f>--(J212=$K212)</x:f>
        <x:v>0</x:v>
      </x:c>
    </x:row>
    <x:row r="213" ht="18" customHeight="1">
      <x:c r="A213" t="str">
        <x:v>bpps_d10000n75m5w1500_3000s1000_2000f1_seed1</x:v>
      </x:c>
      <x:c r="B213" s="16" t="n">
        <x:v>75</x:v>
      </x:c>
      <x:c r="C213" s="16" t="n">
        <x:v>5</x:v>
      </x:c>
      <x:c r="D213" s="16" t="n">
        <x:v>10000</x:v>
      </x:c>
      <x:c r="E213" s="16" t="n">
        <x:v>280</x:v>
      </x:c>
      <x:c r="F213" s="12" t="n">
        <x:v>280</x:v>
      </x:c>
      <x:c r="G213" s="12" t="n">
        <x:v>387</x:v>
      </x:c>
      <x:c r="H213" s="12" t="n">
        <x:v>371</x:v>
      </x:c>
      <x:c r="I213" s="12" t="n">
        <x:v>388</x:v>
      </x:c>
      <x:c r="J213" s="12" t="n">
        <x:v>293</x:v>
      </x:c>
      <x:c r="K213" s="12" t="n">
        <x:f>MIN(F213:J213)</x:f>
        <x:v>280</x:v>
      </x:c>
      <x:c r="L213" t="str">
        <x:f>TEXTJOIN(", ",TRUE,IF(F213=K213,"IG",""),IF(G213=K213,"FFD",""),IF(H213=K213,"BFD",""),IF(I213=K213,"WFD",""),IF(J213=K213,"CTP",""))</x:f>
        <x:v>IG</x:v>
      </x:c>
      <x:c r="M213" s="14" t="n">
        <x:f>IFERROR((F213-$K213)/$K213,"")</x:f>
        <x:v>0</x:v>
      </x:c>
      <x:c r="N213" s="14" t="n">
        <x:f>IFERROR((G213-$K213)/$K213,"")</x:f>
        <x:v>0.3821428571428571</x:v>
      </x:c>
      <x:c r="O213" s="14" t="n">
        <x:f>IFERROR((H213-$K213)/$K213,"")</x:f>
        <x:v>0.325</x:v>
      </x:c>
      <x:c r="P213" s="14" t="n">
        <x:f>IFERROR((I213-$K213)/$K213,"")</x:f>
        <x:v>0.38571428571428573</x:v>
      </x:c>
      <x:c r="Q213" s="14" t="n">
        <x:f>IFERROR((J213-$K213)/$K213,"")</x:f>
        <x:v>0.04642857142857143</x:v>
      </x:c>
      <x:c r="R213" t="n">
        <x:f>--(F213=$K213)</x:f>
        <x:v>1</x:v>
      </x:c>
      <x:c r="S213" t="n">
        <x:f>--(G213=$K213)</x:f>
        <x:v>0</x:v>
      </x:c>
      <x:c r="T213" t="n">
        <x:f>--(H213=$K213)</x:f>
        <x:v>0</x:v>
      </x:c>
      <x:c r="U213" t="n">
        <x:f>--(I213=$K213)</x:f>
        <x:v>0</x:v>
      </x:c>
      <x:c r="V213" t="n">
        <x:f>--(J213=$K213)</x:f>
        <x:v>0</x:v>
      </x:c>
    </x:row>
    <x:row r="214" ht="18" customHeight="1">
      <x:c r="A214" t="str">
        <x:v>bpps_d10000n75m5w1500_3000s100_1000f0_seed0</x:v>
      </x:c>
      <x:c r="B214" s="16" t="n">
        <x:v>75</x:v>
      </x:c>
      <x:c r="C214" s="16" t="n">
        <x:v>5</x:v>
      </x:c>
      <x:c r="D214" s="16" t="n">
        <x:v>10000</x:v>
      </x:c>
      <x:c r="E214" s="16" t="n">
        <x:v>304</x:v>
      </x:c>
      <x:c r="F214" s="12" t="n">
        <x:v>20</x:v>
      </x:c>
      <x:c r="G214" s="12" t="n">
        <x:v>21</x:v>
      </x:c>
      <x:c r="H214" s="12" t="n">
        <x:v>21</x:v>
      </x:c>
      <x:c r="I214" s="12" t="n">
        <x:v>22</x:v>
      </x:c>
      <x:c r="J214" s="12" t="n">
        <x:v>21</x:v>
      </x:c>
      <x:c r="K214" s="12" t="n">
        <x:f>MIN(F214:J214)</x:f>
        <x:v>20</x:v>
      </x:c>
      <x:c r="L214" t="str">
        <x:f>TEXTJOIN(", ",TRUE,IF(F214=K214,"IG",""),IF(G214=K214,"FFD",""),IF(H214=K214,"BFD",""),IF(I214=K214,"WFD",""),IF(J214=K214,"CTP",""))</x:f>
        <x:v>IG</x:v>
      </x:c>
      <x:c r="M214" s="14" t="n">
        <x:f>IFERROR((F214-$K214)/$K214,"")</x:f>
        <x:v>0</x:v>
      </x:c>
      <x:c r="N214" s="14" t="n">
        <x:f>IFERROR((G214-$K214)/$K214,"")</x:f>
        <x:v>0.05</x:v>
      </x:c>
      <x:c r="O214" s="14" t="n">
        <x:f>IFERROR((H214-$K214)/$K214,"")</x:f>
        <x:v>0.05</x:v>
      </x:c>
      <x:c r="P214" s="14" t="n">
        <x:f>IFERROR((I214-$K214)/$K214,"")</x:f>
        <x:v>0.1</x:v>
      </x:c>
      <x:c r="Q214" s="14" t="n">
        <x:f>IFERROR((J214-$K214)/$K214,"")</x:f>
        <x:v>0.05</x:v>
      </x:c>
      <x:c r="R214" t="n">
        <x:f>--(F214=$K214)</x:f>
        <x:v>1</x:v>
      </x:c>
      <x:c r="S214" t="n">
        <x:f>--(G214=$K214)</x:f>
        <x:v>0</x:v>
      </x:c>
      <x:c r="T214" t="n">
        <x:f>--(H214=$K214)</x:f>
        <x:v>0</x:v>
      </x:c>
      <x:c r="U214" t="n">
        <x:f>--(I214=$K214)</x:f>
        <x:v>0</x:v>
      </x:c>
      <x:c r="V214" t="n">
        <x:f>--(J214=$K214)</x:f>
        <x:v>0</x:v>
      </x:c>
    </x:row>
    <x:row r="215" ht="18" customHeight="1">
      <x:c r="A215" t="str">
        <x:v>bpps_d10000n75m5w1500_3000s100_1000f0_seed1</x:v>
      </x:c>
      <x:c r="B215" s="16" t="n">
        <x:v>75</x:v>
      </x:c>
      <x:c r="C215" s="16" t="n">
        <x:v>5</x:v>
      </x:c>
      <x:c r="D215" s="16" t="n">
        <x:v>10000</x:v>
      </x:c>
      <x:c r="E215" s="16" t="n">
        <x:v>266</x:v>
      </x:c>
      <x:c r="F215" s="12" t="n">
        <x:v>22</x:v>
      </x:c>
      <x:c r="G215" s="12" t="n">
        <x:v>23</x:v>
      </x:c>
      <x:c r="H215" s="12" t="n">
        <x:v>22</x:v>
      </x:c>
      <x:c r="I215" s="12" t="n">
        <x:v>23</x:v>
      </x:c>
      <x:c r="J215" s="12" t="n">
        <x:v>22</x:v>
      </x:c>
      <x:c r="K215" s="12" t="n">
        <x:f>MIN(F215:J215)</x:f>
        <x:v>22</x:v>
      </x:c>
      <x:c r="L215" t="str">
        <x:f>TEXTJOIN(", ",TRUE,IF(F215=K215,"IG",""),IF(G215=K215,"FFD",""),IF(H215=K215,"BFD",""),IF(I215=K215,"WFD",""),IF(J215=K215,"CTP",""))</x:f>
        <x:v>IG, BFD, CTP</x:v>
      </x:c>
      <x:c r="M215" s="14" t="n">
        <x:f>IFERROR((F215-$K215)/$K215,"")</x:f>
        <x:v>0</x:v>
      </x:c>
      <x:c r="N215" s="14" t="n">
        <x:f>IFERROR((G215-$K215)/$K215,"")</x:f>
        <x:v>0.045454545454545456</x:v>
      </x:c>
      <x:c r="O215" s="14" t="n">
        <x:f>IFERROR((H215-$K215)/$K215,"")</x:f>
        <x:v>0</x:v>
      </x:c>
      <x:c r="P215" s="14" t="n">
        <x:f>IFERROR((I215-$K215)/$K215,"")</x:f>
        <x:v>0.045454545454545456</x:v>
      </x:c>
      <x:c r="Q215" s="14" t="n">
        <x:f>IFERROR((J215-$K215)/$K215,"")</x:f>
        <x:v>0</x:v>
      </x:c>
      <x:c r="R215" t="n">
        <x:f>--(F215=$K215)</x:f>
        <x:v>1</x:v>
      </x:c>
      <x:c r="S215" t="n">
        <x:f>--(G215=$K215)</x:f>
        <x:v>0</x:v>
      </x:c>
      <x:c r="T215" t="n">
        <x:f>--(H215=$K215)</x:f>
        <x:v>1</x:v>
      </x:c>
      <x:c r="U215" t="n">
        <x:f>--(I215=$K215)</x:f>
        <x:v>0</x:v>
      </x:c>
      <x:c r="V215" t="n">
        <x:f>--(J215=$K215)</x:f>
        <x:v>1</x:v>
      </x:c>
    </x:row>
    <x:row r="216" ht="18" customHeight="1">
      <x:c r="A216" t="str">
        <x:v>bpps_d10000n75m5w1500_3000s100_1000f1_seed0</x:v>
      </x:c>
      <x:c r="B216" s="16" t="n">
        <x:v>75</x:v>
      </x:c>
      <x:c r="C216" s="16" t="n">
        <x:v>5</x:v>
      </x:c>
      <x:c r="D216" s="16" t="n">
        <x:v>10000</x:v>
      </x:c>
      <x:c r="E216" s="16" t="n">
        <x:v>294</x:v>
      </x:c>
      <x:c r="F216" s="12" t="n">
        <x:v>261</x:v>
      </x:c>
      <x:c r="G216" s="12" t="n">
        <x:v>381</x:v>
      </x:c>
      <x:c r="H216" s="12" t="n">
        <x:v>378</x:v>
      </x:c>
      <x:c r="I216" s="12" t="n">
        <x:v>387</x:v>
      </x:c>
      <x:c r="J216" s="12" t="n">
        <x:v>294</x:v>
      </x:c>
      <x:c r="K216" s="12" t="n">
        <x:f>MIN(F216:J216)</x:f>
        <x:v>261</x:v>
      </x:c>
      <x:c r="L216" t="str">
        <x:f>TEXTJOIN(", ",TRUE,IF(F216=K216,"IG",""),IF(G216=K216,"FFD",""),IF(H216=K216,"BFD",""),IF(I216=K216,"WFD",""),IF(J216=K216,"CTP",""))</x:f>
        <x:v>IG</x:v>
      </x:c>
      <x:c r="M216" s="14" t="n">
        <x:f>IFERROR((F216-$K216)/$K216,"")</x:f>
        <x:v>0</x:v>
      </x:c>
      <x:c r="N216" s="14" t="n">
        <x:f>IFERROR((G216-$K216)/$K216,"")</x:f>
        <x:v>0.45977011494252873</x:v>
      </x:c>
      <x:c r="O216" s="14" t="n">
        <x:f>IFERROR((H216-$K216)/$K216,"")</x:f>
        <x:v>0.4482758620689655</x:v>
      </x:c>
      <x:c r="P216" s="14" t="n">
        <x:f>IFERROR((I216-$K216)/$K216,"")</x:f>
        <x:v>0.4827586206896552</x:v>
      </x:c>
      <x:c r="Q216" s="14" t="n">
        <x:f>IFERROR((J216-$K216)/$K216,"")</x:f>
        <x:v>0.12643678160919541</x:v>
      </x:c>
      <x:c r="R216" t="n">
        <x:f>--(F216=$K216)</x:f>
        <x:v>1</x:v>
      </x:c>
      <x:c r="S216" t="n">
        <x:f>--(G216=$K216)</x:f>
        <x:v>0</x:v>
      </x:c>
      <x:c r="T216" t="n">
        <x:f>--(H216=$K216)</x:f>
        <x:v>0</x:v>
      </x:c>
      <x:c r="U216" t="n">
        <x:f>--(I216=$K216)</x:f>
        <x:v>0</x:v>
      </x:c>
      <x:c r="V216" t="n">
        <x:f>--(J216=$K216)</x:f>
        <x:v>0</x:v>
      </x:c>
    </x:row>
    <x:row r="217" ht="18" customHeight="1">
      <x:c r="A217" t="str">
        <x:v>bpps_d10000n75m5w1500_3000s100_1000f1_seed1</x:v>
      </x:c>
      <x:c r="B217" s="16" t="n">
        <x:v>75</x:v>
      </x:c>
      <x:c r="C217" s="16" t="n">
        <x:v>5</x:v>
      </x:c>
      <x:c r="D217" s="16" t="n">
        <x:v>10000</x:v>
      </x:c>
      <x:c r="E217" s="16" t="n">
        <x:v>284</x:v>
      </x:c>
      <x:c r="F217" s="12" t="n">
        <x:v>253</x:v>
      </x:c>
      <x:c r="G217" s="12" t="n">
        <x:v>358</x:v>
      </x:c>
      <x:c r="H217" s="12" t="n">
        <x:v>346</x:v>
      </x:c>
      <x:c r="I217" s="12" t="n">
        <x:v>351</x:v>
      </x:c>
      <x:c r="J217" s="12" t="n">
        <x:v>283</x:v>
      </x:c>
      <x:c r="K217" s="12" t="n">
        <x:f>MIN(F217:J217)</x:f>
        <x:v>253</x:v>
      </x:c>
      <x:c r="L217" t="str">
        <x:f>TEXTJOIN(", ",TRUE,IF(F217=K217,"IG",""),IF(G217=K217,"FFD",""),IF(H217=K217,"BFD",""),IF(I217=K217,"WFD",""),IF(J217=K217,"CTP",""))</x:f>
        <x:v>IG</x:v>
      </x:c>
      <x:c r="M217" s="14" t="n">
        <x:f>IFERROR((F217-$K217)/$K217,"")</x:f>
        <x:v>0</x:v>
      </x:c>
      <x:c r="N217" s="14" t="n">
        <x:f>IFERROR((G217-$K217)/$K217,"")</x:f>
        <x:v>0.4150197628458498</x:v>
      </x:c>
      <x:c r="O217" s="14" t="n">
        <x:f>IFERROR((H217-$K217)/$K217,"")</x:f>
        <x:v>0.3675889328063241</x:v>
      </x:c>
      <x:c r="P217" s="14" t="n">
        <x:f>IFERROR((I217-$K217)/$K217,"")</x:f>
        <x:v>0.38735177865612647</x:v>
      </x:c>
      <x:c r="Q217" s="14" t="n">
        <x:f>IFERROR((J217-$K217)/$K217,"")</x:f>
        <x:v>0.11857707509881422</x:v>
      </x:c>
      <x:c r="R217" t="n">
        <x:f>--(F217=$K217)</x:f>
        <x:v>1</x:v>
      </x:c>
      <x:c r="S217" t="n">
        <x:f>--(G217=$K217)</x:f>
        <x:v>0</x:v>
      </x:c>
      <x:c r="T217" t="n">
        <x:f>--(H217=$K217)</x:f>
        <x:v>0</x:v>
      </x:c>
      <x:c r="U217" t="n">
        <x:f>--(I217=$K217)</x:f>
        <x:v>0</x:v>
      </x:c>
      <x:c r="V217" t="n">
        <x:f>--(J217=$K217)</x:f>
        <x:v>0</x:v>
      </x:c>
    </x:row>
    <x:row r="218" ht="18" customHeight="1">
      <x:c r="A218" t="str">
        <x:v>bpps_d10000n75m5w500_1500s1000_2000f0_seed0</x:v>
      </x:c>
      <x:c r="B218" s="16" t="n">
        <x:v>75</x:v>
      </x:c>
      <x:c r="C218" s="16" t="n">
        <x:v>5</x:v>
      </x:c>
      <x:c r="D218" s="16" t="n">
        <x:v>10000</x:v>
      </x:c>
      <x:c r="E218" s="16" t="n">
        <x:v>270</x:v>
      </x:c>
      <x:c r="F218" s="12" t="n">
        <x:v>11</x:v>
      </x:c>
      <x:c r="G218" s="12" t="n">
        <x:v>15</x:v>
      </x:c>
      <x:c r="H218" s="12" t="n">
        <x:v>15</x:v>
      </x:c>
      <x:c r="I218" s="12" t="n">
        <x:v>15</x:v>
      </x:c>
      <x:c r="J218" s="12" t="n">
        <x:v>12</x:v>
      </x:c>
      <x:c r="K218" s="12" t="n">
        <x:f>MIN(F218:J218)</x:f>
        <x:v>11</x:v>
      </x:c>
      <x:c r="L218" t="str">
        <x:f>TEXTJOIN(", ",TRUE,IF(F218=K218,"IG",""),IF(G218=K218,"FFD",""),IF(H218=K218,"BFD",""),IF(I218=K218,"WFD",""),IF(J218=K218,"CTP",""))</x:f>
        <x:v>IG</x:v>
      </x:c>
      <x:c r="M218" s="14" t="n">
        <x:f>IFERROR((F218-$K218)/$K218,"")</x:f>
        <x:v>0</x:v>
      </x:c>
      <x:c r="N218" s="14" t="n">
        <x:f>IFERROR((G218-$K218)/$K218,"")</x:f>
        <x:v>0.36363636363636365</x:v>
      </x:c>
      <x:c r="O218" s="14" t="n">
        <x:f>IFERROR((H218-$K218)/$K218,"")</x:f>
        <x:v>0.36363636363636365</x:v>
      </x:c>
      <x:c r="P218" s="14" t="n">
        <x:f>IFERROR((I218-$K218)/$K218,"")</x:f>
        <x:v>0.36363636363636365</x:v>
      </x:c>
      <x:c r="Q218" s="14" t="n">
        <x:f>IFERROR((J218-$K218)/$K218,"")</x:f>
        <x:v>0.09090909090909091</x:v>
      </x:c>
      <x:c r="R218" t="n">
        <x:f>--(F218=$K218)</x:f>
        <x:v>1</x:v>
      </x:c>
      <x:c r="S218" t="n">
        <x:f>--(G218=$K218)</x:f>
        <x:v>0</x:v>
      </x:c>
      <x:c r="T218" t="n">
        <x:f>--(H218=$K218)</x:f>
        <x:v>0</x:v>
      </x:c>
      <x:c r="U218" t="n">
        <x:f>--(I218=$K218)</x:f>
        <x:v>0</x:v>
      </x:c>
      <x:c r="V218" t="n">
        <x:f>--(J218=$K218)</x:f>
        <x:v>0</x:v>
      </x:c>
    </x:row>
    <x:row r="219" ht="18" customHeight="1">
      <x:c r="A219" t="str">
        <x:v>bpps_d10000n75m5w500_1500s1000_2000f0_seed1</x:v>
      </x:c>
      <x:c r="B219" s="16" t="n">
        <x:v>75</x:v>
      </x:c>
      <x:c r="C219" s="16" t="n">
        <x:v>5</x:v>
      </x:c>
      <x:c r="D219" s="16" t="n">
        <x:v>10000</x:v>
      </x:c>
      <x:c r="E219" s="16" t="n">
        <x:v>281</x:v>
      </x:c>
      <x:c r="F219" s="12" t="n">
        <x:v>11</x:v>
      </x:c>
      <x:c r="G219" s="12" t="n">
        <x:v>14</x:v>
      </x:c>
      <x:c r="H219" s="12" t="n">
        <x:v>15</x:v>
      </x:c>
      <x:c r="I219" s="12" t="n">
        <x:v>14</x:v>
      </x:c>
      <x:c r="J219" s="12" t="n">
        <x:v>12</x:v>
      </x:c>
      <x:c r="K219" s="12" t="n">
        <x:f>MIN(F219:J219)</x:f>
        <x:v>11</x:v>
      </x:c>
      <x:c r="L219" t="str">
        <x:f>TEXTJOIN(", ",TRUE,IF(F219=K219,"IG",""),IF(G219=K219,"FFD",""),IF(H219=K219,"BFD",""),IF(I219=K219,"WFD",""),IF(J219=K219,"CTP",""))</x:f>
        <x:v>IG</x:v>
      </x:c>
      <x:c r="M219" s="14" t="n">
        <x:f>IFERROR((F219-$K219)/$K219,"")</x:f>
        <x:v>0</x:v>
      </x:c>
      <x:c r="N219" s="14" t="n">
        <x:f>IFERROR((G219-$K219)/$K219,"")</x:f>
        <x:v>0.2727272727272727</x:v>
      </x:c>
      <x:c r="O219" s="14" t="n">
        <x:f>IFERROR((H219-$K219)/$K219,"")</x:f>
        <x:v>0.36363636363636365</x:v>
      </x:c>
      <x:c r="P219" s="14" t="n">
        <x:f>IFERROR((I219-$K219)/$K219,"")</x:f>
        <x:v>0.2727272727272727</x:v>
      </x:c>
      <x:c r="Q219" s="14" t="n">
        <x:f>IFERROR((J219-$K219)/$K219,"")</x:f>
        <x:v>0.09090909090909091</x:v>
      </x:c>
      <x:c r="R219" t="n">
        <x:f>--(F219=$K219)</x:f>
        <x:v>1</x:v>
      </x:c>
      <x:c r="S219" t="n">
        <x:f>--(G219=$K219)</x:f>
        <x:v>0</x:v>
      </x:c>
      <x:c r="T219" t="n">
        <x:f>--(H219=$K219)</x:f>
        <x:v>0</x:v>
      </x:c>
      <x:c r="U219" t="n">
        <x:f>--(I219=$K219)</x:f>
        <x:v>0</x:v>
      </x:c>
      <x:c r="V219" t="n">
        <x:f>--(J219=$K219)</x:f>
        <x:v>0</x:v>
      </x:c>
    </x:row>
    <x:row r="220" ht="18" customHeight="1">
      <x:c r="A220" t="str">
        <x:v>bpps_d10000n75m5w500_1500s1000_2000f1_seed0</x:v>
      </x:c>
      <x:c r="B220" s="16" t="n">
        <x:v>75</x:v>
      </x:c>
      <x:c r="C220" s="16" t="n">
        <x:v>5</x:v>
      </x:c>
      <x:c r="D220" s="16" t="n">
        <x:v>10000</x:v>
      </x:c>
      <x:c r="E220" s="16" t="n">
        <x:v>289</x:v>
      </x:c>
      <x:c r="F220" s="12" t="n">
        <x:v>150</x:v>
      </x:c>
      <x:c r="G220" s="12" t="n">
        <x:v>275</x:v>
      </x:c>
      <x:c r="H220" s="12" t="n">
        <x:v>274</x:v>
      </x:c>
      <x:c r="I220" s="12" t="n">
        <x:v>266</x:v>
      </x:c>
      <x:c r="J220" s="12" t="n">
        <x:v>163</x:v>
      </x:c>
      <x:c r="K220" s="12" t="n">
        <x:f>MIN(F220:J220)</x:f>
        <x:v>150</x:v>
      </x:c>
      <x:c r="L220" t="str">
        <x:f>TEXTJOIN(", ",TRUE,IF(F220=K220,"IG",""),IF(G220=K220,"FFD",""),IF(H220=K220,"BFD",""),IF(I220=K220,"WFD",""),IF(J220=K220,"CTP",""))</x:f>
        <x:v>IG</x:v>
      </x:c>
      <x:c r="M220" s="14" t="n">
        <x:f>IFERROR((F220-$K220)/$K220,"")</x:f>
        <x:v>0</x:v>
      </x:c>
      <x:c r="N220" s="14" t="n">
        <x:f>IFERROR((G220-$K220)/$K220,"")</x:f>
        <x:v>0.8333333333333334</x:v>
      </x:c>
      <x:c r="O220" s="14" t="n">
        <x:f>IFERROR((H220-$K220)/$K220,"")</x:f>
        <x:v>0.8266666666666667</x:v>
      </x:c>
      <x:c r="P220" s="14" t="n">
        <x:f>IFERROR((I220-$K220)/$K220,"")</x:f>
        <x:v>0.7733333333333333</x:v>
      </x:c>
      <x:c r="Q220" s="14" t="n">
        <x:f>IFERROR((J220-$K220)/$K220,"")</x:f>
        <x:v>0.08666666666666667</x:v>
      </x:c>
      <x:c r="R220" t="n">
        <x:f>--(F220=$K220)</x:f>
        <x:v>1</x:v>
      </x:c>
      <x:c r="S220" t="n">
        <x:f>--(G220=$K220)</x:f>
        <x:v>0</x:v>
      </x:c>
      <x:c r="T220" t="n">
        <x:f>--(H220=$K220)</x:f>
        <x:v>0</x:v>
      </x:c>
      <x:c r="U220" t="n">
        <x:f>--(I220=$K220)</x:f>
        <x:v>0</x:v>
      </x:c>
      <x:c r="V220" t="n">
        <x:f>--(J220=$K220)</x:f>
        <x:v>0</x:v>
      </x:c>
    </x:row>
    <x:row r="221" ht="18" customHeight="1">
      <x:c r="A221" t="str">
        <x:v>bpps_d10000n75m5w500_1500s1000_2000f1_seed1</x:v>
      </x:c>
      <x:c r="B221" s="16" t="n">
        <x:v>75</x:v>
      </x:c>
      <x:c r="C221" s="16" t="n">
        <x:v>5</x:v>
      </x:c>
      <x:c r="D221" s="16" t="n">
        <x:v>10000</x:v>
      </x:c>
      <x:c r="E221" s="16" t="n">
        <x:v>290</x:v>
      </x:c>
      <x:c r="F221" s="12" t="n">
        <x:v>140</x:v>
      </x:c>
      <x:c r="G221" s="12" t="n">
        <x:v>238</x:v>
      </x:c>
      <x:c r="H221" s="12" t="n">
        <x:v>235</x:v>
      </x:c>
      <x:c r="I221" s="12" t="n">
        <x:v>240</x:v>
      </x:c>
      <x:c r="J221" s="12" t="n">
        <x:v>154</x:v>
      </x:c>
      <x:c r="K221" s="12" t="n">
        <x:f>MIN(F221:J221)</x:f>
        <x:v>140</x:v>
      </x:c>
      <x:c r="L221" t="str">
        <x:f>TEXTJOIN(", ",TRUE,IF(F221=K221,"IG",""),IF(G221=K221,"FFD",""),IF(H221=K221,"BFD",""),IF(I221=K221,"WFD",""),IF(J221=K221,"CTP",""))</x:f>
        <x:v>IG</x:v>
      </x:c>
      <x:c r="M221" s="14" t="n">
        <x:f>IFERROR((F221-$K221)/$K221,"")</x:f>
        <x:v>0</x:v>
      </x:c>
      <x:c r="N221" s="14" t="n">
        <x:f>IFERROR((G221-$K221)/$K221,"")</x:f>
        <x:v>0.7</x:v>
      </x:c>
      <x:c r="O221" s="14" t="n">
        <x:f>IFERROR((H221-$K221)/$K221,"")</x:f>
        <x:v>0.6785714285714286</x:v>
      </x:c>
      <x:c r="P221" s="14" t="n">
        <x:f>IFERROR((I221-$K221)/$K221,"")</x:f>
        <x:v>0.7142857142857143</x:v>
      </x:c>
      <x:c r="Q221" s="14" t="n">
        <x:f>IFERROR((J221-$K221)/$K221,"")</x:f>
        <x:v>0.1</x:v>
      </x:c>
      <x:c r="R221" t="n">
        <x:f>--(F221=$K221)</x:f>
        <x:v>1</x:v>
      </x:c>
      <x:c r="S221" t="n">
        <x:f>--(G221=$K221)</x:f>
        <x:v>0</x:v>
      </x:c>
      <x:c r="T221" t="n">
        <x:f>--(H221=$K221)</x:f>
        <x:v>0</x:v>
      </x:c>
      <x:c r="U221" t="n">
        <x:f>--(I221=$K221)</x:f>
        <x:v>0</x:v>
      </x:c>
      <x:c r="V221" t="n">
        <x:f>--(J221=$K221)</x:f>
        <x:v>0</x:v>
      </x:c>
    </x:row>
    <x:row r="222" ht="18" customHeight="1">
      <x:c r="A222" t="str">
        <x:v>bpps_d10000n75m5w500_1500s100_1000f0_seed0</x:v>
      </x:c>
      <x:c r="B222" s="16" t="n">
        <x:v>75</x:v>
      </x:c>
      <x:c r="C222" s="16" t="n">
        <x:v>5</x:v>
      </x:c>
      <x:c r="D222" s="16" t="n">
        <x:v>10000</x:v>
      </x:c>
      <x:c r="E222" s="16" t="n">
        <x:v>295</x:v>
      </x:c>
      <x:c r="F222" s="12" t="n">
        <x:v>10</x:v>
      </x:c>
      <x:c r="G222" s="12" t="n">
        <x:v>11</x:v>
      </x:c>
      <x:c r="H222" s="12" t="n">
        <x:v>11</x:v>
      </x:c>
      <x:c r="I222" s="12" t="n">
        <x:v>11</x:v>
      </x:c>
      <x:c r="J222" s="12" t="n">
        <x:v>11</x:v>
      </x:c>
      <x:c r="K222" s="12" t="n">
        <x:f>MIN(F222:J222)</x:f>
        <x:v>10</x:v>
      </x:c>
      <x:c r="L222" t="str">
        <x:f>TEXTJOIN(", ",TRUE,IF(F222=K222,"IG",""),IF(G222=K222,"FFD",""),IF(H222=K222,"BFD",""),IF(I222=K222,"WFD",""),IF(J222=K222,"CTP",""))</x:f>
        <x:v>IG</x:v>
      </x:c>
      <x:c r="M222" s="14" t="n">
        <x:f>IFERROR((F222-$K222)/$K222,"")</x:f>
        <x:v>0</x:v>
      </x:c>
      <x:c r="N222" s="14" t="n">
        <x:f>IFERROR((G222-$K222)/$K222,"")</x:f>
        <x:v>0.1</x:v>
      </x:c>
      <x:c r="O222" s="14" t="n">
        <x:f>IFERROR((H222-$K222)/$K222,"")</x:f>
        <x:v>0.1</x:v>
      </x:c>
      <x:c r="P222" s="14" t="n">
        <x:f>IFERROR((I222-$K222)/$K222,"")</x:f>
        <x:v>0.1</x:v>
      </x:c>
      <x:c r="Q222" s="14" t="n">
        <x:f>IFERROR((J222-$K222)/$K222,"")</x:f>
        <x:v>0.1</x:v>
      </x:c>
      <x:c r="R222" t="n">
        <x:f>--(F222=$K222)</x:f>
        <x:v>1</x:v>
      </x:c>
      <x:c r="S222" t="n">
        <x:f>--(G222=$K222)</x:f>
        <x:v>0</x:v>
      </x:c>
      <x:c r="T222" t="n">
        <x:f>--(H222=$K222)</x:f>
        <x:v>0</x:v>
      </x:c>
      <x:c r="U222" t="n">
        <x:f>--(I222=$K222)</x:f>
        <x:v>0</x:v>
      </x:c>
      <x:c r="V222" t="n">
        <x:f>--(J222=$K222)</x:f>
        <x:v>0</x:v>
      </x:c>
    </x:row>
    <x:row r="223" ht="18" customHeight="1">
      <x:c r="A223" t="str">
        <x:v>bpps_d10000n75m5w500_1500s100_1000f0_seed1</x:v>
      </x:c>
      <x:c r="B223" s="16" t="n">
        <x:v>75</x:v>
      </x:c>
      <x:c r="C223" s="16" t="n">
        <x:v>5</x:v>
      </x:c>
      <x:c r="D223" s="16" t="n">
        <x:v>10000</x:v>
      </x:c>
      <x:c r="E223" s="16" t="n">
        <x:v>277</x:v>
      </x:c>
      <x:c r="F223" s="12" t="n">
        <x:v>10</x:v>
      </x:c>
      <x:c r="G223" s="12" t="n">
        <x:v>10</x:v>
      </x:c>
      <x:c r="H223" s="12" t="n">
        <x:v>10</x:v>
      </x:c>
      <x:c r="I223" s="12" t="n">
        <x:v>11</x:v>
      </x:c>
      <x:c r="J223" s="12" t="n">
        <x:v>11</x:v>
      </x:c>
      <x:c r="K223" s="12" t="n">
        <x:f>MIN(F223:J223)</x:f>
        <x:v>10</x:v>
      </x:c>
      <x:c r="L223" t="str">
        <x:f>TEXTJOIN(", ",TRUE,IF(F223=K223,"IG",""),IF(G223=K223,"FFD",""),IF(H223=K223,"BFD",""),IF(I223=K223,"WFD",""),IF(J223=K223,"CTP",""))</x:f>
        <x:v>IG, FFD, BFD</x:v>
      </x:c>
      <x:c r="M223" s="14" t="n">
        <x:f>IFERROR((F223-$K223)/$K223,"")</x:f>
        <x:v>0</x:v>
      </x:c>
      <x:c r="N223" s="14" t="n">
        <x:f>IFERROR((G223-$K223)/$K223,"")</x:f>
        <x:v>0</x:v>
      </x:c>
      <x:c r="O223" s="14" t="n">
        <x:f>IFERROR((H223-$K223)/$K223,"")</x:f>
        <x:v>0</x:v>
      </x:c>
      <x:c r="P223" s="14" t="n">
        <x:f>IFERROR((I223-$K223)/$K223,"")</x:f>
        <x:v>0.1</x:v>
      </x:c>
      <x:c r="Q223" s="14" t="n">
        <x:f>IFERROR((J223-$K223)/$K223,"")</x:f>
        <x:v>0.1</x:v>
      </x:c>
      <x:c r="R223" t="n">
        <x:f>--(F223=$K223)</x:f>
        <x:v>1</x:v>
      </x:c>
      <x:c r="S223" t="n">
        <x:f>--(G223=$K223)</x:f>
        <x:v>1</x:v>
      </x:c>
      <x:c r="T223" t="n">
        <x:f>--(H223=$K223)</x:f>
        <x:v>1</x:v>
      </x:c>
      <x:c r="U223" t="n">
        <x:f>--(I223=$K223)</x:f>
        <x:v>0</x:v>
      </x:c>
      <x:c r="V223" t="n">
        <x:f>--(J223=$K223)</x:f>
        <x:v>0</x:v>
      </x:c>
    </x:row>
    <x:row r="224" ht="18" customHeight="1">
      <x:c r="A224" t="str">
        <x:v>bpps_d10000n75m5w500_1500s100_1000f1_seed0</x:v>
      </x:c>
      <x:c r="B224" s="16" t="n">
        <x:v>75</x:v>
      </x:c>
      <x:c r="C224" s="16" t="n">
        <x:v>5</x:v>
      </x:c>
      <x:c r="D224" s="16" t="n">
        <x:v>10000</x:v>
      </x:c>
      <x:c r="E224" s="16" t="n">
        <x:v>305</x:v>
      </x:c>
      <x:c r="F224" s="12" t="n">
        <x:v>136</x:v>
      </x:c>
      <x:c r="G224" s="12" t="n">
        <x:v>225</x:v>
      </x:c>
      <x:c r="H224" s="12" t="n">
        <x:v>217</x:v>
      </x:c>
      <x:c r="I224" s="12" t="n">
        <x:v>223</x:v>
      </x:c>
      <x:c r="J224" s="12" t="n">
        <x:v>162</x:v>
      </x:c>
      <x:c r="K224" s="12" t="n">
        <x:f>MIN(F224:J224)</x:f>
        <x:v>136</x:v>
      </x:c>
      <x:c r="L224" t="str">
        <x:f>TEXTJOIN(", ",TRUE,IF(F224=K224,"IG",""),IF(G224=K224,"FFD",""),IF(H224=K224,"BFD",""),IF(I224=K224,"WFD",""),IF(J224=K224,"CTP",""))</x:f>
        <x:v>IG</x:v>
      </x:c>
      <x:c r="M224" s="14" t="n">
        <x:f>IFERROR((F224-$K224)/$K224,"")</x:f>
        <x:v>0</x:v>
      </x:c>
      <x:c r="N224" s="14" t="n">
        <x:f>IFERROR((G224-$K224)/$K224,"")</x:f>
        <x:v>0.6544117647058824</x:v>
      </x:c>
      <x:c r="O224" s="14" t="n">
        <x:f>IFERROR((H224-$K224)/$K224,"")</x:f>
        <x:v>0.5955882352941176</x:v>
      </x:c>
      <x:c r="P224" s="14" t="n">
        <x:f>IFERROR((I224-$K224)/$K224,"")</x:f>
        <x:v>0.6397058823529411</x:v>
      </x:c>
      <x:c r="Q224" s="14" t="n">
        <x:f>IFERROR((J224-$K224)/$K224,"")</x:f>
        <x:v>0.19117647058823528</x:v>
      </x:c>
      <x:c r="R224" t="n">
        <x:f>--(F224=$K224)</x:f>
        <x:v>1</x:v>
      </x:c>
      <x:c r="S224" t="n">
        <x:f>--(G224=$K224)</x:f>
        <x:v>0</x:v>
      </x:c>
      <x:c r="T224" t="n">
        <x:f>--(H224=$K224)</x:f>
        <x:v>0</x:v>
      </x:c>
      <x:c r="U224" t="n">
        <x:f>--(I224=$K224)</x:f>
        <x:v>0</x:v>
      </x:c>
      <x:c r="V224" t="n">
        <x:f>--(J224=$K224)</x:f>
        <x:v>0</x:v>
      </x:c>
    </x:row>
    <x:row r="225" ht="18" customHeight="1">
      <x:c r="A225" t="str">
        <x:v>bpps_d10000n75m5w500_1500s100_1000f1_seed1</x:v>
      </x:c>
      <x:c r="B225" s="16" t="n">
        <x:v>75</x:v>
      </x:c>
      <x:c r="C225" s="16" t="n">
        <x:v>5</x:v>
      </x:c>
      <x:c r="D225" s="16" t="n">
        <x:v>10000</x:v>
      </x:c>
      <x:c r="E225" s="16" t="n">
        <x:v>282</x:v>
      </x:c>
      <x:c r="F225" s="12" t="n">
        <x:v>120</x:v>
      </x:c>
      <x:c r="G225" s="12" t="n">
        <x:v>202</x:v>
      </x:c>
      <x:c r="H225" s="12" t="n">
        <x:v>202</x:v>
      </x:c>
      <x:c r="I225" s="12" t="n">
        <x:v>194</x:v>
      </x:c>
      <x:c r="J225" s="12" t="n">
        <x:v>149</x:v>
      </x:c>
      <x:c r="K225" s="12" t="n">
        <x:f>MIN(F225:J225)</x:f>
        <x:v>120</x:v>
      </x:c>
      <x:c r="L225" t="str">
        <x:f>TEXTJOIN(", ",TRUE,IF(F225=K225,"IG",""),IF(G225=K225,"FFD",""),IF(H225=K225,"BFD",""),IF(I225=K225,"WFD",""),IF(J225=K225,"CTP",""))</x:f>
        <x:v>IG</x:v>
      </x:c>
      <x:c r="M225" s="14" t="n">
        <x:f>IFERROR((F225-$K225)/$K225,"")</x:f>
        <x:v>0</x:v>
      </x:c>
      <x:c r="N225" s="14" t="n">
        <x:f>IFERROR((G225-$K225)/$K225,"")</x:f>
        <x:v>0.6833333333333333</x:v>
      </x:c>
      <x:c r="O225" s="14" t="n">
        <x:f>IFERROR((H225-$K225)/$K225,"")</x:f>
        <x:v>0.6833333333333333</x:v>
      </x:c>
      <x:c r="P225" s="14" t="n">
        <x:f>IFERROR((I225-$K225)/$K225,"")</x:f>
        <x:v>0.6166666666666667</x:v>
      </x:c>
      <x:c r="Q225" s="14" t="n">
        <x:f>IFERROR((J225-$K225)/$K225,"")</x:f>
        <x:v>0.24166666666666667</x:v>
      </x:c>
      <x:c r="R225" t="n">
        <x:f>--(F225=$K225)</x:f>
        <x:v>1</x:v>
      </x:c>
      <x:c r="S225" t="n">
        <x:f>--(G225=$K225)</x:f>
        <x:v>0</x:v>
      </x:c>
      <x:c r="T225" t="n">
        <x:f>--(H225=$K225)</x:f>
        <x:v>0</x:v>
      </x:c>
      <x:c r="U225" t="n">
        <x:f>--(I225=$K225)</x:f>
        <x:v>0</x:v>
      </x:c>
      <x:c r="V225" t="n">
        <x:f>--(J225=$K225)</x:f>
        <x:v>0</x:v>
      </x:c>
    </x:row>
    <x:row r="226" ht="18" customHeight="1">
      <x:c r="A226" t="str">
        <x:v>bpps_d1000n75m10w150_300s100_200f0_seed0</x:v>
      </x:c>
      <x:c r="B226" s="16" t="n">
        <x:v>75</x:v>
      </x:c>
      <x:c r="C226" s="16" t="n">
        <x:v>10</x:v>
      </x:c>
      <x:c r="D226" s="16" t="n">
        <x:v>1000</x:v>
      </x:c>
      <x:c r="E226" s="16" t="n">
        <x:v>287</x:v>
      </x:c>
      <x:c r="F226" s="12" t="n">
        <x:v>23</x:v>
      </x:c>
      <x:c r="G226" s="12" t="n">
        <x:v>25</x:v>
      </x:c>
      <x:c r="H226" s="12" t="n">
        <x:v>25</x:v>
      </x:c>
      <x:c r="I226" s="12" t="n">
        <x:v>25</x:v>
      </x:c>
      <x:c r="J226" s="12" t="n">
        <x:v>23</x:v>
      </x:c>
      <x:c r="K226" s="12" t="n">
        <x:f>MIN(F226:J226)</x:f>
        <x:v>23</x:v>
      </x:c>
      <x:c r="L226" t="str">
        <x:f>TEXTJOIN(", ",TRUE,IF(F226=K226,"IG",""),IF(G226=K226,"FFD",""),IF(H226=K226,"BFD",""),IF(I226=K226,"WFD",""),IF(J226=K226,"CTP",""))</x:f>
        <x:v>IG, CTP</x:v>
      </x:c>
      <x:c r="M226" s="14" t="n">
        <x:f>IFERROR((F226-$K226)/$K226,"")</x:f>
        <x:v>0</x:v>
      </x:c>
      <x:c r="N226" s="14" t="n">
        <x:f>IFERROR((G226-$K226)/$K226,"")</x:f>
        <x:v>0.08695652173913043</x:v>
      </x:c>
      <x:c r="O226" s="14" t="n">
        <x:f>IFERROR((H226-$K226)/$K226,"")</x:f>
        <x:v>0.08695652173913043</x:v>
      </x:c>
      <x:c r="P226" s="14" t="n">
        <x:f>IFERROR((I226-$K226)/$K226,"")</x:f>
        <x:v>0.08695652173913043</x:v>
      </x:c>
      <x:c r="Q226" s="14" t="n">
        <x:f>IFERROR((J226-$K226)/$K226,"")</x:f>
        <x:v>0</x:v>
      </x:c>
      <x:c r="R226" t="n">
        <x:f>--(F226=$K226)</x:f>
        <x:v>1</x:v>
      </x:c>
      <x:c r="S226" t="n">
        <x:f>--(G226=$K226)</x:f>
        <x:v>0</x:v>
      </x:c>
      <x:c r="T226" t="n">
        <x:f>--(H226=$K226)</x:f>
        <x:v>0</x:v>
      </x:c>
      <x:c r="U226" t="n">
        <x:f>--(I226=$K226)</x:f>
        <x:v>0</x:v>
      </x:c>
      <x:c r="V226" t="n">
        <x:f>--(J226=$K226)</x:f>
        <x:v>1</x:v>
      </x:c>
    </x:row>
    <x:row r="227" ht="18" customHeight="1">
      <x:c r="A227" t="str">
        <x:v>bpps_d1000n75m10w150_300s100_200f0_seed1</x:v>
      </x:c>
      <x:c r="B227" s="16" t="n">
        <x:v>75</x:v>
      </x:c>
      <x:c r="C227" s="16" t="n">
        <x:v>10</x:v>
      </x:c>
      <x:c r="D227" s="16" t="n">
        <x:v>1000</x:v>
      </x:c>
      <x:c r="E227" s="16" t="n">
        <x:v>279</x:v>
      </x:c>
      <x:c r="F227" s="12" t="n">
        <x:v>24</x:v>
      </x:c>
      <x:c r="G227" s="12" t="n">
        <x:v>27</x:v>
      </x:c>
      <x:c r="H227" s="12" t="n">
        <x:v>27</x:v>
      </x:c>
      <x:c r="I227" s="12" t="n">
        <x:v>27</x:v>
      </x:c>
      <x:c r="J227" s="12" t="n">
        <x:v>24</x:v>
      </x:c>
      <x:c r="K227" s="12" t="n">
        <x:f>MIN(F227:J227)</x:f>
        <x:v>24</x:v>
      </x:c>
      <x:c r="L227" t="str">
        <x:f>TEXTJOIN(", ",TRUE,IF(F227=K227,"IG",""),IF(G227=K227,"FFD",""),IF(H227=K227,"BFD",""),IF(I227=K227,"WFD",""),IF(J227=K227,"CTP",""))</x:f>
        <x:v>IG, CTP</x:v>
      </x:c>
      <x:c r="M227" s="14" t="n">
        <x:f>IFERROR((F227-$K227)/$K227,"")</x:f>
        <x:v>0</x:v>
      </x:c>
      <x:c r="N227" s="14" t="n">
        <x:f>IFERROR((G227-$K227)/$K227,"")</x:f>
        <x:v>0.125</x:v>
      </x:c>
      <x:c r="O227" s="14" t="n">
        <x:f>IFERROR((H227-$K227)/$K227,"")</x:f>
        <x:v>0.125</x:v>
      </x:c>
      <x:c r="P227" s="14" t="n">
        <x:f>IFERROR((I227-$K227)/$K227,"")</x:f>
        <x:v>0.125</x:v>
      </x:c>
      <x:c r="Q227" s="14" t="n">
        <x:f>IFERROR((J227-$K227)/$K227,"")</x:f>
        <x:v>0</x:v>
      </x:c>
      <x:c r="R227" t="n">
        <x:f>--(F227=$K227)</x:f>
        <x:v>1</x:v>
      </x:c>
      <x:c r="S227" t="n">
        <x:f>--(G227=$K227)</x:f>
        <x:v>0</x:v>
      </x:c>
      <x:c r="T227" t="n">
        <x:f>--(H227=$K227)</x:f>
        <x:v>0</x:v>
      </x:c>
      <x:c r="U227" t="n">
        <x:f>--(I227=$K227)</x:f>
        <x:v>0</x:v>
      </x:c>
      <x:c r="V227" t="n">
        <x:f>--(J227=$K227)</x:f>
        <x:v>1</x:v>
      </x:c>
    </x:row>
    <x:row r="228" ht="18" customHeight="1">
      <x:c r="A228" t="str">
        <x:v>bpps_d1000n75m10w150_300s100_200f1_seed0</x:v>
      </x:c>
      <x:c r="B228" s="16" t="n">
        <x:v>75</x:v>
      </x:c>
      <x:c r="C228" s="16" t="n">
        <x:v>10</x:v>
      </x:c>
      <x:c r="D228" s="16" t="n">
        <x:v>1000</x:v>
      </x:c>
      <x:c r="E228" s="16" t="n">
        <x:v>267</x:v>
      </x:c>
      <x:c r="F228" s="12" t="n">
        <x:v>295</x:v>
      </x:c>
      <x:c r="G228" s="12" t="n">
        <x:v>451</x:v>
      </x:c>
      <x:c r="H228" s="12" t="n">
        <x:v>455</x:v>
      </x:c>
      <x:c r="I228" s="12" t="n">
        <x:v>450</x:v>
      </x:c>
      <x:c r="J228" s="12" t="n">
        <x:v>316</x:v>
      </x:c>
      <x:c r="K228" s="12" t="n">
        <x:f>MIN(F228:J228)</x:f>
        <x:v>295</x:v>
      </x:c>
      <x:c r="L228" t="str">
        <x:f>TEXTJOIN(", ",TRUE,IF(F228=K228,"IG",""),IF(G228=K228,"FFD",""),IF(H228=K228,"BFD",""),IF(I228=K228,"WFD",""),IF(J228=K228,"CTP",""))</x:f>
        <x:v>IG</x:v>
      </x:c>
      <x:c r="M228" s="14" t="n">
        <x:f>IFERROR((F228-$K228)/$K228,"")</x:f>
        <x:v>0</x:v>
      </x:c>
      <x:c r="N228" s="14" t="n">
        <x:f>IFERROR((G228-$K228)/$K228,"")</x:f>
        <x:v>0.5288135593220339</x:v>
      </x:c>
      <x:c r="O228" s="14" t="n">
        <x:f>IFERROR((H228-$K228)/$K228,"")</x:f>
        <x:v>0.5423728813559322</x:v>
      </x:c>
      <x:c r="P228" s="14" t="n">
        <x:f>IFERROR((I228-$K228)/$K228,"")</x:f>
        <x:v>0.5254237288135594</x:v>
      </x:c>
      <x:c r="Q228" s="14" t="n">
        <x:f>IFERROR((J228-$K228)/$K228,"")</x:f>
        <x:v>0.0711864406779661</x:v>
      </x:c>
      <x:c r="R228" t="n">
        <x:f>--(F228=$K228)</x:f>
        <x:v>1</x:v>
      </x:c>
      <x:c r="S228" t="n">
        <x:f>--(G228=$K228)</x:f>
        <x:v>0</x:v>
      </x:c>
      <x:c r="T228" t="n">
        <x:f>--(H228=$K228)</x:f>
        <x:v>0</x:v>
      </x:c>
      <x:c r="U228" t="n">
        <x:f>--(I228=$K228)</x:f>
        <x:v>0</x:v>
      </x:c>
      <x:c r="V228" t="n">
        <x:f>--(J228=$K228)</x:f>
        <x:v>0</x:v>
      </x:c>
    </x:row>
    <x:row r="229" ht="18" customHeight="1">
      <x:c r="A229" t="str">
        <x:v>bpps_d1000n75m10w150_300s100_200f1_seed1</x:v>
      </x:c>
      <x:c r="B229" s="16" t="n">
        <x:v>75</x:v>
      </x:c>
      <x:c r="C229" s="16" t="n">
        <x:v>10</x:v>
      </x:c>
      <x:c r="D229" s="16" t="n">
        <x:v>1000</x:v>
      </x:c>
      <x:c r="E229" s="16" t="n">
        <x:v>291</x:v>
      </x:c>
      <x:c r="F229" s="12" t="n">
        <x:v>299</x:v>
      </x:c>
      <x:c r="G229" s="12" t="n">
        <x:v>426</x:v>
      </x:c>
      <x:c r="H229" s="12" t="n">
        <x:v>439</x:v>
      </x:c>
      <x:c r="I229" s="12" t="n">
        <x:v>441</x:v>
      </x:c>
      <x:c r="J229" s="12" t="n">
        <x:v>336</x:v>
      </x:c>
      <x:c r="K229" s="12" t="n">
        <x:f>MIN(F229:J229)</x:f>
        <x:v>299</x:v>
      </x:c>
      <x:c r="L229" t="str">
        <x:f>TEXTJOIN(", ",TRUE,IF(F229=K229,"IG",""),IF(G229=K229,"FFD",""),IF(H229=K229,"BFD",""),IF(I229=K229,"WFD",""),IF(J229=K229,"CTP",""))</x:f>
        <x:v>IG</x:v>
      </x:c>
      <x:c r="M229" s="14" t="n">
        <x:f>IFERROR((F229-$K229)/$K229,"")</x:f>
        <x:v>0</x:v>
      </x:c>
      <x:c r="N229" s="14" t="n">
        <x:f>IFERROR((G229-$K229)/$K229,"")</x:f>
        <x:v>0.42474916387959866</x:v>
      </x:c>
      <x:c r="O229" s="14" t="n">
        <x:f>IFERROR((H229-$K229)/$K229,"")</x:f>
        <x:v>0.4682274247491639</x:v>
      </x:c>
      <x:c r="P229" s="14" t="n">
        <x:f>IFERROR((I229-$K229)/$K229,"")</x:f>
        <x:v>0.47491638795986624</x:v>
      </x:c>
      <x:c r="Q229" s="14" t="n">
        <x:f>IFERROR((J229-$K229)/$K229,"")</x:f>
        <x:v>0.12374581939799331</x:v>
      </x:c>
      <x:c r="R229" t="n">
        <x:f>--(F229=$K229)</x:f>
        <x:v>1</x:v>
      </x:c>
      <x:c r="S229" t="n">
        <x:f>--(G229=$K229)</x:f>
        <x:v>0</x:v>
      </x:c>
      <x:c r="T229" t="n">
        <x:f>--(H229=$K229)</x:f>
        <x:v>0</x:v>
      </x:c>
      <x:c r="U229" t="n">
        <x:f>--(I229=$K229)</x:f>
        <x:v>0</x:v>
      </x:c>
      <x:c r="V229" t="n">
        <x:f>--(J229=$K229)</x:f>
        <x:v>0</x:v>
      </x:c>
    </x:row>
    <x:row r="230" ht="18" customHeight="1">
      <x:c r="A230" t="str">
        <x:v>bpps_d1000n75m10w150_300s10_100f0_seed0</x:v>
      </x:c>
      <x:c r="B230" s="16" t="n">
        <x:v>75</x:v>
      </x:c>
      <x:c r="C230" s="16" t="n">
        <x:v>10</x:v>
      </x:c>
      <x:c r="D230" s="16" t="n">
        <x:v>1000</x:v>
      </x:c>
      <x:c r="E230" s="16" t="n">
        <x:v>297</x:v>
      </x:c>
      <x:c r="F230" s="12" t="n">
        <x:v>19</x:v>
      </x:c>
      <x:c r="G230" s="12" t="n">
        <x:v>21</x:v>
      </x:c>
      <x:c r="H230" s="12" t="n">
        <x:v>21</x:v>
      </x:c>
      <x:c r="I230" s="12" t="n">
        <x:v>21</x:v>
      </x:c>
      <x:c r="J230" s="12" t="n">
        <x:v>20</x:v>
      </x:c>
      <x:c r="K230" s="12" t="n">
        <x:f>MIN(F230:J230)</x:f>
        <x:v>19</x:v>
      </x:c>
      <x:c r="L230" t="str">
        <x:f>TEXTJOIN(", ",TRUE,IF(F230=K230,"IG",""),IF(G230=K230,"FFD",""),IF(H230=K230,"BFD",""),IF(I230=K230,"WFD",""),IF(J230=K230,"CTP",""))</x:f>
        <x:v>IG</x:v>
      </x:c>
      <x:c r="M230" s="14" t="n">
        <x:f>IFERROR((F230-$K230)/$K230,"")</x:f>
        <x:v>0</x:v>
      </x:c>
      <x:c r="N230" s="14" t="n">
        <x:f>IFERROR((G230-$K230)/$K230,"")</x:f>
        <x:v>0.10526315789473684</x:v>
      </x:c>
      <x:c r="O230" s="14" t="n">
        <x:f>IFERROR((H230-$K230)/$K230,"")</x:f>
        <x:v>0.10526315789473684</x:v>
      </x:c>
      <x:c r="P230" s="14" t="n">
        <x:f>IFERROR((I230-$K230)/$K230,"")</x:f>
        <x:v>0.10526315789473684</x:v>
      </x:c>
      <x:c r="Q230" s="14" t="n">
        <x:f>IFERROR((J230-$K230)/$K230,"")</x:f>
        <x:v>0.05263157894736842</x:v>
      </x:c>
      <x:c r="R230" t="n">
        <x:f>--(F230=$K230)</x:f>
        <x:v>1</x:v>
      </x:c>
      <x:c r="S230" t="n">
        <x:f>--(G230=$K230)</x:f>
        <x:v>0</x:v>
      </x:c>
      <x:c r="T230" t="n">
        <x:f>--(H230=$K230)</x:f>
        <x:v>0</x:v>
      </x:c>
      <x:c r="U230" t="n">
        <x:f>--(I230=$K230)</x:f>
        <x:v>0</x:v>
      </x:c>
      <x:c r="V230" t="n">
        <x:f>--(J230=$K230)</x:f>
        <x:v>0</x:v>
      </x:c>
    </x:row>
    <x:row r="231" ht="18" customHeight="1">
      <x:c r="A231" t="str">
        <x:v>bpps_d1000n75m10w150_300s10_100f0_seed1</x:v>
      </x:c>
      <x:c r="B231" s="16" t="n">
        <x:v>75</x:v>
      </x:c>
      <x:c r="C231" s="16" t="n">
        <x:v>10</x:v>
      </x:c>
      <x:c r="D231" s="16" t="n">
        <x:v>1000</x:v>
      </x:c>
      <x:c r="E231" s="16" t="n">
        <x:v>288</x:v>
      </x:c>
      <x:c r="F231" s="12" t="n">
        <x:v>21</x:v>
      </x:c>
      <x:c r="G231" s="12" t="n">
        <x:v>21</x:v>
      </x:c>
      <x:c r="H231" s="12" t="n">
        <x:v>21</x:v>
      </x:c>
      <x:c r="I231" s="12" t="n">
        <x:v>21</x:v>
      </x:c>
      <x:c r="J231" s="12" t="n">
        <x:v>21</x:v>
      </x:c>
      <x:c r="K231" s="12" t="n">
        <x:f>MIN(F231:J231)</x:f>
        <x:v>21</x:v>
      </x:c>
      <x:c r="L231" t="str">
        <x:f>TEXTJOIN(", ",TRUE,IF(F231=K231,"IG",""),IF(G231=K231,"FFD",""),IF(H231=K231,"BFD",""),IF(I231=K231,"WFD",""),IF(J231=K231,"CTP",""))</x:f>
        <x:v>IG, FFD, BFD, WFD, CTP</x:v>
      </x:c>
      <x:c r="M231" s="14" t="n">
        <x:f>IFERROR((F231-$K231)/$K231,"")</x:f>
        <x:v>0</x:v>
      </x:c>
      <x:c r="N231" s="14" t="n">
        <x:f>IFERROR((G231-$K231)/$K231,"")</x:f>
        <x:v>0</x:v>
      </x:c>
      <x:c r="O231" s="14" t="n">
        <x:f>IFERROR((H231-$K231)/$K231,"")</x:f>
        <x:v>0</x:v>
      </x:c>
      <x:c r="P231" s="14" t="n">
        <x:f>IFERROR((I231-$K231)/$K231,"")</x:f>
        <x:v>0</x:v>
      </x:c>
      <x:c r="Q231" s="14" t="n">
        <x:f>IFERROR((J231-$K231)/$K231,"")</x:f>
        <x:v>0</x:v>
      </x:c>
      <x:c r="R231" t="n">
        <x:f>--(F231=$K231)</x:f>
        <x:v>1</x:v>
      </x:c>
      <x:c r="S231" t="n">
        <x:f>--(G231=$K231)</x:f>
        <x:v>1</x:v>
      </x:c>
      <x:c r="T231" t="n">
        <x:f>--(H231=$K231)</x:f>
        <x:v>1</x:v>
      </x:c>
      <x:c r="U231" t="n">
        <x:f>--(I231=$K231)</x:f>
        <x:v>1</x:v>
      </x:c>
      <x:c r="V231" t="n">
        <x:f>--(J231=$K231)</x:f>
        <x:v>1</x:v>
      </x:c>
    </x:row>
    <x:row r="232" ht="18" customHeight="1">
      <x:c r="A232" t="str">
        <x:v>bpps_d1000n75m10w150_300s10_100f1_seed0</x:v>
      </x:c>
      <x:c r="B232" s="16" t="n">
        <x:v>75</x:v>
      </x:c>
      <x:c r="C232" s="16" t="n">
        <x:v>10</x:v>
      </x:c>
      <x:c r="D232" s="16" t="n">
        <x:v>1000</x:v>
      </x:c>
      <x:c r="E232" s="16" t="n">
        <x:v>272</x:v>
      </x:c>
      <x:c r="F232" s="12" t="n">
        <x:v>270</x:v>
      </x:c>
      <x:c r="G232" s="12" t="n">
        <x:v>415</x:v>
      </x:c>
      <x:c r="H232" s="12" t="n">
        <x:v>430</x:v>
      </x:c>
      <x:c r="I232" s="12" t="n">
        <x:v>420</x:v>
      </x:c>
      <x:c r="J232" s="12" t="n">
        <x:v>300</x:v>
      </x:c>
      <x:c r="K232" s="12" t="n">
        <x:f>MIN(F232:J232)</x:f>
        <x:v>270</x:v>
      </x:c>
      <x:c r="L232" t="str">
        <x:f>TEXTJOIN(", ",TRUE,IF(F232=K232,"IG",""),IF(G232=K232,"FFD",""),IF(H232=K232,"BFD",""),IF(I232=K232,"WFD",""),IF(J232=K232,"CTP",""))</x:f>
        <x:v>IG</x:v>
      </x:c>
      <x:c r="M232" s="14" t="n">
        <x:f>IFERROR((F232-$K232)/$K232,"")</x:f>
        <x:v>0</x:v>
      </x:c>
      <x:c r="N232" s="14" t="n">
        <x:f>IFERROR((G232-$K232)/$K232,"")</x:f>
        <x:v>0.5370370370370371</x:v>
      </x:c>
      <x:c r="O232" s="14" t="n">
        <x:f>IFERROR((H232-$K232)/$K232,"")</x:f>
        <x:v>0.5925925925925926</x:v>
      </x:c>
      <x:c r="P232" s="14" t="n">
        <x:f>IFERROR((I232-$K232)/$K232,"")</x:f>
        <x:v>0.5555555555555556</x:v>
      </x:c>
      <x:c r="Q232" s="14" t="n">
        <x:f>IFERROR((J232-$K232)/$K232,"")</x:f>
        <x:v>0.1111111111111111</x:v>
      </x:c>
      <x:c r="R232" t="n">
        <x:f>--(F232=$K232)</x:f>
        <x:v>1</x:v>
      </x:c>
      <x:c r="S232" t="n">
        <x:f>--(G232=$K232)</x:f>
        <x:v>0</x:v>
      </x:c>
      <x:c r="T232" t="n">
        <x:f>--(H232=$K232)</x:f>
        <x:v>0</x:v>
      </x:c>
      <x:c r="U232" t="n">
        <x:f>--(I232=$K232)</x:f>
        <x:v>0</x:v>
      </x:c>
      <x:c r="V232" t="n">
        <x:f>--(J232=$K232)</x:f>
        <x:v>0</x:v>
      </x:c>
    </x:row>
    <x:row r="233" ht="18" customHeight="1">
      <x:c r="A233" t="str">
        <x:v>bpps_d1000n75m10w150_300s10_100f1_seed1</x:v>
      </x:c>
      <x:c r="B233" s="16" t="n">
        <x:v>75</x:v>
      </x:c>
      <x:c r="C233" s="16" t="n">
        <x:v>10</x:v>
      </x:c>
      <x:c r="D233" s="16" t="n">
        <x:v>1000</x:v>
      </x:c>
      <x:c r="E233" s="16" t="n">
        <x:v>271</x:v>
      </x:c>
      <x:c r="F233" s="12" t="n">
        <x:v>263</x:v>
      </x:c>
      <x:c r="G233" s="12" t="n">
        <x:v>409</x:v>
      </x:c>
      <x:c r="H233" s="12" t="n">
        <x:v>411</x:v>
      </x:c>
      <x:c r="I233" s="12" t="n">
        <x:v>417</x:v>
      </x:c>
      <x:c r="J233" s="12" t="n">
        <x:v>289</x:v>
      </x:c>
      <x:c r="K233" s="12" t="n">
        <x:f>MIN(F233:J233)</x:f>
        <x:v>263</x:v>
      </x:c>
      <x:c r="L233" t="str">
        <x:f>TEXTJOIN(", ",TRUE,IF(F233=K233,"IG",""),IF(G233=K233,"FFD",""),IF(H233=K233,"BFD",""),IF(I233=K233,"WFD",""),IF(J233=K233,"CTP",""))</x:f>
        <x:v>IG</x:v>
      </x:c>
      <x:c r="M233" s="14" t="n">
        <x:f>IFERROR((F233-$K233)/$K233,"")</x:f>
        <x:v>0</x:v>
      </x:c>
      <x:c r="N233" s="14" t="n">
        <x:f>IFERROR((G233-$K233)/$K233,"")</x:f>
        <x:v>0.5551330798479087</x:v>
      </x:c>
      <x:c r="O233" s="14" t="n">
        <x:f>IFERROR((H233-$K233)/$K233,"")</x:f>
        <x:v>0.5627376425855514</x:v>
      </x:c>
      <x:c r="P233" s="14" t="n">
        <x:f>IFERROR((I233-$K233)/$K233,"")</x:f>
        <x:v>0.5855513307984791</x:v>
      </x:c>
      <x:c r="Q233" s="14" t="n">
        <x:f>IFERROR((J233-$K233)/$K233,"")</x:f>
        <x:v>0.09885931558935361</x:v>
      </x:c>
      <x:c r="R233" t="n">
        <x:f>--(F233=$K233)</x:f>
        <x:v>1</x:v>
      </x:c>
      <x:c r="S233" t="n">
        <x:f>--(G233=$K233)</x:f>
        <x:v>0</x:v>
      </x:c>
      <x:c r="T233" t="n">
        <x:f>--(H233=$K233)</x:f>
        <x:v>0</x:v>
      </x:c>
      <x:c r="U233" t="n">
        <x:f>--(I233=$K233)</x:f>
        <x:v>0</x:v>
      </x:c>
      <x:c r="V233" t="n">
        <x:f>--(J233=$K233)</x:f>
        <x:v>0</x:v>
      </x:c>
    </x:row>
    <x:row r="234" ht="18" customHeight="1">
      <x:c r="A234" t="str">
        <x:v>bpps_d1000n75m10w50_150s100_200f0_seed0</x:v>
      </x:c>
      <x:c r="B234" s="16" t="n">
        <x:v>75</x:v>
      </x:c>
      <x:c r="C234" s="16" t="n">
        <x:v>10</x:v>
      </x:c>
      <x:c r="D234" s="16" t="n">
        <x:v>1000</x:v>
      </x:c>
      <x:c r="E234" s="16" t="n">
        <x:v>278</x:v>
      </x:c>
      <x:c r="F234" s="12" t="n">
        <x:v>12</x:v>
      </x:c>
      <x:c r="G234" s="12" t="n">
        <x:v>15</x:v>
      </x:c>
      <x:c r="H234" s="12" t="n">
        <x:v>16</x:v>
      </x:c>
      <x:c r="I234" s="12" t="n">
        <x:v>16</x:v>
      </x:c>
      <x:c r="J234" s="12" t="n">
        <x:v>12</x:v>
      </x:c>
      <x:c r="K234" s="12" t="n">
        <x:f>MIN(F234:J234)</x:f>
        <x:v>12</x:v>
      </x:c>
      <x:c r="L234" t="str">
        <x:f>TEXTJOIN(", ",TRUE,IF(F234=K234,"IG",""),IF(G234=K234,"FFD",""),IF(H234=K234,"BFD",""),IF(I234=K234,"WFD",""),IF(J234=K234,"CTP",""))</x:f>
        <x:v>IG, CTP</x:v>
      </x:c>
      <x:c r="M234" s="14" t="n">
        <x:f>IFERROR((F234-$K234)/$K234,"")</x:f>
        <x:v>0</x:v>
      </x:c>
      <x:c r="N234" s="14" t="n">
        <x:f>IFERROR((G234-$K234)/$K234,"")</x:f>
        <x:v>0.25</x:v>
      </x:c>
      <x:c r="O234" s="14" t="n">
        <x:f>IFERROR((H234-$K234)/$K234,"")</x:f>
        <x:v>0.3333333333333333</x:v>
      </x:c>
      <x:c r="P234" s="14" t="n">
        <x:f>IFERROR((I234-$K234)/$K234,"")</x:f>
        <x:v>0.3333333333333333</x:v>
      </x:c>
      <x:c r="Q234" s="14" t="n">
        <x:f>IFERROR((J234-$K234)/$K234,"")</x:f>
        <x:v>0</x:v>
      </x:c>
      <x:c r="R234" t="n">
        <x:f>--(F234=$K234)</x:f>
        <x:v>1</x:v>
      </x:c>
      <x:c r="S234" t="n">
        <x:f>--(G234=$K234)</x:f>
        <x:v>0</x:v>
      </x:c>
      <x:c r="T234" t="n">
        <x:f>--(H234=$K234)</x:f>
        <x:v>0</x:v>
      </x:c>
      <x:c r="U234" t="n">
        <x:f>--(I234=$K234)</x:f>
        <x:v>0</x:v>
      </x:c>
      <x:c r="V234" t="n">
        <x:f>--(J234=$K234)</x:f>
        <x:v>1</x:v>
      </x:c>
    </x:row>
    <x:row r="235" ht="18" customHeight="1">
      <x:c r="A235" t="str">
        <x:v>bpps_d1000n75m10w50_150s100_200f0_seed1</x:v>
      </x:c>
      <x:c r="B235" s="16" t="n">
        <x:v>75</x:v>
      </x:c>
      <x:c r="C235" s="16" t="n">
        <x:v>10</x:v>
      </x:c>
      <x:c r="D235" s="16" t="n">
        <x:v>1000</x:v>
      </x:c>
      <x:c r="E235" s="16" t="n">
        <x:v>275</x:v>
      </x:c>
      <x:c r="F235" s="12" t="n">
        <x:v>12</x:v>
      </x:c>
      <x:c r="G235" s="12" t="n">
        <x:v>15</x:v>
      </x:c>
      <x:c r="H235" s="12" t="n">
        <x:v>15</x:v>
      </x:c>
      <x:c r="I235" s="12" t="n">
        <x:v>15</x:v>
      </x:c>
      <x:c r="J235" s="12" t="n">
        <x:v>12</x:v>
      </x:c>
      <x:c r="K235" s="12" t="n">
        <x:f>MIN(F235:J235)</x:f>
        <x:v>12</x:v>
      </x:c>
      <x:c r="L235" t="str">
        <x:f>TEXTJOIN(", ",TRUE,IF(F235=K235,"IG",""),IF(G235=K235,"FFD",""),IF(H235=K235,"BFD",""),IF(I235=K235,"WFD",""),IF(J235=K235,"CTP",""))</x:f>
        <x:v>IG, CTP</x:v>
      </x:c>
      <x:c r="M235" s="14" t="n">
        <x:f>IFERROR((F235-$K235)/$K235,"")</x:f>
        <x:v>0</x:v>
      </x:c>
      <x:c r="N235" s="14" t="n">
        <x:f>IFERROR((G235-$K235)/$K235,"")</x:f>
        <x:v>0.25</x:v>
      </x:c>
      <x:c r="O235" s="14" t="n">
        <x:f>IFERROR((H235-$K235)/$K235,"")</x:f>
        <x:v>0.25</x:v>
      </x:c>
      <x:c r="P235" s="14" t="n">
        <x:f>IFERROR((I235-$K235)/$K235,"")</x:f>
        <x:v>0.25</x:v>
      </x:c>
      <x:c r="Q235" s="14" t="n">
        <x:f>IFERROR((J235-$K235)/$K235,"")</x:f>
        <x:v>0</x:v>
      </x:c>
      <x:c r="R235" t="n">
        <x:f>--(F235=$K235)</x:f>
        <x:v>1</x:v>
      </x:c>
      <x:c r="S235" t="n">
        <x:f>--(G235=$K235)</x:f>
        <x:v>0</x:v>
      </x:c>
      <x:c r="T235" t="n">
        <x:f>--(H235=$K235)</x:f>
        <x:v>0</x:v>
      </x:c>
      <x:c r="U235" t="n">
        <x:f>--(I235=$K235)</x:f>
        <x:v>0</x:v>
      </x:c>
      <x:c r="V235" t="n">
        <x:f>--(J235=$K235)</x:f>
        <x:v>1</x:v>
      </x:c>
    </x:row>
    <x:row r="236" ht="18" customHeight="1">
      <x:c r="A236" t="str">
        <x:v>bpps_d1000n75m10w50_150s100_200f1_seed0</x:v>
      </x:c>
      <x:c r="B236" s="16" t="n">
        <x:v>75</x:v>
      </x:c>
      <x:c r="C236" s="16" t="n">
        <x:v>10</x:v>
      </x:c>
      <x:c r="D236" s="16" t="n">
        <x:v>1000</x:v>
      </x:c>
      <x:c r="E236" s="16" t="n">
        <x:v>272</x:v>
      </x:c>
      <x:c r="F236" s="12" t="n">
        <x:v>180</x:v>
      </x:c>
      <x:c r="G236" s="12" t="n">
        <x:v>302</x:v>
      </x:c>
      <x:c r="H236" s="12" t="n">
        <x:v>313</x:v>
      </x:c>
      <x:c r="I236" s="12" t="n">
        <x:v>314</x:v>
      </x:c>
      <x:c r="J236" s="12" t="n">
        <x:v>214</x:v>
      </x:c>
      <x:c r="K236" s="12" t="n">
        <x:f>MIN(F236:J236)</x:f>
        <x:v>180</x:v>
      </x:c>
      <x:c r="L236" t="str">
        <x:f>TEXTJOIN(", ",TRUE,IF(F236=K236,"IG",""),IF(G236=K236,"FFD",""),IF(H236=K236,"BFD",""),IF(I236=K236,"WFD",""),IF(J236=K236,"CTP",""))</x:f>
        <x:v>IG</x:v>
      </x:c>
      <x:c r="M236" s="14" t="n">
        <x:f>IFERROR((F236-$K236)/$K236,"")</x:f>
        <x:v>0</x:v>
      </x:c>
      <x:c r="N236" s="14" t="n">
        <x:f>IFERROR((G236-$K236)/$K236,"")</x:f>
        <x:v>0.6777777777777778</x:v>
      </x:c>
      <x:c r="O236" s="14" t="n">
        <x:f>IFERROR((H236-$K236)/$K236,"")</x:f>
        <x:v>0.7388888888888889</x:v>
      </x:c>
      <x:c r="P236" s="14" t="n">
        <x:f>IFERROR((I236-$K236)/$K236,"")</x:f>
        <x:v>0.7444444444444445</x:v>
      </x:c>
      <x:c r="Q236" s="14" t="n">
        <x:f>IFERROR((J236-$K236)/$K236,"")</x:f>
        <x:v>0.18888888888888888</x:v>
      </x:c>
      <x:c r="R236" t="n">
        <x:f>--(F236=$K236)</x:f>
        <x:v>1</x:v>
      </x:c>
      <x:c r="S236" t="n">
        <x:f>--(G236=$K236)</x:f>
        <x:v>0</x:v>
      </x:c>
      <x:c r="T236" t="n">
        <x:f>--(H236=$K236)</x:f>
        <x:v>0</x:v>
      </x:c>
      <x:c r="U236" t="n">
        <x:f>--(I236=$K236)</x:f>
        <x:v>0</x:v>
      </x:c>
      <x:c r="V236" t="n">
        <x:f>--(J236=$K236)</x:f>
        <x:v>0</x:v>
      </x:c>
    </x:row>
    <x:row r="237" ht="18" customHeight="1">
      <x:c r="A237" t="str">
        <x:v>bpps_d1000n75m10w50_150s100_200f1_seed1</x:v>
      </x:c>
      <x:c r="B237" s="16" t="n">
        <x:v>75</x:v>
      </x:c>
      <x:c r="C237" s="16" t="n">
        <x:v>10</x:v>
      </x:c>
      <x:c r="D237" s="16" t="n">
        <x:v>1000</x:v>
      </x:c>
      <x:c r="E237" s="16" t="n">
        <x:v>276</x:v>
      </x:c>
      <x:c r="F237" s="12" t="n">
        <x:v>170</x:v>
      </x:c>
      <x:c r="G237" s="12" t="n">
        <x:v>312</x:v>
      </x:c>
      <x:c r="H237" s="12" t="n">
        <x:v>317</x:v>
      </x:c>
      <x:c r="I237" s="12" t="n">
        <x:v>314</x:v>
      </x:c>
      <x:c r="J237" s="12" t="n">
        <x:v>188</x:v>
      </x:c>
      <x:c r="K237" s="12" t="n">
        <x:f>MIN(F237:J237)</x:f>
        <x:v>170</x:v>
      </x:c>
      <x:c r="L237" t="str">
        <x:f>TEXTJOIN(", ",TRUE,IF(F237=K237,"IG",""),IF(G237=K237,"FFD",""),IF(H237=K237,"BFD",""),IF(I237=K237,"WFD",""),IF(J237=K237,"CTP",""))</x:f>
        <x:v>IG</x:v>
      </x:c>
      <x:c r="M237" s="14" t="n">
        <x:f>IFERROR((F237-$K237)/$K237,"")</x:f>
        <x:v>0</x:v>
      </x:c>
      <x:c r="N237" s="14" t="n">
        <x:f>IFERROR((G237-$K237)/$K237,"")</x:f>
        <x:v>0.8352941176470589</x:v>
      </x:c>
      <x:c r="O237" s="14" t="n">
        <x:f>IFERROR((H237-$K237)/$K237,"")</x:f>
        <x:v>0.8647058823529412</x:v>
      </x:c>
      <x:c r="P237" s="14" t="n">
        <x:f>IFERROR((I237-$K237)/$K237,"")</x:f>
        <x:v>0.8470588235294118</x:v>
      </x:c>
      <x:c r="Q237" s="14" t="n">
        <x:f>IFERROR((J237-$K237)/$K237,"")</x:f>
        <x:v>0.10588235294117647</x:v>
      </x:c>
      <x:c r="R237" t="n">
        <x:f>--(F237=$K237)</x:f>
        <x:v>1</x:v>
      </x:c>
      <x:c r="S237" t="n">
        <x:f>--(G237=$K237)</x:f>
        <x:v>0</x:v>
      </x:c>
      <x:c r="T237" t="n">
        <x:f>--(H237=$K237)</x:f>
        <x:v>0</x:v>
      </x:c>
      <x:c r="U237" t="n">
        <x:f>--(I237=$K237)</x:f>
        <x:v>0</x:v>
      </x:c>
      <x:c r="V237" t="n">
        <x:f>--(J237=$K237)</x:f>
        <x:v>0</x:v>
      </x:c>
    </x:row>
    <x:row r="238" ht="18" customHeight="1">
      <x:c r="A238" t="str">
        <x:v>bpps_d1000n75m10w50_150s10_100f0_seed0</x:v>
      </x:c>
      <x:c r="B238" s="16" t="n">
        <x:v>75</x:v>
      </x:c>
      <x:c r="C238" s="16" t="n">
        <x:v>10</x:v>
      </x:c>
      <x:c r="D238" s="16" t="n">
        <x:v>1000</x:v>
      </x:c>
      <x:c r="E238" s="16" t="n">
        <x:v>276</x:v>
      </x:c>
      <x:c r="F238" s="12" t="n">
        <x:v>10</x:v>
      </x:c>
      <x:c r="G238" s="12" t="n">
        <x:v>11</x:v>
      </x:c>
      <x:c r="H238" s="12" t="n">
        <x:v>11</x:v>
      </x:c>
      <x:c r="I238" s="12" t="n">
        <x:v>11</x:v>
      </x:c>
      <x:c r="J238" s="12" t="n">
        <x:v>11</x:v>
      </x:c>
      <x:c r="K238" s="12" t="n">
        <x:f>MIN(F238:J238)</x:f>
        <x:v>10</x:v>
      </x:c>
      <x:c r="L238" t="str">
        <x:f>TEXTJOIN(", ",TRUE,IF(F238=K238,"IG",""),IF(G238=K238,"FFD",""),IF(H238=K238,"BFD",""),IF(I238=K238,"WFD",""),IF(J238=K238,"CTP",""))</x:f>
        <x:v>IG</x:v>
      </x:c>
      <x:c r="M238" s="14" t="n">
        <x:f>IFERROR((F238-$K238)/$K238,"")</x:f>
        <x:v>0</x:v>
      </x:c>
      <x:c r="N238" s="14" t="n">
        <x:f>IFERROR((G238-$K238)/$K238,"")</x:f>
        <x:v>0.1</x:v>
      </x:c>
      <x:c r="O238" s="14" t="n">
        <x:f>IFERROR((H238-$K238)/$K238,"")</x:f>
        <x:v>0.1</x:v>
      </x:c>
      <x:c r="P238" s="14" t="n">
        <x:f>IFERROR((I238-$K238)/$K238,"")</x:f>
        <x:v>0.1</x:v>
      </x:c>
      <x:c r="Q238" s="14" t="n">
        <x:f>IFERROR((J238-$K238)/$K238,"")</x:f>
        <x:v>0.1</x:v>
      </x:c>
      <x:c r="R238" t="n">
        <x:f>--(F238=$K238)</x:f>
        <x:v>1</x:v>
      </x:c>
      <x:c r="S238" t="n">
        <x:f>--(G238=$K238)</x:f>
        <x:v>0</x:v>
      </x:c>
      <x:c r="T238" t="n">
        <x:f>--(H238=$K238)</x:f>
        <x:v>0</x:v>
      </x:c>
      <x:c r="U238" t="n">
        <x:f>--(I238=$K238)</x:f>
        <x:v>0</x:v>
      </x:c>
      <x:c r="V238" t="n">
        <x:f>--(J238=$K238)</x:f>
        <x:v>0</x:v>
      </x:c>
    </x:row>
    <x:row r="239" ht="18" customHeight="1">
      <x:c r="A239" t="str">
        <x:v>bpps_d1000n75m10w50_150s10_100f0_seed1</x:v>
      </x:c>
      <x:c r="B239" s="16" t="n">
        <x:v>75</x:v>
      </x:c>
      <x:c r="C239" s="16" t="n">
        <x:v>10</x:v>
      </x:c>
      <x:c r="D239" s="16" t="n">
        <x:v>1000</x:v>
      </x:c>
      <x:c r="E239" s="16" t="n">
        <x:v>273</x:v>
      </x:c>
      <x:c r="F239" s="12" t="n">
        <x:v>10</x:v>
      </x:c>
      <x:c r="G239" s="12" t="n">
        <x:v>11</x:v>
      </x:c>
      <x:c r="H239" s="12" t="n">
        <x:v>11</x:v>
      </x:c>
      <x:c r="I239" s="12" t="n">
        <x:v>11</x:v>
      </x:c>
      <x:c r="J239" s="12" t="n">
        <x:v>12</x:v>
      </x:c>
      <x:c r="K239" s="12" t="n">
        <x:f>MIN(F239:J239)</x:f>
        <x:v>10</x:v>
      </x:c>
      <x:c r="L239" t="str">
        <x:f>TEXTJOIN(", ",TRUE,IF(F239=K239,"IG",""),IF(G239=K239,"FFD",""),IF(H239=K239,"BFD",""),IF(I239=K239,"WFD",""),IF(J239=K239,"CTP",""))</x:f>
        <x:v>IG</x:v>
      </x:c>
      <x:c r="M239" s="14" t="n">
        <x:f>IFERROR((F239-$K239)/$K239,"")</x:f>
        <x:v>0</x:v>
      </x:c>
      <x:c r="N239" s="14" t="n">
        <x:f>IFERROR((G239-$K239)/$K239,"")</x:f>
        <x:v>0.1</x:v>
      </x:c>
      <x:c r="O239" s="14" t="n">
        <x:f>IFERROR((H239-$K239)/$K239,"")</x:f>
        <x:v>0.1</x:v>
      </x:c>
      <x:c r="P239" s="14" t="n">
        <x:f>IFERROR((I239-$K239)/$K239,"")</x:f>
        <x:v>0.1</x:v>
      </x:c>
      <x:c r="Q239" s="14" t="n">
        <x:f>IFERROR((J239-$K239)/$K239,"")</x:f>
        <x:v>0.2</x:v>
      </x:c>
      <x:c r="R239" t="n">
        <x:f>--(F239=$K239)</x:f>
        <x:v>1</x:v>
      </x:c>
      <x:c r="S239" t="n">
        <x:f>--(G239=$K239)</x:f>
        <x:v>0</x:v>
      </x:c>
      <x:c r="T239" t="n">
        <x:f>--(H239=$K239)</x:f>
        <x:v>0</x:v>
      </x:c>
      <x:c r="U239" t="n">
        <x:f>--(I239=$K239)</x:f>
        <x:v>0</x:v>
      </x:c>
      <x:c r="V239" t="n">
        <x:f>--(J239=$K239)</x:f>
        <x:v>0</x:v>
      </x:c>
    </x:row>
    <x:row r="240" ht="18" customHeight="1">
      <x:c r="A240" t="str">
        <x:v>bpps_d1000n75m10w50_150s10_100f1_seed0</x:v>
      </x:c>
      <x:c r="B240" s="16" t="n">
        <x:v>75</x:v>
      </x:c>
      <x:c r="C240" s="16" t="n">
        <x:v>10</x:v>
      </x:c>
      <x:c r="D240" s="16" t="n">
        <x:v>1000</x:v>
      </x:c>
      <x:c r="E240" s="16" t="n">
        <x:v>301</x:v>
      </x:c>
      <x:c r="F240" s="12" t="n">
        <x:v>165</x:v>
      </x:c>
      <x:c r="G240" s="12" t="n">
        <x:v>279</x:v>
      </x:c>
      <x:c r="H240" s="12" t="n">
        <x:v>267</x:v>
      </x:c>
      <x:c r="I240" s="12" t="n">
        <x:v>263</x:v>
      </x:c>
      <x:c r="J240" s="12" t="n">
        <x:v>189</x:v>
      </x:c>
      <x:c r="K240" s="12" t="n">
        <x:f>MIN(F240:J240)</x:f>
        <x:v>165</x:v>
      </x:c>
      <x:c r="L240" t="str">
        <x:f>TEXTJOIN(", ",TRUE,IF(F240=K240,"IG",""),IF(G240=K240,"FFD",""),IF(H240=K240,"BFD",""),IF(I240=K240,"WFD",""),IF(J240=K240,"CTP",""))</x:f>
        <x:v>IG</x:v>
      </x:c>
      <x:c r="M240" s="14" t="n">
        <x:f>IFERROR((F240-$K240)/$K240,"")</x:f>
        <x:v>0</x:v>
      </x:c>
      <x:c r="N240" s="14" t="n">
        <x:f>IFERROR((G240-$K240)/$K240,"")</x:f>
        <x:v>0.6909090909090909</x:v>
      </x:c>
      <x:c r="O240" s="14" t="n">
        <x:f>IFERROR((H240-$K240)/$K240,"")</x:f>
        <x:v>0.6181818181818182</x:v>
      </x:c>
      <x:c r="P240" s="14" t="n">
        <x:f>IFERROR((I240-$K240)/$K240,"")</x:f>
        <x:v>0.593939393939394</x:v>
      </x:c>
      <x:c r="Q240" s="14" t="n">
        <x:f>IFERROR((J240-$K240)/$K240,"")</x:f>
        <x:v>0.14545454545454545</x:v>
      </x:c>
      <x:c r="R240" t="n">
        <x:f>--(F240=$K240)</x:f>
        <x:v>1</x:v>
      </x:c>
      <x:c r="S240" t="n">
        <x:f>--(G240=$K240)</x:f>
        <x:v>0</x:v>
      </x:c>
      <x:c r="T240" t="n">
        <x:f>--(H240=$K240)</x:f>
        <x:v>0</x:v>
      </x:c>
      <x:c r="U240" t="n">
        <x:f>--(I240=$K240)</x:f>
        <x:v>0</x:v>
      </x:c>
      <x:c r="V240" t="n">
        <x:f>--(J240=$K240)</x:f>
        <x:v>0</x:v>
      </x:c>
    </x:row>
    <x:row r="241" ht="18" customHeight="1">
      <x:c r="A241" t="str">
        <x:v>bpps_d1000n75m10w50_150s10_100f1_seed1</x:v>
      </x:c>
      <x:c r="B241" s="16" t="n">
        <x:v>75</x:v>
      </x:c>
      <x:c r="C241" s="16" t="n">
        <x:v>10</x:v>
      </x:c>
      <x:c r="D241" s="16" t="n">
        <x:v>1000</x:v>
      </x:c>
      <x:c r="E241" s="16" t="n">
        <x:v>292</x:v>
      </x:c>
      <x:c r="F241" s="12" t="n">
        <x:v>148</x:v>
      </x:c>
      <x:c r="G241" s="12" t="n">
        <x:v>265</x:v>
      </x:c>
      <x:c r="H241" s="12" t="n">
        <x:v>266</x:v>
      </x:c>
      <x:c r="I241" s="12" t="n">
        <x:v>262</x:v>
      </x:c>
      <x:c r="J241" s="12" t="n">
        <x:v>185</x:v>
      </x:c>
      <x:c r="K241" s="12" t="n">
        <x:f>MIN(F241:J241)</x:f>
        <x:v>148</x:v>
      </x:c>
      <x:c r="L241" t="str">
        <x:f>TEXTJOIN(", ",TRUE,IF(F241=K241,"IG",""),IF(G241=K241,"FFD",""),IF(H241=K241,"BFD",""),IF(I241=K241,"WFD",""),IF(J241=K241,"CTP",""))</x:f>
        <x:v>IG</x:v>
      </x:c>
      <x:c r="M241" s="14" t="n">
        <x:f>IFERROR((F241-$K241)/$K241,"")</x:f>
        <x:v>0</x:v>
      </x:c>
      <x:c r="N241" s="14" t="n">
        <x:f>IFERROR((G241-$K241)/$K241,"")</x:f>
        <x:v>0.7905405405405406</x:v>
      </x:c>
      <x:c r="O241" s="14" t="n">
        <x:f>IFERROR((H241-$K241)/$K241,"")</x:f>
        <x:v>0.7972972972972973</x:v>
      </x:c>
      <x:c r="P241" s="14" t="n">
        <x:f>IFERROR((I241-$K241)/$K241,"")</x:f>
        <x:v>0.7702702702702703</x:v>
      </x:c>
      <x:c r="Q241" s="14" t="n">
        <x:f>IFERROR((J241-$K241)/$K241,"")</x:f>
        <x:v>0.25</x:v>
      </x:c>
      <x:c r="R241" t="n">
        <x:f>--(F241=$K241)</x:f>
        <x:v>1</x:v>
      </x:c>
      <x:c r="S241" t="n">
        <x:f>--(G241=$K241)</x:f>
        <x:v>0</x:v>
      </x:c>
      <x:c r="T241" t="n">
        <x:f>--(H241=$K241)</x:f>
        <x:v>0</x:v>
      </x:c>
      <x:c r="U241" t="n">
        <x:f>--(I241=$K241)</x:f>
        <x:v>0</x:v>
      </x:c>
      <x:c r="V241" t="n">
        <x:f>--(J241=$K241)</x:f>
        <x:v>0</x:v>
      </x:c>
    </x:row>
    <x:row r="242" ht="18" customHeight="1">
      <x:c r="A242" t="str">
        <x:v>bpps_d1000n75m5w150_300s100_200f0_seed0</x:v>
      </x:c>
      <x:c r="B242" s="16" t="n">
        <x:v>75</x:v>
      </x:c>
      <x:c r="C242" s="16" t="n">
        <x:v>5</x:v>
      </x:c>
      <x:c r="D242" s="16" t="n">
        <x:v>1000</x:v>
      </x:c>
      <x:c r="E242" s="16" t="n">
        <x:v>283</x:v>
      </x:c>
      <x:c r="F242" s="12" t="n">
        <x:v>22</x:v>
      </x:c>
      <x:c r="G242" s="12" t="n">
        <x:v>26</x:v>
      </x:c>
      <x:c r="H242" s="12" t="n">
        <x:v>26</x:v>
      </x:c>
      <x:c r="I242" s="12" t="n">
        <x:v>27</x:v>
      </x:c>
      <x:c r="J242" s="12" t="n">
        <x:v>22</x:v>
      </x:c>
      <x:c r="K242" s="12" t="n">
        <x:f>MIN(F242:J242)</x:f>
        <x:v>22</x:v>
      </x:c>
      <x:c r="L242" t="str">
        <x:f>TEXTJOIN(", ",TRUE,IF(F242=K242,"IG",""),IF(G242=K242,"FFD",""),IF(H242=K242,"BFD",""),IF(I242=K242,"WFD",""),IF(J242=K242,"CTP",""))</x:f>
        <x:v>IG, CTP</x:v>
      </x:c>
      <x:c r="M242" s="14" t="n">
        <x:f>IFERROR((F242-$K242)/$K242,"")</x:f>
        <x:v>0</x:v>
      </x:c>
      <x:c r="N242" s="14" t="n">
        <x:f>IFERROR((G242-$K242)/$K242,"")</x:f>
        <x:v>0.18181818181818182</x:v>
      </x:c>
      <x:c r="O242" s="14" t="n">
        <x:f>IFERROR((H242-$K242)/$K242,"")</x:f>
        <x:v>0.18181818181818182</x:v>
      </x:c>
      <x:c r="P242" s="14" t="n">
        <x:f>IFERROR((I242-$K242)/$K242,"")</x:f>
        <x:v>0.22727272727272727</x:v>
      </x:c>
      <x:c r="Q242" s="14" t="n">
        <x:f>IFERROR((J242-$K242)/$K242,"")</x:f>
        <x:v>0</x:v>
      </x:c>
      <x:c r="R242" t="n">
        <x:f>--(F242=$K242)</x:f>
        <x:v>1</x:v>
      </x:c>
      <x:c r="S242" t="n">
        <x:f>--(G242=$K242)</x:f>
        <x:v>0</x:v>
      </x:c>
      <x:c r="T242" t="n">
        <x:f>--(H242=$K242)</x:f>
        <x:v>0</x:v>
      </x:c>
      <x:c r="U242" t="n">
        <x:f>--(I242=$K242)</x:f>
        <x:v>0</x:v>
      </x:c>
      <x:c r="V242" t="n">
        <x:f>--(J242=$K242)</x:f>
        <x:v>1</x:v>
      </x:c>
    </x:row>
    <x:row r="243" ht="18" customHeight="1">
      <x:c r="A243" t="str">
        <x:v>bpps_d1000n75m5w150_300s100_200f0_seed1</x:v>
      </x:c>
      <x:c r="B243" s="16" t="n">
        <x:v>75</x:v>
      </x:c>
      <x:c r="C243" s="16" t="n">
        <x:v>5</x:v>
      </x:c>
      <x:c r="D243" s="16" t="n">
        <x:v>1000</x:v>
      </x:c>
      <x:c r="E243" s="16" t="n">
        <x:v>273</x:v>
      </x:c>
      <x:c r="F243" s="12" t="n">
        <x:v>22</x:v>
      </x:c>
      <x:c r="G243" s="12" t="n">
        <x:v>24</x:v>
      </x:c>
      <x:c r="H243" s="12" t="n">
        <x:v>25</x:v>
      </x:c>
      <x:c r="I243" s="12" t="n">
        <x:v>24</x:v>
      </x:c>
      <x:c r="J243" s="12" t="n">
        <x:v>22</x:v>
      </x:c>
      <x:c r="K243" s="12" t="n">
        <x:f>MIN(F243:J243)</x:f>
        <x:v>22</x:v>
      </x:c>
      <x:c r="L243" t="str">
        <x:f>TEXTJOIN(", ",TRUE,IF(F243=K243,"IG",""),IF(G243=K243,"FFD",""),IF(H243=K243,"BFD",""),IF(I243=K243,"WFD",""),IF(J243=K243,"CTP",""))</x:f>
        <x:v>IG, CTP</x:v>
      </x:c>
      <x:c r="M243" s="14" t="n">
        <x:f>IFERROR((F243-$K243)/$K243,"")</x:f>
        <x:v>0</x:v>
      </x:c>
      <x:c r="N243" s="14" t="n">
        <x:f>IFERROR((G243-$K243)/$K243,"")</x:f>
        <x:v>0.09090909090909091</x:v>
      </x:c>
      <x:c r="O243" s="14" t="n">
        <x:f>IFERROR((H243-$K243)/$K243,"")</x:f>
        <x:v>0.13636363636363635</x:v>
      </x:c>
      <x:c r="P243" s="14" t="n">
        <x:f>IFERROR((I243-$K243)/$K243,"")</x:f>
        <x:v>0.09090909090909091</x:v>
      </x:c>
      <x:c r="Q243" s="14" t="n">
        <x:f>IFERROR((J243-$K243)/$K243,"")</x:f>
        <x:v>0</x:v>
      </x:c>
      <x:c r="R243" t="n">
        <x:f>--(F243=$K243)</x:f>
        <x:v>1</x:v>
      </x:c>
      <x:c r="S243" t="n">
        <x:f>--(G243=$K243)</x:f>
        <x:v>0</x:v>
      </x:c>
      <x:c r="T243" t="n">
        <x:f>--(H243=$K243)</x:f>
        <x:v>0</x:v>
      </x:c>
      <x:c r="U243" t="n">
        <x:f>--(I243=$K243)</x:f>
        <x:v>0</x:v>
      </x:c>
      <x:c r="V243" t="n">
        <x:f>--(J243=$K243)</x:f>
        <x:v>1</x:v>
      </x:c>
    </x:row>
    <x:row r="244" ht="18" customHeight="1">
      <x:c r="A244" t="str">
        <x:v>bpps_d1000n75m5w150_300s100_200f1_seed0</x:v>
      </x:c>
      <x:c r="B244" s="16" t="n">
        <x:v>75</x:v>
      </x:c>
      <x:c r="C244" s="16" t="n">
        <x:v>5</x:v>
      </x:c>
      <x:c r="D244" s="16" t="n">
        <x:v>1000</x:v>
      </x:c>
      <x:c r="E244" s="16" t="n">
        <x:v>257</x:v>
      </x:c>
      <x:c r="F244" s="12" t="n">
        <x:v>291</x:v>
      </x:c>
      <x:c r="G244" s="12" t="n">
        <x:v>402</x:v>
      </x:c>
      <x:c r="H244" s="12" t="n">
        <x:v>420</x:v>
      </x:c>
      <x:c r="I244" s="12" t="n">
        <x:v>426</x:v>
      </x:c>
      <x:c r="J244" s="12" t="n">
        <x:v>323</x:v>
      </x:c>
      <x:c r="K244" s="12" t="n">
        <x:f>MIN(F244:J244)</x:f>
        <x:v>291</x:v>
      </x:c>
      <x:c r="L244" t="str">
        <x:f>TEXTJOIN(", ",TRUE,IF(F244=K244,"IG",""),IF(G244=K244,"FFD",""),IF(H244=K244,"BFD",""),IF(I244=K244,"WFD",""),IF(J244=K244,"CTP",""))</x:f>
        <x:v>IG</x:v>
      </x:c>
      <x:c r="M244" s="14" t="n">
        <x:f>IFERROR((F244-$K244)/$K244,"")</x:f>
        <x:v>0</x:v>
      </x:c>
      <x:c r="N244" s="14" t="n">
        <x:f>IFERROR((G244-$K244)/$K244,"")</x:f>
        <x:v>0.38144329896907214</x:v>
      </x:c>
      <x:c r="O244" s="14" t="n">
        <x:f>IFERROR((H244-$K244)/$K244,"")</x:f>
        <x:v>0.44329896907216493</x:v>
      </x:c>
      <x:c r="P244" s="14" t="n">
        <x:f>IFERROR((I244-$K244)/$K244,"")</x:f>
        <x:v>0.4639175257731959</x:v>
      </x:c>
      <x:c r="Q244" s="14" t="n">
        <x:f>IFERROR((J244-$K244)/$K244,"")</x:f>
        <x:v>0.10996563573883161</x:v>
      </x:c>
      <x:c r="R244" t="n">
        <x:f>--(F244=$K244)</x:f>
        <x:v>1</x:v>
      </x:c>
      <x:c r="S244" t="n">
        <x:f>--(G244=$K244)</x:f>
        <x:v>0</x:v>
      </x:c>
      <x:c r="T244" t="n">
        <x:f>--(H244=$K244)</x:f>
        <x:v>0</x:v>
      </x:c>
      <x:c r="U244" t="n">
        <x:f>--(I244=$K244)</x:f>
        <x:v>0</x:v>
      </x:c>
      <x:c r="V244" t="n">
        <x:f>--(J244=$K244)</x:f>
        <x:v>0</x:v>
      </x:c>
    </x:row>
    <x:row r="245" ht="18" customHeight="1">
      <x:c r="A245" t="str">
        <x:v>bpps_d1000n75m5w150_300s100_200f1_seed1</x:v>
      </x:c>
      <x:c r="B245" s="16" t="n">
        <x:v>75</x:v>
      </x:c>
      <x:c r="C245" s="16" t="n">
        <x:v>5</x:v>
      </x:c>
      <x:c r="D245" s="16" t="n">
        <x:v>1000</x:v>
      </x:c>
      <x:c r="E245" s="16" t="n">
        <x:v>284</x:v>
      </x:c>
      <x:c r="F245" s="12" t="n">
        <x:v>264</x:v>
      </x:c>
      <x:c r="G245" s="12" t="n">
        <x:v>378</x:v>
      </x:c>
      <x:c r="H245" s="12" t="n">
        <x:v>371</x:v>
      </x:c>
      <x:c r="I245" s="12" t="n">
        <x:v>370</x:v>
      </x:c>
      <x:c r="J245" s="12" t="n">
        <x:v>278</x:v>
      </x:c>
      <x:c r="K245" s="12" t="n">
        <x:f>MIN(F245:J245)</x:f>
        <x:v>264</x:v>
      </x:c>
      <x:c r="L245" t="str">
        <x:f>TEXTJOIN(", ",TRUE,IF(F245=K245,"IG",""),IF(G245=K245,"FFD",""),IF(H245=K245,"BFD",""),IF(I245=K245,"WFD",""),IF(J245=K245,"CTP",""))</x:f>
        <x:v>IG</x:v>
      </x:c>
      <x:c r="M245" s="14" t="n">
        <x:f>IFERROR((F245-$K245)/$K245,"")</x:f>
        <x:v>0</x:v>
      </x:c>
      <x:c r="N245" s="14" t="n">
        <x:f>IFERROR((G245-$K245)/$K245,"")</x:f>
        <x:v>0.4318181818181818</x:v>
      </x:c>
      <x:c r="O245" s="14" t="n">
        <x:f>IFERROR((H245-$K245)/$K245,"")</x:f>
        <x:v>0.4053030303030303</x:v>
      </x:c>
      <x:c r="P245" s="14" t="n">
        <x:f>IFERROR((I245-$K245)/$K245,"")</x:f>
        <x:v>0.4015151515151515</x:v>
      </x:c>
      <x:c r="Q245" s="14" t="n">
        <x:f>IFERROR((J245-$K245)/$K245,"")</x:f>
        <x:v>0.05303030303030303</x:v>
      </x:c>
      <x:c r="R245" t="n">
        <x:f>--(F245=$K245)</x:f>
        <x:v>1</x:v>
      </x:c>
      <x:c r="S245" t="n">
        <x:f>--(G245=$K245)</x:f>
        <x:v>0</x:v>
      </x:c>
      <x:c r="T245" t="n">
        <x:f>--(H245=$K245)</x:f>
        <x:v>0</x:v>
      </x:c>
      <x:c r="U245" t="n">
        <x:f>--(I245=$K245)</x:f>
        <x:v>0</x:v>
      </x:c>
      <x:c r="V245" t="n">
        <x:f>--(J245=$K245)</x:f>
        <x:v>0</x:v>
      </x:c>
    </x:row>
    <x:row r="246" ht="18" customHeight="1">
      <x:c r="A246" t="str">
        <x:v>bpps_d1000n75m5w150_300s10_100f0_seed0</x:v>
      </x:c>
      <x:c r="B246" s="16" t="n">
        <x:v>75</x:v>
      </x:c>
      <x:c r="C246" s="16" t="n">
        <x:v>5</x:v>
      </x:c>
      <x:c r="D246" s="16" t="n">
        <x:v>1000</x:v>
      </x:c>
      <x:c r="E246" s="16" t="n">
        <x:v>276</x:v>
      </x:c>
      <x:c r="F246" s="12" t="n">
        <x:v>20</x:v>
      </x:c>
      <x:c r="G246" s="12" t="n">
        <x:v>21</x:v>
      </x:c>
      <x:c r="H246" s="12" t="n">
        <x:v>21</x:v>
      </x:c>
      <x:c r="I246" s="12" t="n">
        <x:v>22</x:v>
      </x:c>
      <x:c r="J246" s="12" t="n">
        <x:v>21</x:v>
      </x:c>
      <x:c r="K246" s="12" t="n">
        <x:f>MIN(F246:J246)</x:f>
        <x:v>20</x:v>
      </x:c>
      <x:c r="L246" t="str">
        <x:f>TEXTJOIN(", ",TRUE,IF(F246=K246,"IG",""),IF(G246=K246,"FFD",""),IF(H246=K246,"BFD",""),IF(I246=K246,"WFD",""),IF(J246=K246,"CTP",""))</x:f>
        <x:v>IG</x:v>
      </x:c>
      <x:c r="M246" s="14" t="n">
        <x:f>IFERROR((F246-$K246)/$K246,"")</x:f>
        <x:v>0</x:v>
      </x:c>
      <x:c r="N246" s="14" t="n">
        <x:f>IFERROR((G246-$K246)/$K246,"")</x:f>
        <x:v>0.05</x:v>
      </x:c>
      <x:c r="O246" s="14" t="n">
        <x:f>IFERROR((H246-$K246)/$K246,"")</x:f>
        <x:v>0.05</x:v>
      </x:c>
      <x:c r="P246" s="14" t="n">
        <x:f>IFERROR((I246-$K246)/$K246,"")</x:f>
        <x:v>0.1</x:v>
      </x:c>
      <x:c r="Q246" s="14" t="n">
        <x:f>IFERROR((J246-$K246)/$K246,"")</x:f>
        <x:v>0.05</x:v>
      </x:c>
      <x:c r="R246" t="n">
        <x:f>--(F246=$K246)</x:f>
        <x:v>1</x:v>
      </x:c>
      <x:c r="S246" t="n">
        <x:f>--(G246=$K246)</x:f>
        <x:v>0</x:v>
      </x:c>
      <x:c r="T246" t="n">
        <x:f>--(H246=$K246)</x:f>
        <x:v>0</x:v>
      </x:c>
      <x:c r="U246" t="n">
        <x:f>--(I246=$K246)</x:f>
        <x:v>0</x:v>
      </x:c>
      <x:c r="V246" t="n">
        <x:f>--(J246=$K246)</x:f>
        <x:v>0</x:v>
      </x:c>
    </x:row>
    <x:row r="247" ht="18" customHeight="1">
      <x:c r="A247" t="str">
        <x:v>bpps_d1000n75m5w150_300s10_100f0_seed1</x:v>
      </x:c>
      <x:c r="B247" s="16" t="n">
        <x:v>75</x:v>
      </x:c>
      <x:c r="C247" s="16" t="n">
        <x:v>5</x:v>
      </x:c>
      <x:c r="D247" s="16" t="n">
        <x:v>1000</x:v>
      </x:c>
      <x:c r="E247" s="16" t="n">
        <x:v>292</x:v>
      </x:c>
      <x:c r="F247" s="12" t="n">
        <x:v>20</x:v>
      </x:c>
      <x:c r="G247" s="12" t="n">
        <x:v>20</x:v>
      </x:c>
      <x:c r="H247" s="12" t="n">
        <x:v>20</x:v>
      </x:c>
      <x:c r="I247" s="12" t="n">
        <x:v>21</x:v>
      </x:c>
      <x:c r="J247" s="12" t="n">
        <x:v>20</x:v>
      </x:c>
      <x:c r="K247" s="12" t="n">
        <x:f>MIN(F247:J247)</x:f>
        <x:v>20</x:v>
      </x:c>
      <x:c r="L247" t="str">
        <x:f>TEXTJOIN(", ",TRUE,IF(F247=K247,"IG",""),IF(G247=K247,"FFD",""),IF(H247=K247,"BFD",""),IF(I247=K247,"WFD",""),IF(J247=K247,"CTP",""))</x:f>
        <x:v>IG, FFD, BFD, CTP</x:v>
      </x:c>
      <x:c r="M247" s="14" t="n">
        <x:f>IFERROR((F247-$K247)/$K247,"")</x:f>
        <x:v>0</x:v>
      </x:c>
      <x:c r="N247" s="14" t="n">
        <x:f>IFERROR((G247-$K247)/$K247,"")</x:f>
        <x:v>0</x:v>
      </x:c>
      <x:c r="O247" s="14" t="n">
        <x:f>IFERROR((H247-$K247)/$K247,"")</x:f>
        <x:v>0</x:v>
      </x:c>
      <x:c r="P247" s="14" t="n">
        <x:f>IFERROR((I247-$K247)/$K247,"")</x:f>
        <x:v>0.05</x:v>
      </x:c>
      <x:c r="Q247" s="14" t="n">
        <x:f>IFERROR((J247-$K247)/$K247,"")</x:f>
        <x:v>0</x:v>
      </x:c>
      <x:c r="R247" t="n">
        <x:f>--(F247=$K247)</x:f>
        <x:v>1</x:v>
      </x:c>
      <x:c r="S247" t="n">
        <x:f>--(G247=$K247)</x:f>
        <x:v>1</x:v>
      </x:c>
      <x:c r="T247" t="n">
        <x:f>--(H247=$K247)</x:f>
        <x:v>1</x:v>
      </x:c>
      <x:c r="U247" t="n">
        <x:f>--(I247=$K247)</x:f>
        <x:v>0</x:v>
      </x:c>
      <x:c r="V247" t="n">
        <x:f>--(J247=$K247)</x:f>
        <x:v>1</x:v>
      </x:c>
    </x:row>
    <x:row r="248" ht="18" customHeight="1">
      <x:c r="A248" t="str">
        <x:v>bpps_d1000n75m5w150_300s10_100f1_seed0</x:v>
      </x:c>
      <x:c r="B248" s="16" t="n">
        <x:v>75</x:v>
      </x:c>
      <x:c r="C248" s="16" t="n">
        <x:v>5</x:v>
      </x:c>
      <x:c r="D248" s="16" t="n">
        <x:v>1000</x:v>
      </x:c>
      <x:c r="E248" s="16" t="n">
        <x:v>272</x:v>
      </x:c>
      <x:c r="F248" s="12" t="n">
        <x:v>259</x:v>
      </x:c>
      <x:c r="G248" s="12" t="n">
        <x:v>382</x:v>
      </x:c>
      <x:c r="H248" s="12" t="n">
        <x:v>383</x:v>
      </x:c>
      <x:c r="I248" s="12" t="n">
        <x:v>372</x:v>
      </x:c>
      <x:c r="J248" s="12" t="n">
        <x:v>276</x:v>
      </x:c>
      <x:c r="K248" s="12" t="n">
        <x:f>MIN(F248:J248)</x:f>
        <x:v>259</x:v>
      </x:c>
      <x:c r="L248" t="str">
        <x:f>TEXTJOIN(", ",TRUE,IF(F248=K248,"IG",""),IF(G248=K248,"FFD",""),IF(H248=K248,"BFD",""),IF(I248=K248,"WFD",""),IF(J248=K248,"CTP",""))</x:f>
        <x:v>IG</x:v>
      </x:c>
      <x:c r="M248" s="14" t="n">
        <x:f>IFERROR((F248-$K248)/$K248,"")</x:f>
        <x:v>0</x:v>
      </x:c>
      <x:c r="N248" s="14" t="n">
        <x:f>IFERROR((G248-$K248)/$K248,"")</x:f>
        <x:v>0.4749034749034749</x:v>
      </x:c>
      <x:c r="O248" s="14" t="n">
        <x:f>IFERROR((H248-$K248)/$K248,"")</x:f>
        <x:v>0.47876447876447875</x:v>
      </x:c>
      <x:c r="P248" s="14" t="n">
        <x:f>IFERROR((I248-$K248)/$K248,"")</x:f>
        <x:v>0.4362934362934363</x:v>
      </x:c>
      <x:c r="Q248" s="14" t="n">
        <x:f>IFERROR((J248-$K248)/$K248,"")</x:f>
        <x:v>0.06563706563706563</x:v>
      </x:c>
      <x:c r="R248" t="n">
        <x:f>--(F248=$K248)</x:f>
        <x:v>1</x:v>
      </x:c>
      <x:c r="S248" t="n">
        <x:f>--(G248=$K248)</x:f>
        <x:v>0</x:v>
      </x:c>
      <x:c r="T248" t="n">
        <x:f>--(H248=$K248)</x:f>
        <x:v>0</x:v>
      </x:c>
      <x:c r="U248" t="n">
        <x:f>--(I248=$K248)</x:f>
        <x:v>0</x:v>
      </x:c>
      <x:c r="V248" t="n">
        <x:f>--(J248=$K248)</x:f>
        <x:v>0</x:v>
      </x:c>
    </x:row>
    <x:row r="249" ht="18" customHeight="1">
      <x:c r="A249" t="str">
        <x:v>bpps_d1000n75m5w150_300s10_100f1_seed1</x:v>
      </x:c>
      <x:c r="B249" s="16" t="n">
        <x:v>75</x:v>
      </x:c>
      <x:c r="C249" s="16" t="n">
        <x:v>5</x:v>
      </x:c>
      <x:c r="D249" s="16" t="n">
        <x:v>1000</x:v>
      </x:c>
      <x:c r="E249" s="16" t="n">
        <x:v>254</x:v>
      </x:c>
      <x:c r="F249" s="12" t="n">
        <x:v>236</x:v>
      </x:c>
      <x:c r="G249" s="12" t="n">
        <x:v>333</x:v>
      </x:c>
      <x:c r="H249" s="12" t="n">
        <x:v>334</x:v>
      </x:c>
      <x:c r="I249" s="12" t="n">
        <x:v>330</x:v>
      </x:c>
      <x:c r="J249" s="12" t="n">
        <x:v>257</x:v>
      </x:c>
      <x:c r="K249" s="12" t="n">
        <x:f>MIN(F249:J249)</x:f>
        <x:v>236</x:v>
      </x:c>
      <x:c r="L249" t="str">
        <x:f>TEXTJOIN(", ",TRUE,IF(F249=K249,"IG",""),IF(G249=K249,"FFD",""),IF(H249=K249,"BFD",""),IF(I249=K249,"WFD",""),IF(J249=K249,"CTP",""))</x:f>
        <x:v>IG</x:v>
      </x:c>
      <x:c r="M249" s="14" t="n">
        <x:f>IFERROR((F249-$K249)/$K249,"")</x:f>
        <x:v>0</x:v>
      </x:c>
      <x:c r="N249" s="14" t="n">
        <x:f>IFERROR((G249-$K249)/$K249,"")</x:f>
        <x:v>0.4110169491525424</x:v>
      </x:c>
      <x:c r="O249" s="14" t="n">
        <x:f>IFERROR((H249-$K249)/$K249,"")</x:f>
        <x:v>0.4152542372881356</x:v>
      </x:c>
      <x:c r="P249" s="14" t="n">
        <x:f>IFERROR((I249-$K249)/$K249,"")</x:f>
        <x:v>0.3983050847457627</x:v>
      </x:c>
      <x:c r="Q249" s="14" t="n">
        <x:f>IFERROR((J249-$K249)/$K249,"")</x:f>
        <x:v>0.08898305084745763</x:v>
      </x:c>
      <x:c r="R249" t="n">
        <x:f>--(F249=$K249)</x:f>
        <x:v>1</x:v>
      </x:c>
      <x:c r="S249" t="n">
        <x:f>--(G249=$K249)</x:f>
        <x:v>0</x:v>
      </x:c>
      <x:c r="T249" t="n">
        <x:f>--(H249=$K249)</x:f>
        <x:v>0</x:v>
      </x:c>
      <x:c r="U249" t="n">
        <x:f>--(I249=$K249)</x:f>
        <x:v>0</x:v>
      </x:c>
      <x:c r="V249" t="n">
        <x:f>--(J249=$K249)</x:f>
        <x:v>0</x:v>
      </x:c>
    </x:row>
    <x:row r="250" ht="18" customHeight="1">
      <x:c r="A250" t="str">
        <x:v>bpps_d1000n75m5w50_150s100_200f0_seed0</x:v>
      </x:c>
      <x:c r="B250" s="16" t="n">
        <x:v>75</x:v>
      </x:c>
      <x:c r="C250" s="16" t="n">
        <x:v>5</x:v>
      </x:c>
      <x:c r="D250" s="16" t="n">
        <x:v>1000</x:v>
      </x:c>
      <x:c r="E250" s="16" t="n">
        <x:v>262</x:v>
      </x:c>
      <x:c r="F250" s="12" t="n">
        <x:v>11</x:v>
      </x:c>
      <x:c r="G250" s="12" t="n">
        <x:v>14</x:v>
      </x:c>
      <x:c r="H250" s="12" t="n">
        <x:v>14</x:v>
      </x:c>
      <x:c r="I250" s="12" t="n">
        <x:v>14</x:v>
      </x:c>
      <x:c r="J250" s="12" t="n">
        <x:v>11</x:v>
      </x:c>
      <x:c r="K250" s="12" t="n">
        <x:f>MIN(F250:J250)</x:f>
        <x:v>11</x:v>
      </x:c>
      <x:c r="L250" t="str">
        <x:f>TEXTJOIN(", ",TRUE,IF(F250=K250,"IG",""),IF(G250=K250,"FFD",""),IF(H250=K250,"BFD",""),IF(I250=K250,"WFD",""),IF(J250=K250,"CTP",""))</x:f>
        <x:v>IG, CTP</x:v>
      </x:c>
      <x:c r="M250" s="14" t="n">
        <x:f>IFERROR((F250-$K250)/$K250,"")</x:f>
        <x:v>0</x:v>
      </x:c>
      <x:c r="N250" s="14" t="n">
        <x:f>IFERROR((G250-$K250)/$K250,"")</x:f>
        <x:v>0.2727272727272727</x:v>
      </x:c>
      <x:c r="O250" s="14" t="n">
        <x:f>IFERROR((H250-$K250)/$K250,"")</x:f>
        <x:v>0.2727272727272727</x:v>
      </x:c>
      <x:c r="P250" s="14" t="n">
        <x:f>IFERROR((I250-$K250)/$K250,"")</x:f>
        <x:v>0.2727272727272727</x:v>
      </x:c>
      <x:c r="Q250" s="14" t="n">
        <x:f>IFERROR((J250-$K250)/$K250,"")</x:f>
        <x:v>0</x:v>
      </x:c>
      <x:c r="R250" t="n">
        <x:f>--(F250=$K250)</x:f>
        <x:v>1</x:v>
      </x:c>
      <x:c r="S250" t="n">
        <x:f>--(G250=$K250)</x:f>
        <x:v>0</x:v>
      </x:c>
      <x:c r="T250" t="n">
        <x:f>--(H250=$K250)</x:f>
        <x:v>0</x:v>
      </x:c>
      <x:c r="U250" t="n">
        <x:f>--(I250=$K250)</x:f>
        <x:v>0</x:v>
      </x:c>
      <x:c r="V250" t="n">
        <x:f>--(J250=$K250)</x:f>
        <x:v>1</x:v>
      </x:c>
    </x:row>
    <x:row r="251" ht="18" customHeight="1">
      <x:c r="A251" t="str">
        <x:v>bpps_d1000n75m5w50_150s100_200f0_seed1</x:v>
      </x:c>
      <x:c r="B251" s="16" t="n">
        <x:v>75</x:v>
      </x:c>
      <x:c r="C251" s="16" t="n">
        <x:v>5</x:v>
      </x:c>
      <x:c r="D251" s="16" t="n">
        <x:v>1000</x:v>
      </x:c>
      <x:c r="E251" s="16" t="n">
        <x:v>295</x:v>
      </x:c>
      <x:c r="F251" s="12" t="n">
        <x:v>11</x:v>
      </x:c>
      <x:c r="G251" s="12" t="n">
        <x:v>14</x:v>
      </x:c>
      <x:c r="H251" s="12" t="n">
        <x:v>15</x:v>
      </x:c>
      <x:c r="I251" s="12" t="n">
        <x:v>14</x:v>
      </x:c>
      <x:c r="J251" s="12" t="n">
        <x:v>12</x:v>
      </x:c>
      <x:c r="K251" s="12" t="n">
        <x:f>MIN(F251:J251)</x:f>
        <x:v>11</x:v>
      </x:c>
      <x:c r="L251" t="str">
        <x:f>TEXTJOIN(", ",TRUE,IF(F251=K251,"IG",""),IF(G251=K251,"FFD",""),IF(H251=K251,"BFD",""),IF(I251=K251,"WFD",""),IF(J251=K251,"CTP",""))</x:f>
        <x:v>IG</x:v>
      </x:c>
      <x:c r="M251" s="14" t="n">
        <x:f>IFERROR((F251-$K251)/$K251,"")</x:f>
        <x:v>0</x:v>
      </x:c>
      <x:c r="N251" s="14" t="n">
        <x:f>IFERROR((G251-$K251)/$K251,"")</x:f>
        <x:v>0.2727272727272727</x:v>
      </x:c>
      <x:c r="O251" s="14" t="n">
        <x:f>IFERROR((H251-$K251)/$K251,"")</x:f>
        <x:v>0.36363636363636365</x:v>
      </x:c>
      <x:c r="P251" s="14" t="n">
        <x:f>IFERROR((I251-$K251)/$K251,"")</x:f>
        <x:v>0.2727272727272727</x:v>
      </x:c>
      <x:c r="Q251" s="14" t="n">
        <x:f>IFERROR((J251-$K251)/$K251,"")</x:f>
        <x:v>0.09090909090909091</x:v>
      </x:c>
      <x:c r="R251" t="n">
        <x:f>--(F251=$K251)</x:f>
        <x:v>1</x:v>
      </x:c>
      <x:c r="S251" t="n">
        <x:f>--(G251=$K251)</x:f>
        <x:v>0</x:v>
      </x:c>
      <x:c r="T251" t="n">
        <x:f>--(H251=$K251)</x:f>
        <x:v>0</x:v>
      </x:c>
      <x:c r="U251" t="n">
        <x:f>--(I251=$K251)</x:f>
        <x:v>0</x:v>
      </x:c>
      <x:c r="V251" t="n">
        <x:f>--(J251=$K251)</x:f>
        <x:v>0</x:v>
      </x:c>
    </x:row>
    <x:row r="252" ht="18" customHeight="1">
      <x:c r="A252" t="str">
        <x:v>bpps_d1000n75m5w50_150s100_200f1_seed0</x:v>
      </x:c>
      <x:c r="B252" s="16" t="n">
        <x:v>75</x:v>
      </x:c>
      <x:c r="C252" s="16" t="n">
        <x:v>5</x:v>
      </x:c>
      <x:c r="D252" s="16" t="n">
        <x:v>1000</x:v>
      </x:c>
      <x:c r="E252" s="16" t="n">
        <x:v>282</x:v>
      </x:c>
      <x:c r="F252" s="12" t="n">
        <x:v>144</x:v>
      </x:c>
      <x:c r="G252" s="12" t="n">
        <x:v>273</x:v>
      </x:c>
      <x:c r="H252" s="12" t="n">
        <x:v>277</x:v>
      </x:c>
      <x:c r="I252" s="12" t="n">
        <x:v>256</x:v>
      </x:c>
      <x:c r="J252" s="12" t="n">
        <x:v>176</x:v>
      </x:c>
      <x:c r="K252" s="12" t="n">
        <x:f>MIN(F252:J252)</x:f>
        <x:v>144</x:v>
      </x:c>
      <x:c r="L252" t="str">
        <x:f>TEXTJOIN(", ",TRUE,IF(F252=K252,"IG",""),IF(G252=K252,"FFD",""),IF(H252=K252,"BFD",""),IF(I252=K252,"WFD",""),IF(J252=K252,"CTP",""))</x:f>
        <x:v>IG</x:v>
      </x:c>
      <x:c r="M252" s="14" t="n">
        <x:f>IFERROR((F252-$K252)/$K252,"")</x:f>
        <x:v>0</x:v>
      </x:c>
      <x:c r="N252" s="14" t="n">
        <x:f>IFERROR((G252-$K252)/$K252,"")</x:f>
        <x:v>0.8958333333333334</x:v>
      </x:c>
      <x:c r="O252" s="14" t="n">
        <x:f>IFERROR((H252-$K252)/$K252,"")</x:f>
        <x:v>0.9236111111111112</x:v>
      </x:c>
      <x:c r="P252" s="14" t="n">
        <x:f>IFERROR((I252-$K252)/$K252,"")</x:f>
        <x:v>0.7777777777777778</x:v>
      </x:c>
      <x:c r="Q252" s="14" t="n">
        <x:f>IFERROR((J252-$K252)/$K252,"")</x:f>
        <x:v>0.2222222222222222</x:v>
      </x:c>
      <x:c r="R252" t="n">
        <x:f>--(F252=$K252)</x:f>
        <x:v>1</x:v>
      </x:c>
      <x:c r="S252" t="n">
        <x:f>--(G252=$K252)</x:f>
        <x:v>0</x:v>
      </x:c>
      <x:c r="T252" t="n">
        <x:f>--(H252=$K252)</x:f>
        <x:v>0</x:v>
      </x:c>
      <x:c r="U252" t="n">
        <x:f>--(I252=$K252)</x:f>
        <x:v>0</x:v>
      </x:c>
      <x:c r="V252" t="n">
        <x:f>--(J252=$K252)</x:f>
        <x:v>0</x:v>
      </x:c>
    </x:row>
    <x:row r="253" ht="18" customHeight="1">
      <x:c r="A253" t="str">
        <x:v>bpps_d1000n75m5w50_150s100_200f1_seed1</x:v>
      </x:c>
      <x:c r="B253" s="16" t="n">
        <x:v>75</x:v>
      </x:c>
      <x:c r="C253" s="16" t="n">
        <x:v>5</x:v>
      </x:c>
      <x:c r="D253" s="16" t="n">
        <x:v>1000</x:v>
      </x:c>
      <x:c r="E253" s="16" t="n">
        <x:v>299</x:v>
      </x:c>
      <x:c r="F253" s="12" t="n">
        <x:v>141</x:v>
      </x:c>
      <x:c r="G253" s="12" t="n">
        <x:v>248</x:v>
      </x:c>
      <x:c r="H253" s="12" t="n">
        <x:v>250</x:v>
      </x:c>
      <x:c r="I253" s="12" t="n">
        <x:v>230</x:v>
      </x:c>
      <x:c r="J253" s="12" t="n">
        <x:v>162</x:v>
      </x:c>
      <x:c r="K253" s="12" t="n">
        <x:f>MIN(F253:J253)</x:f>
        <x:v>141</x:v>
      </x:c>
      <x:c r="L253" t="str">
        <x:f>TEXTJOIN(", ",TRUE,IF(F253=K253,"IG",""),IF(G253=K253,"FFD",""),IF(H253=K253,"BFD",""),IF(I253=K253,"WFD",""),IF(J253=K253,"CTP",""))</x:f>
        <x:v>IG</x:v>
      </x:c>
      <x:c r="M253" s="14" t="n">
        <x:f>IFERROR((F253-$K253)/$K253,"")</x:f>
        <x:v>0</x:v>
      </x:c>
      <x:c r="N253" s="14" t="n">
        <x:f>IFERROR((G253-$K253)/$K253,"")</x:f>
        <x:v>0.7588652482269503</x:v>
      </x:c>
      <x:c r="O253" s="14" t="n">
        <x:f>IFERROR((H253-$K253)/$K253,"")</x:f>
        <x:v>0.7730496453900709</x:v>
      </x:c>
      <x:c r="P253" s="14" t="n">
        <x:f>IFERROR((I253-$K253)/$K253,"")</x:f>
        <x:v>0.6312056737588653</x:v>
      </x:c>
      <x:c r="Q253" s="14" t="n">
        <x:f>IFERROR((J253-$K253)/$K253,"")</x:f>
        <x:v>0.14893617021276595</x:v>
      </x:c>
      <x:c r="R253" t="n">
        <x:f>--(F253=$K253)</x:f>
        <x:v>1</x:v>
      </x:c>
      <x:c r="S253" t="n">
        <x:f>--(G253=$K253)</x:f>
        <x:v>0</x:v>
      </x:c>
      <x:c r="T253" t="n">
        <x:f>--(H253=$K253)</x:f>
        <x:v>0</x:v>
      </x:c>
      <x:c r="U253" t="n">
        <x:f>--(I253=$K253)</x:f>
        <x:v>0</x:v>
      </x:c>
      <x:c r="V253" t="n">
        <x:f>--(J253=$K253)</x:f>
        <x:v>0</x:v>
      </x:c>
    </x:row>
    <x:row r="254" ht="18" customHeight="1">
      <x:c r="A254" t="str">
        <x:v>bpps_d1000n75m5w50_150s10_100f0_seed0</x:v>
      </x:c>
      <x:c r="B254" s="16" t="n">
        <x:v>75</x:v>
      </x:c>
      <x:c r="C254" s="16" t="n">
        <x:v>5</x:v>
      </x:c>
      <x:c r="D254" s="16" t="n">
        <x:v>1000</x:v>
      </x:c>
      <x:c r="E254" s="16" t="n">
        <x:v>276</x:v>
      </x:c>
      <x:c r="F254" s="12" t="n">
        <x:v>9</x:v>
      </x:c>
      <x:c r="G254" s="12" t="n">
        <x:v>10</x:v>
      </x:c>
      <x:c r="H254" s="12" t="n">
        <x:v>10</x:v>
      </x:c>
      <x:c r="I254" s="12" t="n">
        <x:v>10</x:v>
      </x:c>
      <x:c r="J254" s="12" t="n">
        <x:v>10</x:v>
      </x:c>
      <x:c r="K254" s="12" t="n">
        <x:f>MIN(F254:J254)</x:f>
        <x:v>9</x:v>
      </x:c>
      <x:c r="L254" t="str">
        <x:f>TEXTJOIN(", ",TRUE,IF(F254=K254,"IG",""),IF(G254=K254,"FFD",""),IF(H254=K254,"BFD",""),IF(I254=K254,"WFD",""),IF(J254=K254,"CTP",""))</x:f>
        <x:v>IG</x:v>
      </x:c>
      <x:c r="M254" s="14" t="n">
        <x:f>IFERROR((F254-$K254)/$K254,"")</x:f>
        <x:v>0</x:v>
      </x:c>
      <x:c r="N254" s="14" t="n">
        <x:f>IFERROR((G254-$K254)/$K254,"")</x:f>
        <x:v>0.1111111111111111</x:v>
      </x:c>
      <x:c r="O254" s="14" t="n">
        <x:f>IFERROR((H254-$K254)/$K254,"")</x:f>
        <x:v>0.1111111111111111</x:v>
      </x:c>
      <x:c r="P254" s="14" t="n">
        <x:f>IFERROR((I254-$K254)/$K254,"")</x:f>
        <x:v>0.1111111111111111</x:v>
      </x:c>
      <x:c r="Q254" s="14" t="n">
        <x:f>IFERROR((J254-$K254)/$K254,"")</x:f>
        <x:v>0.1111111111111111</x:v>
      </x:c>
      <x:c r="R254" t="n">
        <x:f>--(F254=$K254)</x:f>
        <x:v>1</x:v>
      </x:c>
      <x:c r="S254" t="n">
        <x:f>--(G254=$K254)</x:f>
        <x:v>0</x:v>
      </x:c>
      <x:c r="T254" t="n">
        <x:f>--(H254=$K254)</x:f>
        <x:v>0</x:v>
      </x:c>
      <x:c r="U254" t="n">
        <x:f>--(I254=$K254)</x:f>
        <x:v>0</x:v>
      </x:c>
      <x:c r="V254" t="n">
        <x:f>--(J254=$K254)</x:f>
        <x:v>0</x:v>
      </x:c>
    </x:row>
    <x:row r="255" ht="18" customHeight="1">
      <x:c r="A255" t="str">
        <x:v>bpps_d1000n75m5w50_150s10_100f0_seed1</x:v>
      </x:c>
      <x:c r="B255" s="16" t="n">
        <x:v>75</x:v>
      </x:c>
      <x:c r="C255" s="16" t="n">
        <x:v>5</x:v>
      </x:c>
      <x:c r="D255" s="16" t="n">
        <x:v>1000</x:v>
      </x:c>
      <x:c r="E255" s="16" t="n">
        <x:v>274</x:v>
      </x:c>
      <x:c r="F255" s="12" t="n">
        <x:v>10</x:v>
      </x:c>
      <x:c r="G255" s="12" t="n">
        <x:v>11</x:v>
      </x:c>
      <x:c r="H255" s="12" t="n">
        <x:v>11</x:v>
      </x:c>
      <x:c r="I255" s="12" t="n">
        <x:v>11</x:v>
      </x:c>
      <x:c r="J255" s="12" t="n">
        <x:v>11</x:v>
      </x:c>
      <x:c r="K255" s="12" t="n">
        <x:f>MIN(F255:J255)</x:f>
        <x:v>10</x:v>
      </x:c>
      <x:c r="L255" t="str">
        <x:f>TEXTJOIN(", ",TRUE,IF(F255=K255,"IG",""),IF(G255=K255,"FFD",""),IF(H255=K255,"BFD",""),IF(I255=K255,"WFD",""),IF(J255=K255,"CTP",""))</x:f>
        <x:v>IG</x:v>
      </x:c>
      <x:c r="M255" s="14" t="n">
        <x:f>IFERROR((F255-$K255)/$K255,"")</x:f>
        <x:v>0</x:v>
      </x:c>
      <x:c r="N255" s="14" t="n">
        <x:f>IFERROR((G255-$K255)/$K255,"")</x:f>
        <x:v>0.1</x:v>
      </x:c>
      <x:c r="O255" s="14" t="n">
        <x:f>IFERROR((H255-$K255)/$K255,"")</x:f>
        <x:v>0.1</x:v>
      </x:c>
      <x:c r="P255" s="14" t="n">
        <x:f>IFERROR((I255-$K255)/$K255,"")</x:f>
        <x:v>0.1</x:v>
      </x:c>
      <x:c r="Q255" s="14" t="n">
        <x:f>IFERROR((J255-$K255)/$K255,"")</x:f>
        <x:v>0.1</x:v>
      </x:c>
      <x:c r="R255" t="n">
        <x:f>--(F255=$K255)</x:f>
        <x:v>1</x:v>
      </x:c>
      <x:c r="S255" t="n">
        <x:f>--(G255=$K255)</x:f>
        <x:v>0</x:v>
      </x:c>
      <x:c r="T255" t="n">
        <x:f>--(H255=$K255)</x:f>
        <x:v>0</x:v>
      </x:c>
      <x:c r="U255" t="n">
        <x:f>--(I255=$K255)</x:f>
        <x:v>0</x:v>
      </x:c>
      <x:c r="V255" t="n">
        <x:f>--(J255=$K255)</x:f>
        <x:v>0</x:v>
      </x:c>
    </x:row>
    <x:row r="256" ht="18" customHeight="1">
      <x:c r="A256" t="str">
        <x:v>bpps_d1000n75m5w50_150s10_100f1_seed0</x:v>
      </x:c>
      <x:c r="B256" s="16" t="n">
        <x:v>75</x:v>
      </x:c>
      <x:c r="C256" s="16" t="n">
        <x:v>5</x:v>
      </x:c>
      <x:c r="D256" s="16" t="n">
        <x:v>1000</x:v>
      </x:c>
      <x:c r="E256" s="16" t="n">
        <x:v>268</x:v>
      </x:c>
      <x:c r="F256" s="12" t="n">
        <x:v>133</x:v>
      </x:c>
      <x:c r="G256" s="12" t="n">
        <x:v>240</x:v>
      </x:c>
      <x:c r="H256" s="12" t="n">
        <x:v>238</x:v>
      </x:c>
      <x:c r="I256" s="12" t="n">
        <x:v>216</x:v>
      </x:c>
      <x:c r="J256" s="12" t="n">
        <x:v>153</x:v>
      </x:c>
      <x:c r="K256" s="12" t="n">
        <x:f>MIN(F256:J256)</x:f>
        <x:v>133</x:v>
      </x:c>
      <x:c r="L256" t="str">
        <x:f>TEXTJOIN(", ",TRUE,IF(F256=K256,"IG",""),IF(G256=K256,"FFD",""),IF(H256=K256,"BFD",""),IF(I256=K256,"WFD",""),IF(J256=K256,"CTP",""))</x:f>
        <x:v>IG</x:v>
      </x:c>
      <x:c r="M256" s="14" t="n">
        <x:f>IFERROR((F256-$K256)/$K256,"")</x:f>
        <x:v>0</x:v>
      </x:c>
      <x:c r="N256" s="14" t="n">
        <x:f>IFERROR((G256-$K256)/$K256,"")</x:f>
        <x:v>0.8045112781954887</x:v>
      </x:c>
      <x:c r="O256" s="14" t="n">
        <x:f>IFERROR((H256-$K256)/$K256,"")</x:f>
        <x:v>0.7894736842105263</x:v>
      </x:c>
      <x:c r="P256" s="14" t="n">
        <x:f>IFERROR((I256-$K256)/$K256,"")</x:f>
        <x:v>0.6240601503759399</x:v>
      </x:c>
      <x:c r="Q256" s="14" t="n">
        <x:f>IFERROR((J256-$K256)/$K256,"")</x:f>
        <x:v>0.15037593984962405</x:v>
      </x:c>
      <x:c r="R256" t="n">
        <x:f>--(F256=$K256)</x:f>
        <x:v>1</x:v>
      </x:c>
      <x:c r="S256" t="n">
        <x:f>--(G256=$K256)</x:f>
        <x:v>0</x:v>
      </x:c>
      <x:c r="T256" t="n">
        <x:f>--(H256=$K256)</x:f>
        <x:v>0</x:v>
      </x:c>
      <x:c r="U256" t="n">
        <x:f>--(I256=$K256)</x:f>
        <x:v>0</x:v>
      </x:c>
      <x:c r="V256" t="n">
        <x:f>--(J256=$K256)</x:f>
        <x:v>0</x:v>
      </x:c>
    </x:row>
    <x:row r="257" ht="18" customHeight="1">
      <x:c r="A257" t="str">
        <x:v>bpps_d1000n75m5w50_150s10_100f1_seed1</x:v>
      </x:c>
      <x:c r="B257" s="16" t="n">
        <x:v>75</x:v>
      </x:c>
      <x:c r="C257" s="16" t="n">
        <x:v>5</x:v>
      </x:c>
      <x:c r="D257" s="16" t="n">
        <x:v>1000</x:v>
      </x:c>
      <x:c r="E257" s="16" t="n">
        <x:v>260</x:v>
      </x:c>
      <x:c r="F257" s="12" t="n">
        <x:v>130</x:v>
      </x:c>
      <x:c r="G257" s="12" t="n">
        <x:v>201</x:v>
      </x:c>
      <x:c r="H257" s="12" t="n">
        <x:v>194</x:v>
      </x:c>
      <x:c r="I257" s="12" t="n">
        <x:v>187</x:v>
      </x:c>
      <x:c r="J257" s="12" t="n">
        <x:v>138</x:v>
      </x:c>
      <x:c r="K257" s="12" t="n">
        <x:f>MIN(F257:J257)</x:f>
        <x:v>130</x:v>
      </x:c>
      <x:c r="L257" t="str">
        <x:f>TEXTJOIN(", ",TRUE,IF(F257=K257,"IG",""),IF(G257=K257,"FFD",""),IF(H257=K257,"BFD",""),IF(I257=K257,"WFD",""),IF(J257=K257,"CTP",""))</x:f>
        <x:v>IG</x:v>
      </x:c>
      <x:c r="M257" s="14" t="n">
        <x:f>IFERROR((F257-$K257)/$K257,"")</x:f>
        <x:v>0</x:v>
      </x:c>
      <x:c r="N257" s="14" t="n">
        <x:f>IFERROR((G257-$K257)/$K257,"")</x:f>
        <x:v>0.5461538461538461</x:v>
      </x:c>
      <x:c r="O257" s="14" t="n">
        <x:f>IFERROR((H257-$K257)/$K257,"")</x:f>
        <x:v>0.49230769230769234</x:v>
      </x:c>
      <x:c r="P257" s="14" t="n">
        <x:f>IFERROR((I257-$K257)/$K257,"")</x:f>
        <x:v>0.43846153846153846</x:v>
      </x:c>
      <x:c r="Q257" s="14" t="n">
        <x:f>IFERROR((J257-$K257)/$K257,"")</x:f>
        <x:v>0.06153846153846154</x:v>
      </x:c>
      <x:c r="R257" t="n">
        <x:f>--(F257=$K257)</x:f>
        <x:v>1</x:v>
      </x:c>
      <x:c r="S257" t="n">
        <x:f>--(G257=$K257)</x:f>
        <x:v>0</x:v>
      </x:c>
      <x:c r="T257" t="n">
        <x:f>--(H257=$K257)</x:f>
        <x:v>0</x:v>
      </x:c>
      <x:c r="U257" t="n">
        <x:f>--(I257=$K257)</x:f>
        <x:v>0</x:v>
      </x:c>
      <x:c r="V257" t="n">
        <x:f>--(J257=$K257)</x:f>
        <x:v>0</x:v>
      </x:c>
    </x:row>
    <x:row r="258" ht="18" customHeight="1">
      <x:c r="A258" t="str">
        <x:v>bpps_d200n75m10w10_30s20_40f0_seed0</x:v>
      </x:c>
      <x:c r="B258" s="16" t="n">
        <x:v>75</x:v>
      </x:c>
      <x:c r="C258" s="16" t="n">
        <x:v>10</x:v>
      </x:c>
      <x:c r="D258" s="16" t="n">
        <x:v>200</x:v>
      </x:c>
      <x:c r="E258" s="16" t="n">
        <x:v>282</x:v>
      </x:c>
      <x:c r="F258" s="12" t="n">
        <x:v>12</x:v>
      </x:c>
      <x:c r="G258" s="12" t="n">
        <x:v>14</x:v>
      </x:c>
      <x:c r="H258" s="12" t="n">
        <x:v>15</x:v>
      </x:c>
      <x:c r="I258" s="12" t="n">
        <x:v>15</x:v>
      </x:c>
      <x:c r="J258" s="12" t="n">
        <x:v>12</x:v>
      </x:c>
      <x:c r="K258" s="12" t="n">
        <x:f>MIN(F258:J258)</x:f>
        <x:v>12</x:v>
      </x:c>
      <x:c r="L258" t="str">
        <x:f>TEXTJOIN(", ",TRUE,IF(F258=K258,"IG",""),IF(G258=K258,"FFD",""),IF(H258=K258,"BFD",""),IF(I258=K258,"WFD",""),IF(J258=K258,"CTP",""))</x:f>
        <x:v>IG, CTP</x:v>
      </x:c>
      <x:c r="M258" s="14" t="n">
        <x:f>IFERROR((F258-$K258)/$K258,"")</x:f>
        <x:v>0</x:v>
      </x:c>
      <x:c r="N258" s="14" t="n">
        <x:f>IFERROR((G258-$K258)/$K258,"")</x:f>
        <x:v>0.16666666666666666</x:v>
      </x:c>
      <x:c r="O258" s="14" t="n">
        <x:f>IFERROR((H258-$K258)/$K258,"")</x:f>
        <x:v>0.25</x:v>
      </x:c>
      <x:c r="P258" s="14" t="n">
        <x:f>IFERROR((I258-$K258)/$K258,"")</x:f>
        <x:v>0.25</x:v>
      </x:c>
      <x:c r="Q258" s="14" t="n">
        <x:f>IFERROR((J258-$K258)/$K258,"")</x:f>
        <x:v>0</x:v>
      </x:c>
      <x:c r="R258" t="n">
        <x:f>--(F258=$K258)</x:f>
        <x:v>1</x:v>
      </x:c>
      <x:c r="S258" t="n">
        <x:f>--(G258=$K258)</x:f>
        <x:v>0</x:v>
      </x:c>
      <x:c r="T258" t="n">
        <x:f>--(H258=$K258)</x:f>
        <x:v>0</x:v>
      </x:c>
      <x:c r="U258" t="n">
        <x:f>--(I258=$K258)</x:f>
        <x:v>0</x:v>
      </x:c>
      <x:c r="V258" t="n">
        <x:f>--(J258=$K258)</x:f>
        <x:v>1</x:v>
      </x:c>
    </x:row>
    <x:row r="259" ht="18" customHeight="1">
      <x:c r="A259" t="str">
        <x:v>bpps_d200n75m10w10_30s20_40f0_seed1</x:v>
      </x:c>
      <x:c r="B259" s="16" t="n">
        <x:v>75</x:v>
      </x:c>
      <x:c r="C259" s="16" t="n">
        <x:v>10</x:v>
      </x:c>
      <x:c r="D259" s="16" t="n">
        <x:v>200</x:v>
      </x:c>
      <x:c r="E259" s="16" t="n">
        <x:v>318</x:v>
      </x:c>
      <x:c r="F259" s="12" t="n">
        <x:v>12</x:v>
      </x:c>
      <x:c r="G259" s="12" t="n">
        <x:v>15</x:v>
      </x:c>
      <x:c r="H259" s="12" t="n">
        <x:v>15</x:v>
      </x:c>
      <x:c r="I259" s="12" t="n">
        <x:v>15</x:v>
      </x:c>
      <x:c r="J259" s="12" t="n">
        <x:v>13</x:v>
      </x:c>
      <x:c r="K259" s="12" t="n">
        <x:f>MIN(F259:J259)</x:f>
        <x:v>12</x:v>
      </x:c>
      <x:c r="L259" t="str">
        <x:f>TEXTJOIN(", ",TRUE,IF(F259=K259,"IG",""),IF(G259=K259,"FFD",""),IF(H259=K259,"BFD",""),IF(I259=K259,"WFD",""),IF(J259=K259,"CTP",""))</x:f>
        <x:v>IG</x:v>
      </x:c>
      <x:c r="M259" s="14" t="n">
        <x:f>IFERROR((F259-$K259)/$K259,"")</x:f>
        <x:v>0</x:v>
      </x:c>
      <x:c r="N259" s="14" t="n">
        <x:f>IFERROR((G259-$K259)/$K259,"")</x:f>
        <x:v>0.25</x:v>
      </x:c>
      <x:c r="O259" s="14" t="n">
        <x:f>IFERROR((H259-$K259)/$K259,"")</x:f>
        <x:v>0.25</x:v>
      </x:c>
      <x:c r="P259" s="14" t="n">
        <x:f>IFERROR((I259-$K259)/$K259,"")</x:f>
        <x:v>0.25</x:v>
      </x:c>
      <x:c r="Q259" s="14" t="n">
        <x:f>IFERROR((J259-$K259)/$K259,"")</x:f>
        <x:v>0.08333333333333333</x:v>
      </x:c>
      <x:c r="R259" t="n">
        <x:f>--(F259=$K259)</x:f>
        <x:v>1</x:v>
      </x:c>
      <x:c r="S259" t="n">
        <x:f>--(G259=$K259)</x:f>
        <x:v>0</x:v>
      </x:c>
      <x:c r="T259" t="n">
        <x:f>--(H259=$K259)</x:f>
        <x:v>0</x:v>
      </x:c>
      <x:c r="U259" t="n">
        <x:f>--(I259=$K259)</x:f>
        <x:v>0</x:v>
      </x:c>
      <x:c r="V259" t="n">
        <x:f>--(J259=$K259)</x:f>
        <x:v>0</x:v>
      </x:c>
    </x:row>
    <x:row r="260" ht="18" customHeight="1">
      <x:c r="A260" t="str">
        <x:v>bpps_d200n75m10w10_30s20_40f1_seed0</x:v>
      </x:c>
      <x:c r="B260" s="16" t="n">
        <x:v>75</x:v>
      </x:c>
      <x:c r="C260" s="16" t="n">
        <x:v>10</x:v>
      </x:c>
      <x:c r="D260" s="16" t="n">
        <x:v>200</x:v>
      </x:c>
      <x:c r="E260" s="16" t="n">
        <x:v>284</x:v>
      </x:c>
      <x:c r="F260" s="12" t="n">
        <x:v>175</x:v>
      </x:c>
      <x:c r="G260" s="12" t="n">
        <x:v>300</x:v>
      </x:c>
      <x:c r="H260" s="12" t="n">
        <x:v>306</x:v>
      </x:c>
      <x:c r="I260" s="12" t="n">
        <x:v>313</x:v>
      </x:c>
      <x:c r="J260" s="12" t="n">
        <x:v>198</x:v>
      </x:c>
      <x:c r="K260" s="12" t="n">
        <x:f>MIN(F260:J260)</x:f>
        <x:v>175</x:v>
      </x:c>
      <x:c r="L260" t="str">
        <x:f>TEXTJOIN(", ",TRUE,IF(F260=K260,"IG",""),IF(G260=K260,"FFD",""),IF(H260=K260,"BFD",""),IF(I260=K260,"WFD",""),IF(J260=K260,"CTP",""))</x:f>
        <x:v>IG</x:v>
      </x:c>
      <x:c r="M260" s="14" t="n">
        <x:f>IFERROR((F260-$K260)/$K260,"")</x:f>
        <x:v>0</x:v>
      </x:c>
      <x:c r="N260" s="14" t="n">
        <x:f>IFERROR((G260-$K260)/$K260,"")</x:f>
        <x:v>0.7142857142857143</x:v>
      </x:c>
      <x:c r="O260" s="14" t="n">
        <x:f>IFERROR((H260-$K260)/$K260,"")</x:f>
        <x:v>0.7485714285714286</x:v>
      </x:c>
      <x:c r="P260" s="14" t="n">
        <x:f>IFERROR((I260-$K260)/$K260,"")</x:f>
        <x:v>0.7885714285714286</x:v>
      </x:c>
      <x:c r="Q260" s="14" t="n">
        <x:f>IFERROR((J260-$K260)/$K260,"")</x:f>
        <x:v>0.13142857142857142</x:v>
      </x:c>
      <x:c r="R260" t="n">
        <x:f>--(F260=$K260)</x:f>
        <x:v>1</x:v>
      </x:c>
      <x:c r="S260" t="n">
        <x:f>--(G260=$K260)</x:f>
        <x:v>0</x:v>
      </x:c>
      <x:c r="T260" t="n">
        <x:f>--(H260=$K260)</x:f>
        <x:v>0</x:v>
      </x:c>
      <x:c r="U260" t="n">
        <x:f>--(I260=$K260)</x:f>
        <x:v>0</x:v>
      </x:c>
      <x:c r="V260" t="n">
        <x:f>--(J260=$K260)</x:f>
        <x:v>0</x:v>
      </x:c>
    </x:row>
    <x:row r="261" ht="18" customHeight="1">
      <x:c r="A261" t="str">
        <x:v>bpps_d200n75m10w10_30s20_40f1_seed1</x:v>
      </x:c>
      <x:c r="B261" s="16" t="n">
        <x:v>75</x:v>
      </x:c>
      <x:c r="C261" s="16" t="n">
        <x:v>10</x:v>
      </x:c>
      <x:c r="D261" s="16" t="n">
        <x:v>200</x:v>
      </x:c>
      <x:c r="E261" s="16" t="n">
        <x:v>265</x:v>
      </x:c>
      <x:c r="F261" s="12" t="n">
        <x:v>175</x:v>
      </x:c>
      <x:c r="G261" s="12" t="n">
        <x:v>307</x:v>
      </x:c>
      <x:c r="H261" s="12" t="n">
        <x:v>288</x:v>
      </x:c>
      <x:c r="I261" s="12" t="n">
        <x:v>305</x:v>
      </x:c>
      <x:c r="J261" s="12" t="n">
        <x:v>196</x:v>
      </x:c>
      <x:c r="K261" s="12" t="n">
        <x:f>MIN(F261:J261)</x:f>
        <x:v>175</x:v>
      </x:c>
      <x:c r="L261" t="str">
        <x:f>TEXTJOIN(", ",TRUE,IF(F261=K261,"IG",""),IF(G261=K261,"FFD",""),IF(H261=K261,"BFD",""),IF(I261=K261,"WFD",""),IF(J261=K261,"CTP",""))</x:f>
        <x:v>IG</x:v>
      </x:c>
      <x:c r="M261" s="14" t="n">
        <x:f>IFERROR((F261-$K261)/$K261,"")</x:f>
        <x:v>0</x:v>
      </x:c>
      <x:c r="N261" s="14" t="n">
        <x:f>IFERROR((G261-$K261)/$K261,"")</x:f>
        <x:v>0.7542857142857143</x:v>
      </x:c>
      <x:c r="O261" s="14" t="n">
        <x:f>IFERROR((H261-$K261)/$K261,"")</x:f>
        <x:v>0.6457142857142857</x:v>
      </x:c>
      <x:c r="P261" s="14" t="n">
        <x:f>IFERROR((I261-$K261)/$K261,"")</x:f>
        <x:v>0.7428571428571429</x:v>
      </x:c>
      <x:c r="Q261" s="14" t="n">
        <x:f>IFERROR((J261-$K261)/$K261,"")</x:f>
        <x:v>0.12</x:v>
      </x:c>
      <x:c r="R261" t="n">
        <x:f>--(F261=$K261)</x:f>
        <x:v>1</x:v>
      </x:c>
      <x:c r="S261" t="n">
        <x:f>--(G261=$K261)</x:f>
        <x:v>0</x:v>
      </x:c>
      <x:c r="T261" t="n">
        <x:f>--(H261=$K261)</x:f>
        <x:v>0</x:v>
      </x:c>
      <x:c r="U261" t="n">
        <x:f>--(I261=$K261)</x:f>
        <x:v>0</x:v>
      </x:c>
      <x:c r="V261" t="n">
        <x:f>--(J261=$K261)</x:f>
        <x:v>0</x:v>
      </x:c>
    </x:row>
    <x:row r="262" ht="18" customHeight="1">
      <x:c r="A262" t="str">
        <x:v>bpps_d200n75m10w10_30s2_20f0_seed0</x:v>
      </x:c>
      <x:c r="B262" s="16" t="n">
        <x:v>75</x:v>
      </x:c>
      <x:c r="C262" s="16" t="n">
        <x:v>10</x:v>
      </x:c>
      <x:c r="D262" s="16" t="n">
        <x:v>200</x:v>
      </x:c>
      <x:c r="E262" s="16" t="n">
        <x:v>260</x:v>
      </x:c>
      <x:c r="F262" s="12" t="n">
        <x:v>9</x:v>
      </x:c>
      <x:c r="G262" s="12" t="n">
        <x:v>10</x:v>
      </x:c>
      <x:c r="H262" s="12" t="n">
        <x:v>10</x:v>
      </x:c>
      <x:c r="I262" s="12" t="n">
        <x:v>10</x:v>
      </x:c>
      <x:c r="J262" s="12" t="n">
        <x:v>11</x:v>
      </x:c>
      <x:c r="K262" s="12" t="n">
        <x:f>MIN(F262:J262)</x:f>
        <x:v>9</x:v>
      </x:c>
      <x:c r="L262" t="str">
        <x:f>TEXTJOIN(", ",TRUE,IF(F262=K262,"IG",""),IF(G262=K262,"FFD",""),IF(H262=K262,"BFD",""),IF(I262=K262,"WFD",""),IF(J262=K262,"CTP",""))</x:f>
        <x:v>IG</x:v>
      </x:c>
      <x:c r="M262" s="14" t="n">
        <x:f>IFERROR((F262-$K262)/$K262,"")</x:f>
        <x:v>0</x:v>
      </x:c>
      <x:c r="N262" s="14" t="n">
        <x:f>IFERROR((G262-$K262)/$K262,"")</x:f>
        <x:v>0.1111111111111111</x:v>
      </x:c>
      <x:c r="O262" s="14" t="n">
        <x:f>IFERROR((H262-$K262)/$K262,"")</x:f>
        <x:v>0.1111111111111111</x:v>
      </x:c>
      <x:c r="P262" s="14" t="n">
        <x:f>IFERROR((I262-$K262)/$K262,"")</x:f>
        <x:v>0.1111111111111111</x:v>
      </x:c>
      <x:c r="Q262" s="14" t="n">
        <x:f>IFERROR((J262-$K262)/$K262,"")</x:f>
        <x:v>0.2222222222222222</x:v>
      </x:c>
      <x:c r="R262" t="n">
        <x:f>--(F262=$K262)</x:f>
        <x:v>1</x:v>
      </x:c>
      <x:c r="S262" t="n">
        <x:f>--(G262=$K262)</x:f>
        <x:v>0</x:v>
      </x:c>
      <x:c r="T262" t="n">
        <x:f>--(H262=$K262)</x:f>
        <x:v>0</x:v>
      </x:c>
      <x:c r="U262" t="n">
        <x:f>--(I262=$K262)</x:f>
        <x:v>0</x:v>
      </x:c>
      <x:c r="V262" t="n">
        <x:f>--(J262=$K262)</x:f>
        <x:v>0</x:v>
      </x:c>
    </x:row>
    <x:row r="263" ht="18" customHeight="1">
      <x:c r="A263" t="str">
        <x:v>bpps_d200n75m10w10_30s2_20f0_seed1</x:v>
      </x:c>
      <x:c r="B263" s="16" t="n">
        <x:v>75</x:v>
      </x:c>
      <x:c r="C263" s="16" t="n">
        <x:v>10</x:v>
      </x:c>
      <x:c r="D263" s="16" t="n">
        <x:v>200</x:v>
      </x:c>
      <x:c r="E263" s="16" t="n">
        <x:v>270</x:v>
      </x:c>
      <x:c r="F263" s="12" t="n">
        <x:v>10</x:v>
      </x:c>
      <x:c r="G263" s="12" t="n">
        <x:v>10</x:v>
      </x:c>
      <x:c r="H263" s="12" t="n">
        <x:v>10</x:v>
      </x:c>
      <x:c r="I263" s="12" t="n">
        <x:v>11</x:v>
      </x:c>
      <x:c r="J263" s="12" t="n">
        <x:v>11</x:v>
      </x:c>
      <x:c r="K263" s="12" t="n">
        <x:f>MIN(F263:J263)</x:f>
        <x:v>10</x:v>
      </x:c>
      <x:c r="L263" t="str">
        <x:f>TEXTJOIN(", ",TRUE,IF(F263=K263,"IG",""),IF(G263=K263,"FFD",""),IF(H263=K263,"BFD",""),IF(I263=K263,"WFD",""),IF(J263=K263,"CTP",""))</x:f>
        <x:v>IG, FFD, BFD</x:v>
      </x:c>
      <x:c r="M263" s="14" t="n">
        <x:f>IFERROR((F263-$K263)/$K263,"")</x:f>
        <x:v>0</x:v>
      </x:c>
      <x:c r="N263" s="14" t="n">
        <x:f>IFERROR((G263-$K263)/$K263,"")</x:f>
        <x:v>0</x:v>
      </x:c>
      <x:c r="O263" s="14" t="n">
        <x:f>IFERROR((H263-$K263)/$K263,"")</x:f>
        <x:v>0</x:v>
      </x:c>
      <x:c r="P263" s="14" t="n">
        <x:f>IFERROR((I263-$K263)/$K263,"")</x:f>
        <x:v>0.1</x:v>
      </x:c>
      <x:c r="Q263" s="14" t="n">
        <x:f>IFERROR((J263-$K263)/$K263,"")</x:f>
        <x:v>0.1</x:v>
      </x:c>
      <x:c r="R263" t="n">
        <x:f>--(F263=$K263)</x:f>
        <x:v>1</x:v>
      </x:c>
      <x:c r="S263" t="n">
        <x:f>--(G263=$K263)</x:f>
        <x:v>1</x:v>
      </x:c>
      <x:c r="T263" t="n">
        <x:f>--(H263=$K263)</x:f>
        <x:v>1</x:v>
      </x:c>
      <x:c r="U263" t="n">
        <x:f>--(I263=$K263)</x:f>
        <x:v>0</x:v>
      </x:c>
      <x:c r="V263" t="n">
        <x:f>--(J263=$K263)</x:f>
        <x:v>0</x:v>
      </x:c>
    </x:row>
    <x:row r="264" ht="18" customHeight="1">
      <x:c r="A264" t="str">
        <x:v>bpps_d200n75m10w10_30s2_20f1_seed0</x:v>
      </x:c>
      <x:c r="B264" s="16" t="n">
        <x:v>75</x:v>
      </x:c>
      <x:c r="C264" s="16" t="n">
        <x:v>10</x:v>
      </x:c>
      <x:c r="D264" s="16" t="n">
        <x:v>200</x:v>
      </x:c>
      <x:c r="E264" s="16" t="n">
        <x:v>267</x:v>
      </x:c>
      <x:c r="F264" s="12" t="n">
        <x:v>167</x:v>
      </x:c>
      <x:c r="G264" s="12" t="n">
        <x:v>263</x:v>
      </x:c>
      <x:c r="H264" s="12" t="n">
        <x:v>279</x:v>
      </x:c>
      <x:c r="I264" s="12" t="n">
        <x:v>276</x:v>
      </x:c>
      <x:c r="J264" s="12" t="n">
        <x:v>177</x:v>
      </x:c>
      <x:c r="K264" s="12" t="n">
        <x:f>MIN(F264:J264)</x:f>
        <x:v>167</x:v>
      </x:c>
      <x:c r="L264" t="str">
        <x:f>TEXTJOIN(", ",TRUE,IF(F264=K264,"IG",""),IF(G264=K264,"FFD",""),IF(H264=K264,"BFD",""),IF(I264=K264,"WFD",""),IF(J264=K264,"CTP",""))</x:f>
        <x:v>IG</x:v>
      </x:c>
      <x:c r="M264" s="14" t="n">
        <x:f>IFERROR((F264-$K264)/$K264,"")</x:f>
        <x:v>0</x:v>
      </x:c>
      <x:c r="N264" s="14" t="n">
        <x:f>IFERROR((G264-$K264)/$K264,"")</x:f>
        <x:v>0.5748502994011976</x:v>
      </x:c>
      <x:c r="O264" s="14" t="n">
        <x:f>IFERROR((H264-$K264)/$K264,"")</x:f>
        <x:v>0.6706586826347305</x:v>
      </x:c>
      <x:c r="P264" s="14" t="n">
        <x:f>IFERROR((I264-$K264)/$K264,"")</x:f>
        <x:v>0.6526946107784432</x:v>
      </x:c>
      <x:c r="Q264" s="14" t="n">
        <x:f>IFERROR((J264-$K264)/$K264,"")</x:f>
        <x:v>0.059880239520958084</x:v>
      </x:c>
      <x:c r="R264" t="n">
        <x:f>--(F264=$K264)</x:f>
        <x:v>1</x:v>
      </x:c>
      <x:c r="S264" t="n">
        <x:f>--(G264=$K264)</x:f>
        <x:v>0</x:v>
      </x:c>
      <x:c r="T264" t="n">
        <x:f>--(H264=$K264)</x:f>
        <x:v>0</x:v>
      </x:c>
      <x:c r="U264" t="n">
        <x:f>--(I264=$K264)</x:f>
        <x:v>0</x:v>
      </x:c>
      <x:c r="V264" t="n">
        <x:f>--(J264=$K264)</x:f>
        <x:v>0</x:v>
      </x:c>
    </x:row>
    <x:row r="265" ht="18" customHeight="1">
      <x:c r="A265" t="str">
        <x:v>bpps_d200n75m10w10_30s2_20f1_seed1</x:v>
      </x:c>
      <x:c r="B265" s="16" t="n">
        <x:v>75</x:v>
      </x:c>
      <x:c r="C265" s="16" t="n">
        <x:v>10</x:v>
      </x:c>
      <x:c r="D265" s="16" t="n">
        <x:v>200</x:v>
      </x:c>
      <x:c r="E265" s="16" t="n">
        <x:v>293</x:v>
      </x:c>
      <x:c r="F265" s="12" t="n">
        <x:v>153</x:v>
      </x:c>
      <x:c r="G265" s="12" t="n">
        <x:v>276</x:v>
      </x:c>
      <x:c r="H265" s="12" t="n">
        <x:v>270</x:v>
      </x:c>
      <x:c r="I265" s="12" t="n">
        <x:v>270</x:v>
      </x:c>
      <x:c r="J265" s="12" t="n">
        <x:v>169</x:v>
      </x:c>
      <x:c r="K265" s="12" t="n">
        <x:f>MIN(F265:J265)</x:f>
        <x:v>153</x:v>
      </x:c>
      <x:c r="L265" t="str">
        <x:f>TEXTJOIN(", ",TRUE,IF(F265=K265,"IG",""),IF(G265=K265,"FFD",""),IF(H265=K265,"BFD",""),IF(I265=K265,"WFD",""),IF(J265=K265,"CTP",""))</x:f>
        <x:v>IG</x:v>
      </x:c>
      <x:c r="M265" s="14" t="n">
        <x:f>IFERROR((F265-$K265)/$K265,"")</x:f>
        <x:v>0</x:v>
      </x:c>
      <x:c r="N265" s="14" t="n">
        <x:f>IFERROR((G265-$K265)/$K265,"")</x:f>
        <x:v>0.803921568627451</x:v>
      </x:c>
      <x:c r="O265" s="14" t="n">
        <x:f>IFERROR((H265-$K265)/$K265,"")</x:f>
        <x:v>0.7647058823529411</x:v>
      </x:c>
      <x:c r="P265" s="14" t="n">
        <x:f>IFERROR((I265-$K265)/$K265,"")</x:f>
        <x:v>0.7647058823529411</x:v>
      </x:c>
      <x:c r="Q265" s="14" t="n">
        <x:f>IFERROR((J265-$K265)/$K265,"")</x:f>
        <x:v>0.10457516339869281</x:v>
      </x:c>
      <x:c r="R265" t="n">
        <x:f>--(F265=$K265)</x:f>
        <x:v>1</x:v>
      </x:c>
      <x:c r="S265" t="n">
        <x:f>--(G265=$K265)</x:f>
        <x:v>0</x:v>
      </x:c>
      <x:c r="T265" t="n">
        <x:f>--(H265=$K265)</x:f>
        <x:v>0</x:v>
      </x:c>
      <x:c r="U265" t="n">
        <x:f>--(I265=$K265)</x:f>
        <x:v>0</x:v>
      </x:c>
      <x:c r="V265" t="n">
        <x:f>--(J265=$K265)</x:f>
        <x:v>0</x:v>
      </x:c>
    </x:row>
    <x:row r="266" ht="18" customHeight="1">
      <x:c r="A266" t="str">
        <x:v>bpps_d200n75m10w30_60s20_40f0_seed0</x:v>
      </x:c>
      <x:c r="B266" s="16" t="n">
        <x:v>75</x:v>
      </x:c>
      <x:c r="C266" s="16" t="n">
        <x:v>10</x:v>
      </x:c>
      <x:c r="D266" s="16" t="n">
        <x:v>200</x:v>
      </x:c>
      <x:c r="E266" s="16" t="n">
        <x:v>289</x:v>
      </x:c>
      <x:c r="F266" s="12" t="n">
        <x:v>25</x:v>
      </x:c>
      <x:c r="G266" s="12" t="n">
        <x:v>29</x:v>
      </x:c>
      <x:c r="H266" s="12" t="n">
        <x:v>29</x:v>
      </x:c>
      <x:c r="I266" s="12" t="n">
        <x:v>29</x:v>
      </x:c>
      <x:c r="J266" s="12" t="n">
        <x:v>25</x:v>
      </x:c>
      <x:c r="K266" s="12" t="n">
        <x:f>MIN(F266:J266)</x:f>
        <x:v>25</x:v>
      </x:c>
      <x:c r="L266" t="str">
        <x:f>TEXTJOIN(", ",TRUE,IF(F266=K266,"IG",""),IF(G266=K266,"FFD",""),IF(H266=K266,"BFD",""),IF(I266=K266,"WFD",""),IF(J266=K266,"CTP",""))</x:f>
        <x:v>IG, CTP</x:v>
      </x:c>
      <x:c r="M266" s="14" t="n">
        <x:f>IFERROR((F266-$K266)/$K266,"")</x:f>
        <x:v>0</x:v>
      </x:c>
      <x:c r="N266" s="14" t="n">
        <x:f>IFERROR((G266-$K266)/$K266,"")</x:f>
        <x:v>0.16</x:v>
      </x:c>
      <x:c r="O266" s="14" t="n">
        <x:f>IFERROR((H266-$K266)/$K266,"")</x:f>
        <x:v>0.16</x:v>
      </x:c>
      <x:c r="P266" s="14" t="n">
        <x:f>IFERROR((I266-$K266)/$K266,"")</x:f>
        <x:v>0.16</x:v>
      </x:c>
      <x:c r="Q266" s="14" t="n">
        <x:f>IFERROR((J266-$K266)/$K266,"")</x:f>
        <x:v>0</x:v>
      </x:c>
      <x:c r="R266" t="n">
        <x:f>--(F266=$K266)</x:f>
        <x:v>1</x:v>
      </x:c>
      <x:c r="S266" t="n">
        <x:f>--(G266=$K266)</x:f>
        <x:v>0</x:v>
      </x:c>
      <x:c r="T266" t="n">
        <x:f>--(H266=$K266)</x:f>
        <x:v>0</x:v>
      </x:c>
      <x:c r="U266" t="n">
        <x:f>--(I266=$K266)</x:f>
        <x:v>0</x:v>
      </x:c>
      <x:c r="V266" t="n">
        <x:f>--(J266=$K266)</x:f>
        <x:v>1</x:v>
      </x:c>
    </x:row>
    <x:row r="267" ht="18" customHeight="1">
      <x:c r="A267" t="str">
        <x:v>bpps_d200n75m10w30_60s20_40f0_seed1</x:v>
      </x:c>
      <x:c r="B267" s="16" t="n">
        <x:v>75</x:v>
      </x:c>
      <x:c r="C267" s="16" t="n">
        <x:v>10</x:v>
      </x:c>
      <x:c r="D267" s="16" t="n">
        <x:v>200</x:v>
      </x:c>
      <x:c r="E267" s="16" t="n">
        <x:v>281</x:v>
      </x:c>
      <x:c r="F267" s="12" t="n">
        <x:v>25</x:v>
      </x:c>
      <x:c r="G267" s="12" t="n">
        <x:v>27</x:v>
      </x:c>
      <x:c r="H267" s="12" t="n">
        <x:v>27</x:v>
      </x:c>
      <x:c r="I267" s="12" t="n">
        <x:v>28</x:v>
      </x:c>
      <x:c r="J267" s="12" t="n">
        <x:v>25</x:v>
      </x:c>
      <x:c r="K267" s="12" t="n">
        <x:f>MIN(F267:J267)</x:f>
        <x:v>25</x:v>
      </x:c>
      <x:c r="L267" t="str">
        <x:f>TEXTJOIN(", ",TRUE,IF(F267=K267,"IG",""),IF(G267=K267,"FFD",""),IF(H267=K267,"BFD",""),IF(I267=K267,"WFD",""),IF(J267=K267,"CTP",""))</x:f>
        <x:v>IG, CTP</x:v>
      </x:c>
      <x:c r="M267" s="14" t="n">
        <x:f>IFERROR((F267-$K267)/$K267,"")</x:f>
        <x:v>0</x:v>
      </x:c>
      <x:c r="N267" s="14" t="n">
        <x:f>IFERROR((G267-$K267)/$K267,"")</x:f>
        <x:v>0.08</x:v>
      </x:c>
      <x:c r="O267" s="14" t="n">
        <x:f>IFERROR((H267-$K267)/$K267,"")</x:f>
        <x:v>0.08</x:v>
      </x:c>
      <x:c r="P267" s="14" t="n">
        <x:f>IFERROR((I267-$K267)/$K267,"")</x:f>
        <x:v>0.12</x:v>
      </x:c>
      <x:c r="Q267" s="14" t="n">
        <x:f>IFERROR((J267-$K267)/$K267,"")</x:f>
        <x:v>0</x:v>
      </x:c>
      <x:c r="R267" t="n">
        <x:f>--(F267=$K267)</x:f>
        <x:v>1</x:v>
      </x:c>
      <x:c r="S267" t="n">
        <x:f>--(G267=$K267)</x:f>
        <x:v>0</x:v>
      </x:c>
      <x:c r="T267" t="n">
        <x:f>--(H267=$K267)</x:f>
        <x:v>0</x:v>
      </x:c>
      <x:c r="U267" t="n">
        <x:f>--(I267=$K267)</x:f>
        <x:v>0</x:v>
      </x:c>
      <x:c r="V267" t="n">
        <x:f>--(J267=$K267)</x:f>
        <x:v>1</x:v>
      </x:c>
    </x:row>
    <x:row r="268" ht="18" customHeight="1">
      <x:c r="A268" t="str">
        <x:v>bpps_d200n75m10w30_60s20_40f1_seed0</x:v>
      </x:c>
      <x:c r="B268" s="16" t="n">
        <x:v>75</x:v>
      </x:c>
      <x:c r="C268" s="16" t="n">
        <x:v>10</x:v>
      </x:c>
      <x:c r="D268" s="16" t="n">
        <x:v>200</x:v>
      </x:c>
      <x:c r="E268" s="16" t="n">
        <x:v>272</x:v>
      </x:c>
      <x:c r="F268" s="12" t="n">
        <x:v>318</x:v>
      </x:c>
      <x:c r="G268" s="12" t="n">
        <x:v>446</x:v>
      </x:c>
      <x:c r="H268" s="12" t="n">
        <x:v>462</x:v>
      </x:c>
      <x:c r="I268" s="12" t="n">
        <x:v>473</x:v>
      </x:c>
      <x:c r="J268" s="12" t="n">
        <x:v>341</x:v>
      </x:c>
      <x:c r="K268" s="12" t="n">
        <x:f>MIN(F268:J268)</x:f>
        <x:v>318</x:v>
      </x:c>
      <x:c r="L268" t="str">
        <x:f>TEXTJOIN(", ",TRUE,IF(F268=K268,"IG",""),IF(G268=K268,"FFD",""),IF(H268=K268,"BFD",""),IF(I268=K268,"WFD",""),IF(J268=K268,"CTP",""))</x:f>
        <x:v>IG</x:v>
      </x:c>
      <x:c r="M268" s="14" t="n">
        <x:f>IFERROR((F268-$K268)/$K268,"")</x:f>
        <x:v>0</x:v>
      </x:c>
      <x:c r="N268" s="14" t="n">
        <x:f>IFERROR((G268-$K268)/$K268,"")</x:f>
        <x:v>0.4025157232704403</x:v>
      </x:c>
      <x:c r="O268" s="14" t="n">
        <x:f>IFERROR((H268-$K268)/$K268,"")</x:f>
        <x:v>0.4528301886792453</x:v>
      </x:c>
      <x:c r="P268" s="14" t="n">
        <x:f>IFERROR((I268-$K268)/$K268,"")</x:f>
        <x:v>0.48742138364779874</x:v>
      </x:c>
      <x:c r="Q268" s="14" t="n">
        <x:f>IFERROR((J268-$K268)/$K268,"")</x:f>
        <x:v>0.07232704402515723</x:v>
      </x:c>
      <x:c r="R268" t="n">
        <x:f>--(F268=$K268)</x:f>
        <x:v>1</x:v>
      </x:c>
      <x:c r="S268" t="n">
        <x:f>--(G268=$K268)</x:f>
        <x:v>0</x:v>
      </x:c>
      <x:c r="T268" t="n">
        <x:f>--(H268=$K268)</x:f>
        <x:v>0</x:v>
      </x:c>
      <x:c r="U268" t="n">
        <x:f>--(I268=$K268)</x:f>
        <x:v>0</x:v>
      </x:c>
      <x:c r="V268" t="n">
        <x:f>--(J268=$K268)</x:f>
        <x:v>0</x:v>
      </x:c>
    </x:row>
    <x:row r="269" ht="18" customHeight="1">
      <x:c r="A269" t="str">
        <x:v>bpps_d200n75m10w30_60s20_40f1_seed1</x:v>
      </x:c>
      <x:c r="B269" s="16" t="n">
        <x:v>75</x:v>
      </x:c>
      <x:c r="C269" s="16" t="n">
        <x:v>10</x:v>
      </x:c>
      <x:c r="D269" s="16" t="n">
        <x:v>200</x:v>
      </x:c>
      <x:c r="E269" s="16" t="n">
        <x:v>266</x:v>
      </x:c>
      <x:c r="F269" s="12" t="n">
        <x:v>309</x:v>
      </x:c>
      <x:c r="G269" s="12" t="n">
        <x:v>444</x:v>
      </x:c>
      <x:c r="H269" s="12" t="n">
        <x:v>443</x:v>
      </x:c>
      <x:c r="I269" s="12" t="n">
        <x:v>456</x:v>
      </x:c>
      <x:c r="J269" s="12" t="n">
        <x:v>337</x:v>
      </x:c>
      <x:c r="K269" s="12" t="n">
        <x:f>MIN(F269:J269)</x:f>
        <x:v>309</x:v>
      </x:c>
      <x:c r="L269" t="str">
        <x:f>TEXTJOIN(", ",TRUE,IF(F269=K269,"IG",""),IF(G269=K269,"FFD",""),IF(H269=K269,"BFD",""),IF(I269=K269,"WFD",""),IF(J269=K269,"CTP",""))</x:f>
        <x:v>IG</x:v>
      </x:c>
      <x:c r="M269" s="14" t="n">
        <x:f>IFERROR((F269-$K269)/$K269,"")</x:f>
        <x:v>0</x:v>
      </x:c>
      <x:c r="N269" s="14" t="n">
        <x:f>IFERROR((G269-$K269)/$K269,"")</x:f>
        <x:v>0.4368932038834951</x:v>
      </x:c>
      <x:c r="O269" s="14" t="n">
        <x:f>IFERROR((H269-$K269)/$K269,"")</x:f>
        <x:v>0.4336569579288026</x:v>
      </x:c>
      <x:c r="P269" s="14" t="n">
        <x:f>IFERROR((I269-$K269)/$K269,"")</x:f>
        <x:v>0.47572815533980584</x:v>
      </x:c>
      <x:c r="Q269" s="14" t="n">
        <x:f>IFERROR((J269-$K269)/$K269,"")</x:f>
        <x:v>0.09061488673139159</x:v>
      </x:c>
      <x:c r="R269" t="n">
        <x:f>--(F269=$K269)</x:f>
        <x:v>1</x:v>
      </x:c>
      <x:c r="S269" t="n">
        <x:f>--(G269=$K269)</x:f>
        <x:v>0</x:v>
      </x:c>
      <x:c r="T269" t="n">
        <x:f>--(H269=$K269)</x:f>
        <x:v>0</x:v>
      </x:c>
      <x:c r="U269" t="n">
        <x:f>--(I269=$K269)</x:f>
        <x:v>0</x:v>
      </x:c>
      <x:c r="V269" t="n">
        <x:f>--(J269=$K269)</x:f>
        <x:v>0</x:v>
      </x:c>
    </x:row>
    <x:row r="270" ht="18" customHeight="1">
      <x:c r="A270" t="str">
        <x:v>bpps_d200n75m10w30_60s2_20f0_seed0</x:v>
      </x:c>
      <x:c r="B270" s="16" t="n">
        <x:v>75</x:v>
      </x:c>
      <x:c r="C270" s="16" t="n">
        <x:v>10</x:v>
      </x:c>
      <x:c r="D270" s="16" t="n">
        <x:v>200</x:v>
      </x:c>
      <x:c r="E270" s="16" t="n">
        <x:v>292</x:v>
      </x:c>
      <x:c r="F270" s="12" t="n">
        <x:v>21</x:v>
      </x:c>
      <x:c r="G270" s="12" t="n">
        <x:v>22</x:v>
      </x:c>
      <x:c r="H270" s="12" t="n">
        <x:v>22</x:v>
      </x:c>
      <x:c r="I270" s="12" t="n">
        <x:v>22</x:v>
      </x:c>
      <x:c r="J270" s="12" t="n">
        <x:v>21</x:v>
      </x:c>
      <x:c r="K270" s="12" t="n">
        <x:f>MIN(F270:J270)</x:f>
        <x:v>21</x:v>
      </x:c>
      <x:c r="L270" t="str">
        <x:f>TEXTJOIN(", ",TRUE,IF(F270=K270,"IG",""),IF(G270=K270,"FFD",""),IF(H270=K270,"BFD",""),IF(I270=K270,"WFD",""),IF(J270=K270,"CTP",""))</x:f>
        <x:v>IG, CTP</x:v>
      </x:c>
      <x:c r="M270" s="14" t="n">
        <x:f>IFERROR((F270-$K270)/$K270,"")</x:f>
        <x:v>0</x:v>
      </x:c>
      <x:c r="N270" s="14" t="n">
        <x:f>IFERROR((G270-$K270)/$K270,"")</x:f>
        <x:v>0.047619047619047616</x:v>
      </x:c>
      <x:c r="O270" s="14" t="n">
        <x:f>IFERROR((H270-$K270)/$K270,"")</x:f>
        <x:v>0.047619047619047616</x:v>
      </x:c>
      <x:c r="P270" s="14" t="n">
        <x:f>IFERROR((I270-$K270)/$K270,"")</x:f>
        <x:v>0.047619047619047616</x:v>
      </x:c>
      <x:c r="Q270" s="14" t="n">
        <x:f>IFERROR((J270-$K270)/$K270,"")</x:f>
        <x:v>0</x:v>
      </x:c>
      <x:c r="R270" t="n">
        <x:f>--(F270=$K270)</x:f>
        <x:v>1</x:v>
      </x:c>
      <x:c r="S270" t="n">
        <x:f>--(G270=$K270)</x:f>
        <x:v>0</x:v>
      </x:c>
      <x:c r="T270" t="n">
        <x:f>--(H270=$K270)</x:f>
        <x:v>0</x:v>
      </x:c>
      <x:c r="U270" t="n">
        <x:f>--(I270=$K270)</x:f>
        <x:v>0</x:v>
      </x:c>
      <x:c r="V270" t="n">
        <x:f>--(J270=$K270)</x:f>
        <x:v>1</x:v>
      </x:c>
    </x:row>
    <x:row r="271" ht="18" customHeight="1">
      <x:c r="A271" t="str">
        <x:v>bpps_d200n75m10w30_60s2_20f0_seed1</x:v>
      </x:c>
      <x:c r="B271" s="16" t="n">
        <x:v>75</x:v>
      </x:c>
      <x:c r="C271" s="16" t="n">
        <x:v>10</x:v>
      </x:c>
      <x:c r="D271" s="16" t="n">
        <x:v>200</x:v>
      </x:c>
      <x:c r="E271" s="16" t="n">
        <x:v>261</x:v>
      </x:c>
      <x:c r="F271" s="12" t="n">
        <x:v>20</x:v>
      </x:c>
      <x:c r="G271" s="12" t="n">
        <x:v>22</x:v>
      </x:c>
      <x:c r="H271" s="12" t="n">
        <x:v>22</x:v>
      </x:c>
      <x:c r="I271" s="12" t="n">
        <x:v>22</x:v>
      </x:c>
      <x:c r="J271" s="12" t="n">
        <x:v>21</x:v>
      </x:c>
      <x:c r="K271" s="12" t="n">
        <x:f>MIN(F271:J271)</x:f>
        <x:v>20</x:v>
      </x:c>
      <x:c r="L271" t="str">
        <x:f>TEXTJOIN(", ",TRUE,IF(F271=K271,"IG",""),IF(G271=K271,"FFD",""),IF(H271=K271,"BFD",""),IF(I271=K271,"WFD",""),IF(J271=K271,"CTP",""))</x:f>
        <x:v>IG</x:v>
      </x:c>
      <x:c r="M271" s="14" t="n">
        <x:f>IFERROR((F271-$K271)/$K271,"")</x:f>
        <x:v>0</x:v>
      </x:c>
      <x:c r="N271" s="14" t="n">
        <x:f>IFERROR((G271-$K271)/$K271,"")</x:f>
        <x:v>0.1</x:v>
      </x:c>
      <x:c r="O271" s="14" t="n">
        <x:f>IFERROR((H271-$K271)/$K271,"")</x:f>
        <x:v>0.1</x:v>
      </x:c>
      <x:c r="P271" s="14" t="n">
        <x:f>IFERROR((I271-$K271)/$K271,"")</x:f>
        <x:v>0.1</x:v>
      </x:c>
      <x:c r="Q271" s="14" t="n">
        <x:f>IFERROR((J271-$K271)/$K271,"")</x:f>
        <x:v>0.05</x:v>
      </x:c>
      <x:c r="R271" t="n">
        <x:f>--(F271=$K271)</x:f>
        <x:v>1</x:v>
      </x:c>
      <x:c r="S271" t="n">
        <x:f>--(G271=$K271)</x:f>
        <x:v>0</x:v>
      </x:c>
      <x:c r="T271" t="n">
        <x:f>--(H271=$K271)</x:f>
        <x:v>0</x:v>
      </x:c>
      <x:c r="U271" t="n">
        <x:f>--(I271=$K271)</x:f>
        <x:v>0</x:v>
      </x:c>
      <x:c r="V271" t="n">
        <x:f>--(J271=$K271)</x:f>
        <x:v>0</x:v>
      </x:c>
    </x:row>
    <x:row r="272" ht="18" customHeight="1">
      <x:c r="A272" t="str">
        <x:v>bpps_d200n75m10w30_60s2_20f1_seed0</x:v>
      </x:c>
      <x:c r="B272" s="16" t="n">
        <x:v>75</x:v>
      </x:c>
      <x:c r="C272" s="16" t="n">
        <x:v>10</x:v>
      </x:c>
      <x:c r="D272" s="16" t="n">
        <x:v>200</x:v>
      </x:c>
      <x:c r="E272" s="16" t="n">
        <x:v>281</x:v>
      </x:c>
      <x:c r="F272" s="12" t="n">
        <x:v>290</x:v>
      </x:c>
      <x:c r="G272" s="12" t="n">
        <x:v>435</x:v>
      </x:c>
      <x:c r="H272" s="12" t="n">
        <x:v>435</x:v>
      </x:c>
      <x:c r="I272" s="12" t="n">
        <x:v>437</x:v>
      </x:c>
      <x:c r="J272" s="12" t="n">
        <x:v>312</x:v>
      </x:c>
      <x:c r="K272" s="12" t="n">
        <x:f>MIN(F272:J272)</x:f>
        <x:v>290</x:v>
      </x:c>
      <x:c r="L272" t="str">
        <x:f>TEXTJOIN(", ",TRUE,IF(F272=K272,"IG",""),IF(G272=K272,"FFD",""),IF(H272=K272,"BFD",""),IF(I272=K272,"WFD",""),IF(J272=K272,"CTP",""))</x:f>
        <x:v>IG</x:v>
      </x:c>
      <x:c r="M272" s="14" t="n">
        <x:f>IFERROR((F272-$K272)/$K272,"")</x:f>
        <x:v>0</x:v>
      </x:c>
      <x:c r="N272" s="14" t="n">
        <x:f>IFERROR((G272-$K272)/$K272,"")</x:f>
        <x:v>0.5</x:v>
      </x:c>
      <x:c r="O272" s="14" t="n">
        <x:f>IFERROR((H272-$K272)/$K272,"")</x:f>
        <x:v>0.5</x:v>
      </x:c>
      <x:c r="P272" s="14" t="n">
        <x:f>IFERROR((I272-$K272)/$K272,"")</x:f>
        <x:v>0.506896551724138</x:v>
      </x:c>
      <x:c r="Q272" s="14" t="n">
        <x:f>IFERROR((J272-$K272)/$K272,"")</x:f>
        <x:v>0.07586206896551724</x:v>
      </x:c>
      <x:c r="R272" t="n">
        <x:f>--(F272=$K272)</x:f>
        <x:v>1</x:v>
      </x:c>
      <x:c r="S272" t="n">
        <x:f>--(G272=$K272)</x:f>
        <x:v>0</x:v>
      </x:c>
      <x:c r="T272" t="n">
        <x:f>--(H272=$K272)</x:f>
        <x:v>0</x:v>
      </x:c>
      <x:c r="U272" t="n">
        <x:f>--(I272=$K272)</x:f>
        <x:v>0</x:v>
      </x:c>
      <x:c r="V272" t="n">
        <x:f>--(J272=$K272)</x:f>
        <x:v>0</x:v>
      </x:c>
    </x:row>
    <x:row r="273" ht="18" customHeight="1">
      <x:c r="A273" t="str">
        <x:v>bpps_d200n75m10w30_60s2_20f1_seed1</x:v>
      </x:c>
      <x:c r="B273" s="16" t="n">
        <x:v>75</x:v>
      </x:c>
      <x:c r="C273" s="16" t="n">
        <x:v>10</x:v>
      </x:c>
      <x:c r="D273" s="16" t="n">
        <x:v>200</x:v>
      </x:c>
      <x:c r="E273" s="16" t="n">
        <x:v>286</x:v>
      </x:c>
      <x:c r="F273" s="12" t="n">
        <x:v>273</x:v>
      </x:c>
      <x:c r="G273" s="12" t="n">
        <x:v>398</x:v>
      </x:c>
      <x:c r="H273" s="12" t="n">
        <x:v>398</x:v>
      </x:c>
      <x:c r="I273" s="12" t="n">
        <x:v>411</x:v>
      </x:c>
      <x:c r="J273" s="12" t="n">
        <x:v>298</x:v>
      </x:c>
      <x:c r="K273" s="12" t="n">
        <x:f>MIN(F273:J273)</x:f>
        <x:v>273</x:v>
      </x:c>
      <x:c r="L273" t="str">
        <x:f>TEXTJOIN(", ",TRUE,IF(F273=K273,"IG",""),IF(G273=K273,"FFD",""),IF(H273=K273,"BFD",""),IF(I273=K273,"WFD",""),IF(J273=K273,"CTP",""))</x:f>
        <x:v>IG</x:v>
      </x:c>
      <x:c r="M273" s="14" t="n">
        <x:f>IFERROR((F273-$K273)/$K273,"")</x:f>
        <x:v>0</x:v>
      </x:c>
      <x:c r="N273" s="14" t="n">
        <x:f>IFERROR((G273-$K273)/$K273,"")</x:f>
        <x:v>0.45787545787545786</x:v>
      </x:c>
      <x:c r="O273" s="14" t="n">
        <x:f>IFERROR((H273-$K273)/$K273,"")</x:f>
        <x:v>0.45787545787545786</x:v>
      </x:c>
      <x:c r="P273" s="14" t="n">
        <x:f>IFERROR((I273-$K273)/$K273,"")</x:f>
        <x:v>0.5054945054945055</x:v>
      </x:c>
      <x:c r="Q273" s="14" t="n">
        <x:f>IFERROR((J273-$K273)/$K273,"")</x:f>
        <x:v>0.09157509157509157</x:v>
      </x:c>
      <x:c r="R273" t="n">
        <x:f>--(F273=$K273)</x:f>
        <x:v>1</x:v>
      </x:c>
      <x:c r="S273" t="n">
        <x:f>--(G273=$K273)</x:f>
        <x:v>0</x:v>
      </x:c>
      <x:c r="T273" t="n">
        <x:f>--(H273=$K273)</x:f>
        <x:v>0</x:v>
      </x:c>
      <x:c r="U273" t="n">
        <x:f>--(I273=$K273)</x:f>
        <x:v>0</x:v>
      </x:c>
      <x:c r="V273" t="n">
        <x:f>--(J273=$K273)</x:f>
        <x:v>0</x:v>
      </x:c>
    </x:row>
    <x:row r="274" ht="18" customHeight="1">
      <x:c r="A274" t="str">
        <x:v>bpps_d200n75m5w10_30s20_40f0_seed0</x:v>
      </x:c>
      <x:c r="B274" s="16" t="n">
        <x:v>75</x:v>
      </x:c>
      <x:c r="C274" s="16" t="n">
        <x:v>5</x:v>
      </x:c>
      <x:c r="D274" s="16" t="n">
        <x:v>200</x:v>
      </x:c>
      <x:c r="E274" s="16" t="n">
        <x:v>274</x:v>
      </x:c>
      <x:c r="F274" s="12" t="n">
        <x:v>11</x:v>
      </x:c>
      <x:c r="G274" s="12" t="n">
        <x:v>13</x:v>
      </x:c>
      <x:c r="H274" s="12" t="n">
        <x:v>13</x:v>
      </x:c>
      <x:c r="I274" s="12" t="n">
        <x:v>13</x:v>
      </x:c>
      <x:c r="J274" s="12" t="n">
        <x:v>11</x:v>
      </x:c>
      <x:c r="K274" s="12" t="n">
        <x:f>MIN(F274:J274)</x:f>
        <x:v>11</x:v>
      </x:c>
      <x:c r="L274" t="str">
        <x:f>TEXTJOIN(", ",TRUE,IF(F274=K274,"IG",""),IF(G274=K274,"FFD",""),IF(H274=K274,"BFD",""),IF(I274=K274,"WFD",""),IF(J274=K274,"CTP",""))</x:f>
        <x:v>IG, CTP</x:v>
      </x:c>
      <x:c r="M274" s="14" t="n">
        <x:f>IFERROR((F274-$K274)/$K274,"")</x:f>
        <x:v>0</x:v>
      </x:c>
      <x:c r="N274" s="14" t="n">
        <x:f>IFERROR((G274-$K274)/$K274,"")</x:f>
        <x:v>0.18181818181818182</x:v>
      </x:c>
      <x:c r="O274" s="14" t="n">
        <x:f>IFERROR((H274-$K274)/$K274,"")</x:f>
        <x:v>0.18181818181818182</x:v>
      </x:c>
      <x:c r="P274" s="14" t="n">
        <x:f>IFERROR((I274-$K274)/$K274,"")</x:f>
        <x:v>0.18181818181818182</x:v>
      </x:c>
      <x:c r="Q274" s="14" t="n">
        <x:f>IFERROR((J274-$K274)/$K274,"")</x:f>
        <x:v>0</x:v>
      </x:c>
      <x:c r="R274" t="n">
        <x:f>--(F274=$K274)</x:f>
        <x:v>1</x:v>
      </x:c>
      <x:c r="S274" t="n">
        <x:f>--(G274=$K274)</x:f>
        <x:v>0</x:v>
      </x:c>
      <x:c r="T274" t="n">
        <x:f>--(H274=$K274)</x:f>
        <x:v>0</x:v>
      </x:c>
      <x:c r="U274" t="n">
        <x:f>--(I274=$K274)</x:f>
        <x:v>0</x:v>
      </x:c>
      <x:c r="V274" t="n">
        <x:f>--(J274=$K274)</x:f>
        <x:v>1</x:v>
      </x:c>
    </x:row>
    <x:row r="275" ht="18" customHeight="1">
      <x:c r="A275" t="str">
        <x:v>bpps_d200n75m5w10_30s20_40f0_seed1</x:v>
      </x:c>
      <x:c r="B275" s="16" t="n">
        <x:v>75</x:v>
      </x:c>
      <x:c r="C275" s="16" t="n">
        <x:v>5</x:v>
      </x:c>
      <x:c r="D275" s="16" t="n">
        <x:v>200</x:v>
      </x:c>
      <x:c r="E275" s="16" t="n">
        <x:v>275</x:v>
      </x:c>
      <x:c r="F275" s="12" t="n">
        <x:v>11</x:v>
      </x:c>
      <x:c r="G275" s="12" t="n">
        <x:v>14</x:v>
      </x:c>
      <x:c r="H275" s="12" t="n">
        <x:v>14</x:v>
      </x:c>
      <x:c r="I275" s="12" t="n">
        <x:v>14</x:v>
      </x:c>
      <x:c r="J275" s="12" t="n">
        <x:v>11</x:v>
      </x:c>
      <x:c r="K275" s="12" t="n">
        <x:f>MIN(F275:J275)</x:f>
        <x:v>11</x:v>
      </x:c>
      <x:c r="L275" t="str">
        <x:f>TEXTJOIN(", ",TRUE,IF(F275=K275,"IG",""),IF(G275=K275,"FFD",""),IF(H275=K275,"BFD",""),IF(I275=K275,"WFD",""),IF(J275=K275,"CTP",""))</x:f>
        <x:v>IG, CTP</x:v>
      </x:c>
      <x:c r="M275" s="14" t="n">
        <x:f>IFERROR((F275-$K275)/$K275,"")</x:f>
        <x:v>0</x:v>
      </x:c>
      <x:c r="N275" s="14" t="n">
        <x:f>IFERROR((G275-$K275)/$K275,"")</x:f>
        <x:v>0.2727272727272727</x:v>
      </x:c>
      <x:c r="O275" s="14" t="n">
        <x:f>IFERROR((H275-$K275)/$K275,"")</x:f>
        <x:v>0.2727272727272727</x:v>
      </x:c>
      <x:c r="P275" s="14" t="n">
        <x:f>IFERROR((I275-$K275)/$K275,"")</x:f>
        <x:v>0.2727272727272727</x:v>
      </x:c>
      <x:c r="Q275" s="14" t="n">
        <x:f>IFERROR((J275-$K275)/$K275,"")</x:f>
        <x:v>0</x:v>
      </x:c>
      <x:c r="R275" t="n">
        <x:f>--(F275=$K275)</x:f>
        <x:v>1</x:v>
      </x:c>
      <x:c r="S275" t="n">
        <x:f>--(G275=$K275)</x:f>
        <x:v>0</x:v>
      </x:c>
      <x:c r="T275" t="n">
        <x:f>--(H275=$K275)</x:f>
        <x:v>0</x:v>
      </x:c>
      <x:c r="U275" t="n">
        <x:f>--(I275=$K275)</x:f>
        <x:v>0</x:v>
      </x:c>
      <x:c r="V275" t="n">
        <x:f>--(J275=$K275)</x:f>
        <x:v>1</x:v>
      </x:c>
    </x:row>
    <x:row r="276" ht="18" customHeight="1">
      <x:c r="A276" t="str">
        <x:v>bpps_d200n75m5w10_30s20_40f1_seed0</x:v>
      </x:c>
      <x:c r="B276" s="16" t="n">
        <x:v>75</x:v>
      </x:c>
      <x:c r="C276" s="16" t="n">
        <x:v>5</x:v>
      </x:c>
      <x:c r="D276" s="16" t="n">
        <x:v>200</x:v>
      </x:c>
      <x:c r="E276" s="16" t="n">
        <x:v>277</x:v>
      </x:c>
      <x:c r="F276" s="12" t="n">
        <x:v>144</x:v>
      </x:c>
      <x:c r="G276" s="12" t="n">
        <x:v>244</x:v>
      </x:c>
      <x:c r="H276" s="12" t="n">
        <x:v>256</x:v>
      </x:c>
      <x:c r="I276" s="12" t="n">
        <x:v>266</x:v>
      </x:c>
      <x:c r="J276" s="12" t="n">
        <x:v>161</x:v>
      </x:c>
      <x:c r="K276" s="12" t="n">
        <x:f>MIN(F276:J276)</x:f>
        <x:v>144</x:v>
      </x:c>
      <x:c r="L276" t="str">
        <x:f>TEXTJOIN(", ",TRUE,IF(F276=K276,"IG",""),IF(G276=K276,"FFD",""),IF(H276=K276,"BFD",""),IF(I276=K276,"WFD",""),IF(J276=K276,"CTP",""))</x:f>
        <x:v>IG</x:v>
      </x:c>
      <x:c r="M276" s="14" t="n">
        <x:f>IFERROR((F276-$K276)/$K276,"")</x:f>
        <x:v>0</x:v>
      </x:c>
      <x:c r="N276" s="14" t="n">
        <x:f>IFERROR((G276-$K276)/$K276,"")</x:f>
        <x:v>0.6944444444444444</x:v>
      </x:c>
      <x:c r="O276" s="14" t="n">
        <x:f>IFERROR((H276-$K276)/$K276,"")</x:f>
        <x:v>0.7777777777777778</x:v>
      </x:c>
      <x:c r="P276" s="14" t="n">
        <x:f>IFERROR((I276-$K276)/$K276,"")</x:f>
        <x:v>0.8472222222222222</x:v>
      </x:c>
      <x:c r="Q276" s="14" t="n">
        <x:f>IFERROR((J276-$K276)/$K276,"")</x:f>
        <x:v>0.11805555555555555</x:v>
      </x:c>
      <x:c r="R276" t="n">
        <x:f>--(F276=$K276)</x:f>
        <x:v>1</x:v>
      </x:c>
      <x:c r="S276" t="n">
        <x:f>--(G276=$K276)</x:f>
        <x:v>0</x:v>
      </x:c>
      <x:c r="T276" t="n">
        <x:f>--(H276=$K276)</x:f>
        <x:v>0</x:v>
      </x:c>
      <x:c r="U276" t="n">
        <x:f>--(I276=$K276)</x:f>
        <x:v>0</x:v>
      </x:c>
      <x:c r="V276" t="n">
        <x:f>--(J276=$K276)</x:f>
        <x:v>0</x:v>
      </x:c>
    </x:row>
    <x:row r="277" ht="18" customHeight="1">
      <x:c r="A277" t="str">
        <x:v>bpps_d200n75m5w10_30s20_40f1_seed1</x:v>
      </x:c>
      <x:c r="B277" s="16" t="n">
        <x:v>75</x:v>
      </x:c>
      <x:c r="C277" s="16" t="n">
        <x:v>5</x:v>
      </x:c>
      <x:c r="D277" s="16" t="n">
        <x:v>200</x:v>
      </x:c>
      <x:c r="E277" s="16" t="n">
        <x:v>320</x:v>
      </x:c>
      <x:c r="F277" s="12" t="n">
        <x:v>130</x:v>
      </x:c>
      <x:c r="G277" s="12" t="n">
        <x:v>226</x:v>
      </x:c>
      <x:c r="H277" s="12" t="n">
        <x:v>233</x:v>
      </x:c>
      <x:c r="I277" s="12" t="n">
        <x:v>213</x:v>
      </x:c>
      <x:c r="J277" s="12" t="n">
        <x:v>157</x:v>
      </x:c>
      <x:c r="K277" s="12" t="n">
        <x:f>MIN(F277:J277)</x:f>
        <x:v>130</x:v>
      </x:c>
      <x:c r="L277" t="str">
        <x:f>TEXTJOIN(", ",TRUE,IF(F277=K277,"IG",""),IF(G277=K277,"FFD",""),IF(H277=K277,"BFD",""),IF(I277=K277,"WFD",""),IF(J277=K277,"CTP",""))</x:f>
        <x:v>IG</x:v>
      </x:c>
      <x:c r="M277" s="14" t="n">
        <x:f>IFERROR((F277-$K277)/$K277,"")</x:f>
        <x:v>0</x:v>
      </x:c>
      <x:c r="N277" s="14" t="n">
        <x:f>IFERROR((G277-$K277)/$K277,"")</x:f>
        <x:v>0.7384615384615385</x:v>
      </x:c>
      <x:c r="O277" s="14" t="n">
        <x:f>IFERROR((H277-$K277)/$K277,"")</x:f>
        <x:v>0.7923076923076923</x:v>
      </x:c>
      <x:c r="P277" s="14" t="n">
        <x:f>IFERROR((I277-$K277)/$K277,"")</x:f>
        <x:v>0.6384615384615384</x:v>
      </x:c>
      <x:c r="Q277" s="14" t="n">
        <x:f>IFERROR((J277-$K277)/$K277,"")</x:f>
        <x:v>0.2076923076923077</x:v>
      </x:c>
      <x:c r="R277" t="n">
        <x:f>--(F277=$K277)</x:f>
        <x:v>1</x:v>
      </x:c>
      <x:c r="S277" t="n">
        <x:f>--(G277=$K277)</x:f>
        <x:v>0</x:v>
      </x:c>
      <x:c r="T277" t="n">
        <x:f>--(H277=$K277)</x:f>
        <x:v>0</x:v>
      </x:c>
      <x:c r="U277" t="n">
        <x:f>--(I277=$K277)</x:f>
        <x:v>0</x:v>
      </x:c>
      <x:c r="V277" t="n">
        <x:f>--(J277=$K277)</x:f>
        <x:v>0</x:v>
      </x:c>
    </x:row>
    <x:row r="278" ht="18" customHeight="1">
      <x:c r="A278" t="str">
        <x:v>bpps_d200n75m5w10_30s2_20f0_seed0</x:v>
      </x:c>
      <x:c r="B278" s="16" t="n">
        <x:v>75</x:v>
      </x:c>
      <x:c r="C278" s="16" t="n">
        <x:v>5</x:v>
      </x:c>
      <x:c r="D278" s="16" t="n">
        <x:v>200</x:v>
      </x:c>
      <x:c r="E278" s="16" t="n">
        <x:v>281</x:v>
      </x:c>
      <x:c r="F278" s="12" t="n">
        <x:v>9</x:v>
      </x:c>
      <x:c r="G278" s="12" t="n">
        <x:v>10</x:v>
      </x:c>
      <x:c r="H278" s="12" t="n">
        <x:v>9</x:v>
      </x:c>
      <x:c r="I278" s="12" t="n">
        <x:v>9</x:v>
      </x:c>
      <x:c r="J278" s="12" t="n">
        <x:v>10</x:v>
      </x:c>
      <x:c r="K278" s="12" t="n">
        <x:f>MIN(F278:J278)</x:f>
        <x:v>9</x:v>
      </x:c>
      <x:c r="L278" t="str">
        <x:f>TEXTJOIN(", ",TRUE,IF(F278=K278,"IG",""),IF(G278=K278,"FFD",""),IF(H278=K278,"BFD",""),IF(I278=K278,"WFD",""),IF(J278=K278,"CTP",""))</x:f>
        <x:v>IG, BFD, WFD</x:v>
      </x:c>
      <x:c r="M278" s="14" t="n">
        <x:f>IFERROR((F278-$K278)/$K278,"")</x:f>
        <x:v>0</x:v>
      </x:c>
      <x:c r="N278" s="14" t="n">
        <x:f>IFERROR((G278-$K278)/$K278,"")</x:f>
        <x:v>0.1111111111111111</x:v>
      </x:c>
      <x:c r="O278" s="14" t="n">
        <x:f>IFERROR((H278-$K278)/$K278,"")</x:f>
        <x:v>0</x:v>
      </x:c>
      <x:c r="P278" s="14" t="n">
        <x:f>IFERROR((I278-$K278)/$K278,"")</x:f>
        <x:v>0</x:v>
      </x:c>
      <x:c r="Q278" s="14" t="n">
        <x:f>IFERROR((J278-$K278)/$K278,"")</x:f>
        <x:v>0.1111111111111111</x:v>
      </x:c>
      <x:c r="R278" t="n">
        <x:f>--(F278=$K278)</x:f>
        <x:v>1</x:v>
      </x:c>
      <x:c r="S278" t="n">
        <x:f>--(G278=$K278)</x:f>
        <x:v>0</x:v>
      </x:c>
      <x:c r="T278" t="n">
        <x:f>--(H278=$K278)</x:f>
        <x:v>1</x:v>
      </x:c>
      <x:c r="U278" t="n">
        <x:f>--(I278=$K278)</x:f>
        <x:v>1</x:v>
      </x:c>
      <x:c r="V278" t="n">
        <x:f>--(J278=$K278)</x:f>
        <x:v>0</x:v>
      </x:c>
    </x:row>
    <x:row r="279" ht="18" customHeight="1">
      <x:c r="A279" t="str">
        <x:v>bpps_d200n75m5w10_30s2_20f0_seed1</x:v>
      </x:c>
      <x:c r="B279" s="16" t="n">
        <x:v>75</x:v>
      </x:c>
      <x:c r="C279" s="16" t="n">
        <x:v>5</x:v>
      </x:c>
      <x:c r="D279" s="16" t="n">
        <x:v>200</x:v>
      </x:c>
      <x:c r="E279" s="16" t="n">
        <x:v>286</x:v>
      </x:c>
      <x:c r="F279" s="12" t="n">
        <x:v>9</x:v>
      </x:c>
      <x:c r="G279" s="12" t="n">
        <x:v>10</x:v>
      </x:c>
      <x:c r="H279" s="12" t="n">
        <x:v>10</x:v>
      </x:c>
      <x:c r="I279" s="12" t="n">
        <x:v>10</x:v>
      </x:c>
      <x:c r="J279" s="12" t="n">
        <x:v>11</x:v>
      </x:c>
      <x:c r="K279" s="12" t="n">
        <x:f>MIN(F279:J279)</x:f>
        <x:v>9</x:v>
      </x:c>
      <x:c r="L279" t="str">
        <x:f>TEXTJOIN(", ",TRUE,IF(F279=K279,"IG",""),IF(G279=K279,"FFD",""),IF(H279=K279,"BFD",""),IF(I279=K279,"WFD",""),IF(J279=K279,"CTP",""))</x:f>
        <x:v>IG</x:v>
      </x:c>
      <x:c r="M279" s="14" t="n">
        <x:f>IFERROR((F279-$K279)/$K279,"")</x:f>
        <x:v>0</x:v>
      </x:c>
      <x:c r="N279" s="14" t="n">
        <x:f>IFERROR((G279-$K279)/$K279,"")</x:f>
        <x:v>0.1111111111111111</x:v>
      </x:c>
      <x:c r="O279" s="14" t="n">
        <x:f>IFERROR((H279-$K279)/$K279,"")</x:f>
        <x:v>0.1111111111111111</x:v>
      </x:c>
      <x:c r="P279" s="14" t="n">
        <x:f>IFERROR((I279-$K279)/$K279,"")</x:f>
        <x:v>0.1111111111111111</x:v>
      </x:c>
      <x:c r="Q279" s="14" t="n">
        <x:f>IFERROR((J279-$K279)/$K279,"")</x:f>
        <x:v>0.2222222222222222</x:v>
      </x:c>
      <x:c r="R279" t="n">
        <x:f>--(F279=$K279)</x:f>
        <x:v>1</x:v>
      </x:c>
      <x:c r="S279" t="n">
        <x:f>--(G279=$K279)</x:f>
        <x:v>0</x:v>
      </x:c>
      <x:c r="T279" t="n">
        <x:f>--(H279=$K279)</x:f>
        <x:v>0</x:v>
      </x:c>
      <x:c r="U279" t="n">
        <x:f>--(I279=$K279)</x:f>
        <x:v>0</x:v>
      </x:c>
      <x:c r="V279" t="n">
        <x:f>--(J279=$K279)</x:f>
        <x:v>0</x:v>
      </x:c>
    </x:row>
    <x:row r="280" ht="18" customHeight="1">
      <x:c r="A280" t="str">
        <x:v>bpps_d200n75m5w10_30s2_20f1_seed0</x:v>
      </x:c>
      <x:c r="B280" s="16" t="n">
        <x:v>75</x:v>
      </x:c>
      <x:c r="C280" s="16" t="n">
        <x:v>5</x:v>
      </x:c>
      <x:c r="D280" s="16" t="n">
        <x:v>200</x:v>
      </x:c>
      <x:c r="E280" s="16" t="n">
        <x:v>261</x:v>
      </x:c>
      <x:c r="F280" s="12" t="n">
        <x:v>141</x:v>
      </x:c>
      <x:c r="G280" s="12" t="n">
        <x:v>220</x:v>
      </x:c>
      <x:c r="H280" s="12" t="n">
        <x:v>211</x:v>
      </x:c>
      <x:c r="I280" s="12" t="n">
        <x:v>197</x:v>
      </x:c>
      <x:c r="J280" s="12" t="n">
        <x:v>166</x:v>
      </x:c>
      <x:c r="K280" s="12" t="n">
        <x:f>MIN(F280:J280)</x:f>
        <x:v>141</x:v>
      </x:c>
      <x:c r="L280" t="str">
        <x:f>TEXTJOIN(", ",TRUE,IF(F280=K280,"IG",""),IF(G280=K280,"FFD",""),IF(H280=K280,"BFD",""),IF(I280=K280,"WFD",""),IF(J280=K280,"CTP",""))</x:f>
        <x:v>IG</x:v>
      </x:c>
      <x:c r="M280" s="14" t="n">
        <x:f>IFERROR((F280-$K280)/$K280,"")</x:f>
        <x:v>0</x:v>
      </x:c>
      <x:c r="N280" s="14" t="n">
        <x:f>IFERROR((G280-$K280)/$K280,"")</x:f>
        <x:v>0.5602836879432624</x:v>
      </x:c>
      <x:c r="O280" s="14" t="n">
        <x:f>IFERROR((H280-$K280)/$K280,"")</x:f>
        <x:v>0.49645390070921985</x:v>
      </x:c>
      <x:c r="P280" s="14" t="n">
        <x:f>IFERROR((I280-$K280)/$K280,"")</x:f>
        <x:v>0.3971631205673759</x:v>
      </x:c>
      <x:c r="Q280" s="14" t="n">
        <x:f>IFERROR((J280-$K280)/$K280,"")</x:f>
        <x:v>0.1773049645390071</x:v>
      </x:c>
      <x:c r="R280" t="n">
        <x:f>--(F280=$K280)</x:f>
        <x:v>1</x:v>
      </x:c>
      <x:c r="S280" t="n">
        <x:f>--(G280=$K280)</x:f>
        <x:v>0</x:v>
      </x:c>
      <x:c r="T280" t="n">
        <x:f>--(H280=$K280)</x:f>
        <x:v>0</x:v>
      </x:c>
      <x:c r="U280" t="n">
        <x:f>--(I280=$K280)</x:f>
        <x:v>0</x:v>
      </x:c>
      <x:c r="V280" t="n">
        <x:f>--(J280=$K280)</x:f>
        <x:v>0</x:v>
      </x:c>
    </x:row>
    <x:row r="281" ht="18" customHeight="1">
      <x:c r="A281" t="str">
        <x:v>bpps_d200n75m5w10_30s2_20f1_seed1</x:v>
      </x:c>
      <x:c r="B281" s="16" t="n">
        <x:v>75</x:v>
      </x:c>
      <x:c r="C281" s="16" t="n">
        <x:v>5</x:v>
      </x:c>
      <x:c r="D281" s="16" t="n">
        <x:v>200</x:v>
      </x:c>
      <x:c r="E281" s="16" t="n">
        <x:v>281</x:v>
      </x:c>
      <x:c r="F281" s="12" t="n">
        <x:v>121</x:v>
      </x:c>
      <x:c r="G281" s="12" t="n">
        <x:v>177</x:v>
      </x:c>
      <x:c r="H281" s="12" t="n">
        <x:v>177</x:v>
      </x:c>
      <x:c r="I281" s="12" t="n">
        <x:v>175</x:v>
      </x:c>
      <x:c r="J281" s="12" t="n">
        <x:v>144</x:v>
      </x:c>
      <x:c r="K281" s="12" t="n">
        <x:f>MIN(F281:J281)</x:f>
        <x:v>121</x:v>
      </x:c>
      <x:c r="L281" t="str">
        <x:f>TEXTJOIN(", ",TRUE,IF(F281=K281,"IG",""),IF(G281=K281,"FFD",""),IF(H281=K281,"BFD",""),IF(I281=K281,"WFD",""),IF(J281=K281,"CTP",""))</x:f>
        <x:v>IG</x:v>
      </x:c>
      <x:c r="M281" s="14" t="n">
        <x:f>IFERROR((F281-$K281)/$K281,"")</x:f>
        <x:v>0</x:v>
      </x:c>
      <x:c r="N281" s="14" t="n">
        <x:f>IFERROR((G281-$K281)/$K281,"")</x:f>
        <x:v>0.4628099173553719</x:v>
      </x:c>
      <x:c r="O281" s="14" t="n">
        <x:f>IFERROR((H281-$K281)/$K281,"")</x:f>
        <x:v>0.4628099173553719</x:v>
      </x:c>
      <x:c r="P281" s="14" t="n">
        <x:f>IFERROR((I281-$K281)/$K281,"")</x:f>
        <x:v>0.4462809917355372</x:v>
      </x:c>
      <x:c r="Q281" s="14" t="n">
        <x:f>IFERROR((J281-$K281)/$K281,"")</x:f>
        <x:v>0.19008264462809918</x:v>
      </x:c>
      <x:c r="R281" t="n">
        <x:f>--(F281=$K281)</x:f>
        <x:v>1</x:v>
      </x:c>
      <x:c r="S281" t="n">
        <x:f>--(G281=$K281)</x:f>
        <x:v>0</x:v>
      </x:c>
      <x:c r="T281" t="n">
        <x:f>--(H281=$K281)</x:f>
        <x:v>0</x:v>
      </x:c>
      <x:c r="U281" t="n">
        <x:f>--(I281=$K281)</x:f>
        <x:v>0</x:v>
      </x:c>
      <x:c r="V281" t="n">
        <x:f>--(J281=$K281)</x:f>
        <x:v>0</x:v>
      </x:c>
    </x:row>
    <x:row r="282" ht="18" customHeight="1">
      <x:c r="A282" t="str">
        <x:v>bpps_d200n75m5w30_60s20_40f0_seed0</x:v>
      </x:c>
      <x:c r="B282" s="16" t="n">
        <x:v>75</x:v>
      </x:c>
      <x:c r="C282" s="16" t="n">
        <x:v>5</x:v>
      </x:c>
      <x:c r="D282" s="16" t="n">
        <x:v>200</x:v>
      </x:c>
      <x:c r="E282" s="16" t="n">
        <x:v>277</x:v>
      </x:c>
      <x:c r="F282" s="12" t="n">
        <x:v>24</x:v>
      </x:c>
      <x:c r="G282" s="12" t="n">
        <x:v>28</x:v>
      </x:c>
      <x:c r="H282" s="12" t="n">
        <x:v>28</x:v>
      </x:c>
      <x:c r="I282" s="12" t="n">
        <x:v>28</x:v>
      </x:c>
      <x:c r="J282" s="12" t="n">
        <x:v>24</x:v>
      </x:c>
      <x:c r="K282" s="12" t="n">
        <x:f>MIN(F282:J282)</x:f>
        <x:v>24</x:v>
      </x:c>
      <x:c r="L282" t="str">
        <x:f>TEXTJOIN(", ",TRUE,IF(F282=K282,"IG",""),IF(G282=K282,"FFD",""),IF(H282=K282,"BFD",""),IF(I282=K282,"WFD",""),IF(J282=K282,"CTP",""))</x:f>
        <x:v>IG, CTP</x:v>
      </x:c>
      <x:c r="M282" s="14" t="n">
        <x:f>IFERROR((F282-$K282)/$K282,"")</x:f>
        <x:v>0</x:v>
      </x:c>
      <x:c r="N282" s="14" t="n">
        <x:f>IFERROR((G282-$K282)/$K282,"")</x:f>
        <x:v>0.16666666666666666</x:v>
      </x:c>
      <x:c r="O282" s="14" t="n">
        <x:f>IFERROR((H282-$K282)/$K282,"")</x:f>
        <x:v>0.16666666666666666</x:v>
      </x:c>
      <x:c r="P282" s="14" t="n">
        <x:f>IFERROR((I282-$K282)/$K282,"")</x:f>
        <x:v>0.16666666666666666</x:v>
      </x:c>
      <x:c r="Q282" s="14" t="n">
        <x:f>IFERROR((J282-$K282)/$K282,"")</x:f>
        <x:v>0</x:v>
      </x:c>
      <x:c r="R282" t="n">
        <x:f>--(F282=$K282)</x:f>
        <x:v>1</x:v>
      </x:c>
      <x:c r="S282" t="n">
        <x:f>--(G282=$K282)</x:f>
        <x:v>0</x:v>
      </x:c>
      <x:c r="T282" t="n">
        <x:f>--(H282=$K282)</x:f>
        <x:v>0</x:v>
      </x:c>
      <x:c r="U282" t="n">
        <x:f>--(I282=$K282)</x:f>
        <x:v>0</x:v>
      </x:c>
      <x:c r="V282" t="n">
        <x:f>--(J282=$K282)</x:f>
        <x:v>1</x:v>
      </x:c>
    </x:row>
    <x:row r="283" ht="18" customHeight="1">
      <x:c r="A283" t="str">
        <x:v>bpps_d200n75m5w30_60s20_40f0_seed1</x:v>
      </x:c>
      <x:c r="B283" s="16" t="n">
        <x:v>75</x:v>
      </x:c>
      <x:c r="C283" s="16" t="n">
        <x:v>5</x:v>
      </x:c>
      <x:c r="D283" s="16" t="n">
        <x:v>200</x:v>
      </x:c>
      <x:c r="E283" s="16" t="n">
        <x:v>267</x:v>
      </x:c>
      <x:c r="F283" s="12" t="n">
        <x:v>23</x:v>
      </x:c>
      <x:c r="G283" s="12" t="n">
        <x:v>26</x:v>
      </x:c>
      <x:c r="H283" s="12" t="n">
        <x:v>26</x:v>
      </x:c>
      <x:c r="I283" s="12" t="n">
        <x:v>27</x:v>
      </x:c>
      <x:c r="J283" s="12" t="n">
        <x:v>23</x:v>
      </x:c>
      <x:c r="K283" s="12" t="n">
        <x:f>MIN(F283:J283)</x:f>
        <x:v>23</x:v>
      </x:c>
      <x:c r="L283" t="str">
        <x:f>TEXTJOIN(", ",TRUE,IF(F283=K283,"IG",""),IF(G283=K283,"FFD",""),IF(H283=K283,"BFD",""),IF(I283=K283,"WFD",""),IF(J283=K283,"CTP",""))</x:f>
        <x:v>IG, CTP</x:v>
      </x:c>
      <x:c r="M283" s="14" t="n">
        <x:f>IFERROR((F283-$K283)/$K283,"")</x:f>
        <x:v>0</x:v>
      </x:c>
      <x:c r="N283" s="14" t="n">
        <x:f>IFERROR((G283-$K283)/$K283,"")</x:f>
        <x:v>0.13043478260869565</x:v>
      </x:c>
      <x:c r="O283" s="14" t="n">
        <x:f>IFERROR((H283-$K283)/$K283,"")</x:f>
        <x:v>0.13043478260869565</x:v>
      </x:c>
      <x:c r="P283" s="14" t="n">
        <x:f>IFERROR((I283-$K283)/$K283,"")</x:f>
        <x:v>0.17391304347826086</x:v>
      </x:c>
      <x:c r="Q283" s="14" t="n">
        <x:f>IFERROR((J283-$K283)/$K283,"")</x:f>
        <x:v>0</x:v>
      </x:c>
      <x:c r="R283" t="n">
        <x:f>--(F283=$K283)</x:f>
        <x:v>1</x:v>
      </x:c>
      <x:c r="S283" t="n">
        <x:f>--(G283=$K283)</x:f>
        <x:v>0</x:v>
      </x:c>
      <x:c r="T283" t="n">
        <x:f>--(H283=$K283)</x:f>
        <x:v>0</x:v>
      </x:c>
      <x:c r="U283" t="n">
        <x:f>--(I283=$K283)</x:f>
        <x:v>0</x:v>
      </x:c>
      <x:c r="V283" t="n">
        <x:f>--(J283=$K283)</x:f>
        <x:v>1</x:v>
      </x:c>
    </x:row>
    <x:row r="284" ht="18" customHeight="1">
      <x:c r="A284" t="str">
        <x:v>bpps_d200n75m5w30_60s20_40f1_seed0</x:v>
      </x:c>
      <x:c r="B284" s="16" t="n">
        <x:v>75</x:v>
      </x:c>
      <x:c r="C284" s="16" t="n">
        <x:v>5</x:v>
      </x:c>
      <x:c r="D284" s="16" t="n">
        <x:v>200</x:v>
      </x:c>
      <x:c r="E284" s="16" t="n">
        <x:v>267</x:v>
      </x:c>
      <x:c r="F284" s="12" t="n">
        <x:v>299</x:v>
      </x:c>
      <x:c r="G284" s="12" t="n">
        <x:v>378</x:v>
      </x:c>
      <x:c r="H284" s="12" t="n">
        <x:v>403</x:v>
      </x:c>
      <x:c r="I284" s="12" t="n">
        <x:v>397</x:v>
      </x:c>
      <x:c r="J284" s="12" t="n">
        <x:v>318</x:v>
      </x:c>
      <x:c r="K284" s="12" t="n">
        <x:f>MIN(F284:J284)</x:f>
        <x:v>299</x:v>
      </x:c>
      <x:c r="L284" t="str">
        <x:f>TEXTJOIN(", ",TRUE,IF(F284=K284,"IG",""),IF(G284=K284,"FFD",""),IF(H284=K284,"BFD",""),IF(I284=K284,"WFD",""),IF(J284=K284,"CTP",""))</x:f>
        <x:v>IG</x:v>
      </x:c>
      <x:c r="M284" s="14" t="n">
        <x:f>IFERROR((F284-$K284)/$K284,"")</x:f>
        <x:v>0</x:v>
      </x:c>
      <x:c r="N284" s="14" t="n">
        <x:f>IFERROR((G284-$K284)/$K284,"")</x:f>
        <x:v>0.26421404682274247</x:v>
      </x:c>
      <x:c r="O284" s="14" t="n">
        <x:f>IFERROR((H284-$K284)/$K284,"")</x:f>
        <x:v>0.34782608695652173</x:v>
      </x:c>
      <x:c r="P284" s="14" t="n">
        <x:f>IFERROR((I284-$K284)/$K284,"")</x:f>
        <x:v>0.3277591973244147</x:v>
      </x:c>
      <x:c r="Q284" s="14" t="n">
        <x:f>IFERROR((J284-$K284)/$K284,"")</x:f>
        <x:v>0.06354515050167224</x:v>
      </x:c>
      <x:c r="R284" t="n">
        <x:f>--(F284=$K284)</x:f>
        <x:v>1</x:v>
      </x:c>
      <x:c r="S284" t="n">
        <x:f>--(G284=$K284)</x:f>
        <x:v>0</x:v>
      </x:c>
      <x:c r="T284" t="n">
        <x:f>--(H284=$K284)</x:f>
        <x:v>0</x:v>
      </x:c>
      <x:c r="U284" t="n">
        <x:f>--(I284=$K284)</x:f>
        <x:v>0</x:v>
      </x:c>
      <x:c r="V284" t="n">
        <x:f>--(J284=$K284)</x:f>
        <x:v>0</x:v>
      </x:c>
    </x:row>
    <x:row r="285" ht="18" customHeight="1">
      <x:c r="A285" t="str">
        <x:v>bpps_d200n75m5w30_60s20_40f1_seed1</x:v>
      </x:c>
      <x:c r="B285" s="16" t="n">
        <x:v>75</x:v>
      </x:c>
      <x:c r="C285" s="16" t="n">
        <x:v>5</x:v>
      </x:c>
      <x:c r="D285" s="16" t="n">
        <x:v>200</x:v>
      </x:c>
      <x:c r="E285" s="16" t="n">
        <x:v>291</x:v>
      </x:c>
      <x:c r="F285" s="12" t="n">
        <x:v>288</x:v>
      </x:c>
      <x:c r="G285" s="12" t="n">
        <x:v>400</x:v>
      </x:c>
      <x:c r="H285" s="12" t="n">
        <x:v>400</x:v>
      </x:c>
      <x:c r="I285" s="12" t="n">
        <x:v>393</x:v>
      </x:c>
      <x:c r="J285" s="12" t="n">
        <x:v>304</x:v>
      </x:c>
      <x:c r="K285" s="12" t="n">
        <x:f>MIN(F285:J285)</x:f>
        <x:v>288</x:v>
      </x:c>
      <x:c r="L285" t="str">
        <x:f>TEXTJOIN(", ",TRUE,IF(F285=K285,"IG",""),IF(G285=K285,"FFD",""),IF(H285=K285,"BFD",""),IF(I285=K285,"WFD",""),IF(J285=K285,"CTP",""))</x:f>
        <x:v>IG</x:v>
      </x:c>
      <x:c r="M285" s="14" t="n">
        <x:f>IFERROR((F285-$K285)/$K285,"")</x:f>
        <x:v>0</x:v>
      </x:c>
      <x:c r="N285" s="14" t="n">
        <x:f>IFERROR((G285-$K285)/$K285,"")</x:f>
        <x:v>0.3888888888888889</x:v>
      </x:c>
      <x:c r="O285" s="14" t="n">
        <x:f>IFERROR((H285-$K285)/$K285,"")</x:f>
        <x:v>0.3888888888888889</x:v>
      </x:c>
      <x:c r="P285" s="14" t="n">
        <x:f>IFERROR((I285-$K285)/$K285,"")</x:f>
        <x:v>0.3645833333333333</x:v>
      </x:c>
      <x:c r="Q285" s="14" t="n">
        <x:f>IFERROR((J285-$K285)/$K285,"")</x:f>
        <x:v>0.05555555555555555</x:v>
      </x:c>
      <x:c r="R285" t="n">
        <x:f>--(F285=$K285)</x:f>
        <x:v>1</x:v>
      </x:c>
      <x:c r="S285" t="n">
        <x:f>--(G285=$K285)</x:f>
        <x:v>0</x:v>
      </x:c>
      <x:c r="T285" t="n">
        <x:f>--(H285=$K285)</x:f>
        <x:v>0</x:v>
      </x:c>
      <x:c r="U285" t="n">
        <x:f>--(I285=$K285)</x:f>
        <x:v>0</x:v>
      </x:c>
      <x:c r="V285" t="n">
        <x:f>--(J285=$K285)</x:f>
        <x:v>0</x:v>
      </x:c>
    </x:row>
    <x:row r="286" ht="18" customHeight="1">
      <x:c r="A286" t="str">
        <x:v>bpps_d200n75m5w30_60s2_20f0_seed0</x:v>
      </x:c>
      <x:c r="B286" s="16" t="n">
        <x:v>75</x:v>
      </x:c>
      <x:c r="C286" s="16" t="n">
        <x:v>5</x:v>
      </x:c>
      <x:c r="D286" s="16" t="n">
        <x:v>200</x:v>
      </x:c>
      <x:c r="E286" s="16" t="n">
        <x:v>271</x:v>
      </x:c>
      <x:c r="F286" s="12" t="n">
        <x:v>21</x:v>
      </x:c>
      <x:c r="G286" s="12" t="n">
        <x:v>23</x:v>
      </x:c>
      <x:c r="H286" s="12" t="n">
        <x:v>23</x:v>
      </x:c>
      <x:c r="I286" s="12" t="n">
        <x:v>23</x:v>
      </x:c>
      <x:c r="J286" s="12" t="n">
        <x:v>22</x:v>
      </x:c>
      <x:c r="K286" s="12" t="n">
        <x:f>MIN(F286:J286)</x:f>
        <x:v>21</x:v>
      </x:c>
      <x:c r="L286" t="str">
        <x:f>TEXTJOIN(", ",TRUE,IF(F286=K286,"IG",""),IF(G286=K286,"FFD",""),IF(H286=K286,"BFD",""),IF(I286=K286,"WFD",""),IF(J286=K286,"CTP",""))</x:f>
        <x:v>IG</x:v>
      </x:c>
      <x:c r="M286" s="14" t="n">
        <x:f>IFERROR((F286-$K286)/$K286,"")</x:f>
        <x:v>0</x:v>
      </x:c>
      <x:c r="N286" s="14" t="n">
        <x:f>IFERROR((G286-$K286)/$K286,"")</x:f>
        <x:v>0.09523809523809523</x:v>
      </x:c>
      <x:c r="O286" s="14" t="n">
        <x:f>IFERROR((H286-$K286)/$K286,"")</x:f>
        <x:v>0.09523809523809523</x:v>
      </x:c>
      <x:c r="P286" s="14" t="n">
        <x:f>IFERROR((I286-$K286)/$K286,"")</x:f>
        <x:v>0.09523809523809523</x:v>
      </x:c>
      <x:c r="Q286" s="14" t="n">
        <x:f>IFERROR((J286-$K286)/$K286,"")</x:f>
        <x:v>0.047619047619047616</x:v>
      </x:c>
      <x:c r="R286" t="n">
        <x:f>--(F286=$K286)</x:f>
        <x:v>1</x:v>
      </x:c>
      <x:c r="S286" t="n">
        <x:f>--(G286=$K286)</x:f>
        <x:v>0</x:v>
      </x:c>
      <x:c r="T286" t="n">
        <x:f>--(H286=$K286)</x:f>
        <x:v>0</x:v>
      </x:c>
      <x:c r="U286" t="n">
        <x:f>--(I286=$K286)</x:f>
        <x:v>0</x:v>
      </x:c>
      <x:c r="V286" t="n">
        <x:f>--(J286=$K286)</x:f>
        <x:v>0</x:v>
      </x:c>
    </x:row>
    <x:row r="287" ht="18" customHeight="1">
      <x:c r="A287" t="str">
        <x:v>bpps_d200n75m5w30_60s2_20f0_seed1</x:v>
      </x:c>
      <x:c r="B287" s="16" t="n">
        <x:v>75</x:v>
      </x:c>
      <x:c r="C287" s="16" t="n">
        <x:v>5</x:v>
      </x:c>
      <x:c r="D287" s="16" t="n">
        <x:v>200</x:v>
      </x:c>
      <x:c r="E287" s="16" t="n">
        <x:v>283</x:v>
      </x:c>
      <x:c r="F287" s="12" t="n">
        <x:v>21</x:v>
      </x:c>
      <x:c r="G287" s="12" t="n">
        <x:v>22</x:v>
      </x:c>
      <x:c r="H287" s="12" t="n">
        <x:v>21</x:v>
      </x:c>
      <x:c r="I287" s="12" t="n">
        <x:v>22</x:v>
      </x:c>
      <x:c r="J287" s="12" t="n">
        <x:v>21</x:v>
      </x:c>
      <x:c r="K287" s="12" t="n">
        <x:f>MIN(F287:J287)</x:f>
        <x:v>21</x:v>
      </x:c>
      <x:c r="L287" t="str">
        <x:f>TEXTJOIN(", ",TRUE,IF(F287=K287,"IG",""),IF(G287=K287,"FFD",""),IF(H287=K287,"BFD",""),IF(I287=K287,"WFD",""),IF(J287=K287,"CTP",""))</x:f>
        <x:v>IG, BFD, CTP</x:v>
      </x:c>
      <x:c r="M287" s="14" t="n">
        <x:f>IFERROR((F287-$K287)/$K287,"")</x:f>
        <x:v>0</x:v>
      </x:c>
      <x:c r="N287" s="14" t="n">
        <x:f>IFERROR((G287-$K287)/$K287,"")</x:f>
        <x:v>0.047619047619047616</x:v>
      </x:c>
      <x:c r="O287" s="14" t="n">
        <x:f>IFERROR((H287-$K287)/$K287,"")</x:f>
        <x:v>0</x:v>
      </x:c>
      <x:c r="P287" s="14" t="n">
        <x:f>IFERROR((I287-$K287)/$K287,"")</x:f>
        <x:v>0.047619047619047616</x:v>
      </x:c>
      <x:c r="Q287" s="14" t="n">
        <x:f>IFERROR((J287-$K287)/$K287,"")</x:f>
        <x:v>0</x:v>
      </x:c>
      <x:c r="R287" t="n">
        <x:f>--(F287=$K287)</x:f>
        <x:v>1</x:v>
      </x:c>
      <x:c r="S287" t="n">
        <x:f>--(G287=$K287)</x:f>
        <x:v>0</x:v>
      </x:c>
      <x:c r="T287" t="n">
        <x:f>--(H287=$K287)</x:f>
        <x:v>1</x:v>
      </x:c>
      <x:c r="U287" t="n">
        <x:f>--(I287=$K287)</x:f>
        <x:v>0</x:v>
      </x:c>
      <x:c r="V287" t="n">
        <x:f>--(J287=$K287)</x:f>
        <x:v>1</x:v>
      </x:c>
    </x:row>
    <x:row r="288" ht="18" customHeight="1">
      <x:c r="A288" t="str">
        <x:v>bpps_d200n75m5w30_60s2_20f1_seed0</x:v>
      </x:c>
      <x:c r="B288" s="16" t="n">
        <x:v>75</x:v>
      </x:c>
      <x:c r="C288" s="16" t="n">
        <x:v>5</x:v>
      </x:c>
      <x:c r="D288" s="16" t="n">
        <x:v>200</x:v>
      </x:c>
      <x:c r="E288" s="16" t="n">
        <x:v>291</x:v>
      </x:c>
      <x:c r="F288" s="12" t="n">
        <x:v>266</x:v>
      </x:c>
      <x:c r="G288" s="12" t="n">
        <x:v>381</x:v>
      </x:c>
      <x:c r="H288" s="12" t="n">
        <x:v>377</x:v>
      </x:c>
      <x:c r="I288" s="12" t="n">
        <x:v>386</x:v>
      </x:c>
      <x:c r="J288" s="12" t="n">
        <x:v>286</x:v>
      </x:c>
      <x:c r="K288" s="12" t="n">
        <x:f>MIN(F288:J288)</x:f>
        <x:v>266</x:v>
      </x:c>
      <x:c r="L288" t="str">
        <x:f>TEXTJOIN(", ",TRUE,IF(F288=K288,"IG",""),IF(G288=K288,"FFD",""),IF(H288=K288,"BFD",""),IF(I288=K288,"WFD",""),IF(J288=K288,"CTP",""))</x:f>
        <x:v>IG</x:v>
      </x:c>
      <x:c r="M288" s="14" t="n">
        <x:f>IFERROR((F288-$K288)/$K288,"")</x:f>
        <x:v>0</x:v>
      </x:c>
      <x:c r="N288" s="14" t="n">
        <x:f>IFERROR((G288-$K288)/$K288,"")</x:f>
        <x:v>0.4323308270676692</x:v>
      </x:c>
      <x:c r="O288" s="14" t="n">
        <x:f>IFERROR((H288-$K288)/$K288,"")</x:f>
        <x:v>0.41729323308270677</x:v>
      </x:c>
      <x:c r="P288" s="14" t="n">
        <x:f>IFERROR((I288-$K288)/$K288,"")</x:f>
        <x:v>0.45112781954887216</x:v>
      </x:c>
      <x:c r="Q288" s="14" t="n">
        <x:f>IFERROR((J288-$K288)/$K288,"")</x:f>
        <x:v>0.07518796992481203</x:v>
      </x:c>
      <x:c r="R288" t="n">
        <x:f>--(F288=$K288)</x:f>
        <x:v>1</x:v>
      </x:c>
      <x:c r="S288" t="n">
        <x:f>--(G288=$K288)</x:f>
        <x:v>0</x:v>
      </x:c>
      <x:c r="T288" t="n">
        <x:f>--(H288=$K288)</x:f>
        <x:v>0</x:v>
      </x:c>
      <x:c r="U288" t="n">
        <x:f>--(I288=$K288)</x:f>
        <x:v>0</x:v>
      </x:c>
      <x:c r="V288" t="n">
        <x:f>--(J288=$K288)</x:f>
        <x:v>0</x:v>
      </x:c>
    </x:row>
    <x:row r="289" ht="18" customHeight="1">
      <x:c r="A289" t="str">
        <x:v>bpps_d200n75m5w30_60s2_20f1_seed1</x:v>
      </x:c>
      <x:c r="B289" s="16" t="n">
        <x:v>75</x:v>
      </x:c>
      <x:c r="C289" s="16" t="n">
        <x:v>5</x:v>
      </x:c>
      <x:c r="D289" s="16" t="n">
        <x:v>200</x:v>
      </x:c>
      <x:c r="E289" s="16" t="n">
        <x:v>261</x:v>
      </x:c>
      <x:c r="F289" s="12" t="n">
        <x:v>252</x:v>
      </x:c>
      <x:c r="G289" s="12" t="n">
        <x:v>348</x:v>
      </x:c>
      <x:c r="H289" s="12" t="n">
        <x:v>348</x:v>
      </x:c>
      <x:c r="I289" s="12" t="n">
        <x:v>349</x:v>
      </x:c>
      <x:c r="J289" s="12" t="n">
        <x:v>260</x:v>
      </x:c>
      <x:c r="K289" s="12" t="n">
        <x:f>MIN(F289:J289)</x:f>
        <x:v>252</x:v>
      </x:c>
      <x:c r="L289" t="str">
        <x:f>TEXTJOIN(", ",TRUE,IF(F289=K289,"IG",""),IF(G289=K289,"FFD",""),IF(H289=K289,"BFD",""),IF(I289=K289,"WFD",""),IF(J289=K289,"CTP",""))</x:f>
        <x:v>IG</x:v>
      </x:c>
      <x:c r="M289" s="14" t="n">
        <x:f>IFERROR((F289-$K289)/$K289,"")</x:f>
        <x:v>0</x:v>
      </x:c>
      <x:c r="N289" s="14" t="n">
        <x:f>IFERROR((G289-$K289)/$K289,"")</x:f>
        <x:v>0.38095238095238093</x:v>
      </x:c>
      <x:c r="O289" s="14" t="n">
        <x:f>IFERROR((H289-$K289)/$K289,"")</x:f>
        <x:v>0.38095238095238093</x:v>
      </x:c>
      <x:c r="P289" s="14" t="n">
        <x:f>IFERROR((I289-$K289)/$K289,"")</x:f>
        <x:v>0.38492063492063494</x:v>
      </x:c>
      <x:c r="Q289" s="14" t="n">
        <x:f>IFERROR((J289-$K289)/$K289,"")</x:f>
        <x:v>0.031746031746031744</x:v>
      </x:c>
      <x:c r="R289" t="n">
        <x:f>--(F289=$K289)</x:f>
        <x:v>1</x:v>
      </x:c>
      <x:c r="S289" t="n">
        <x:f>--(G289=$K289)</x:f>
        <x:v>0</x:v>
      </x:c>
      <x:c r="T289" t="n">
        <x:f>--(H289=$K289)</x:f>
        <x:v>0</x:v>
      </x:c>
      <x:c r="U289" t="n">
        <x:f>--(I289=$K289)</x:f>
        <x:v>0</x:v>
      </x:c>
      <x:c r="V289" t="n">
        <x:f>--(J289=$K289)</x:f>
        <x:v>0</x:v>
      </x:c>
    </x:row>
    <x:row r="290" ht="18" customHeight="1">
      <x:c r="A290" t="str">
        <x:v>bpps_d10000n100m10w1500_3000s1000_2000f0_seed0</x:v>
      </x:c>
      <x:c r="B290" s="16" t="n">
        <x:v>100</x:v>
      </x:c>
      <x:c r="C290" s="16" t="n">
        <x:v>10</x:v>
      </x:c>
      <x:c r="D290" s="16" t="n">
        <x:v>10000</x:v>
      </x:c>
      <x:c r="E290" s="16" t="n">
        <x:v>513</x:v>
      </x:c>
      <x:c r="F290" s="12" t="n">
        <x:v>32</x:v>
      </x:c>
      <x:c r="G290" s="12" t="n">
        <x:v>37</x:v>
      </x:c>
      <x:c r="H290" s="12" t="n">
        <x:v>37</x:v>
      </x:c>
      <x:c r="I290" s="12" t="n">
        <x:v>38</x:v>
      </x:c>
      <x:c r="J290" s="12" t="n">
        <x:v>32</x:v>
      </x:c>
      <x:c r="K290" s="12" t="n">
        <x:f>MIN(F290:J290)</x:f>
        <x:v>32</x:v>
      </x:c>
      <x:c r="L290" t="str">
        <x:f>TEXTJOIN(", ",TRUE,IF(F290=K290,"IG",""),IF(G290=K290,"FFD",""),IF(H290=K290,"BFD",""),IF(I290=K290,"WFD",""),IF(J290=K290,"CTP",""))</x:f>
        <x:v>IG, CTP</x:v>
      </x:c>
      <x:c r="M290" s="14" t="n">
        <x:f>IFERROR((F290-$K290)/$K290,"")</x:f>
        <x:v>0</x:v>
      </x:c>
      <x:c r="N290" s="14" t="n">
        <x:f>IFERROR((G290-$K290)/$K290,"")</x:f>
        <x:v>0.15625</x:v>
      </x:c>
      <x:c r="O290" s="14" t="n">
        <x:f>IFERROR((H290-$K290)/$K290,"")</x:f>
        <x:v>0.15625</x:v>
      </x:c>
      <x:c r="P290" s="14" t="n">
        <x:f>IFERROR((I290-$K290)/$K290,"")</x:f>
        <x:v>0.1875</x:v>
      </x:c>
      <x:c r="Q290" s="14" t="n">
        <x:f>IFERROR((J290-$K290)/$K290,"")</x:f>
        <x:v>0</x:v>
      </x:c>
      <x:c r="R290" t="n">
        <x:f>--(F290=$K290)</x:f>
        <x:v>1</x:v>
      </x:c>
      <x:c r="S290" t="n">
        <x:f>--(G290=$K290)</x:f>
        <x:v>0</x:v>
      </x:c>
      <x:c r="T290" t="n">
        <x:f>--(H290=$K290)</x:f>
        <x:v>0</x:v>
      </x:c>
      <x:c r="U290" t="n">
        <x:f>--(I290=$K290)</x:f>
        <x:v>0</x:v>
      </x:c>
      <x:c r="V290" t="n">
        <x:f>--(J290=$K290)</x:f>
        <x:v>1</x:v>
      </x:c>
    </x:row>
    <x:row r="291" ht="18" customHeight="1">
      <x:c r="A291" t="str">
        <x:v>bpps_d10000n100m10w1500_3000s1000_2000f0_seed1</x:v>
      </x:c>
      <x:c r="B291" s="16" t="n">
        <x:v>100</x:v>
      </x:c>
      <x:c r="C291" s="16" t="n">
        <x:v>10</x:v>
      </x:c>
      <x:c r="D291" s="16" t="n">
        <x:v>10000</x:v>
      </x:c>
      <x:c r="E291" s="16" t="n">
        <x:v>487</x:v>
      </x:c>
      <x:c r="F291" s="12" t="n">
        <x:v>32</x:v>
      </x:c>
      <x:c r="G291" s="12" t="n">
        <x:v>36</x:v>
      </x:c>
      <x:c r="H291" s="12" t="n">
        <x:v>37</x:v>
      </x:c>
      <x:c r="I291" s="12" t="n">
        <x:v>38</x:v>
      </x:c>
      <x:c r="J291" s="12" t="n">
        <x:v>31</x:v>
      </x:c>
      <x:c r="K291" s="12" t="n">
        <x:f>MIN(F291:J291)</x:f>
        <x:v>31</x:v>
      </x:c>
      <x:c r="L291" t="str">
        <x:f>TEXTJOIN(", ",TRUE,IF(F291=K291,"IG",""),IF(G291=K291,"FFD",""),IF(H291=K291,"BFD",""),IF(I291=K291,"WFD",""),IF(J291=K291,"CTP",""))</x:f>
        <x:v>CTP</x:v>
      </x:c>
      <x:c r="M291" s="14" t="n">
        <x:f>IFERROR((F291-$K291)/$K291,"")</x:f>
        <x:v>0.03225806451612903</x:v>
      </x:c>
      <x:c r="N291" s="14" t="n">
        <x:f>IFERROR((G291-$K291)/$K291,"")</x:f>
        <x:v>0.16129032258064516</x:v>
      </x:c>
      <x:c r="O291" s="14" t="n">
        <x:f>IFERROR((H291-$K291)/$K291,"")</x:f>
        <x:v>0.1935483870967742</x:v>
      </x:c>
      <x:c r="P291" s="14" t="n">
        <x:f>IFERROR((I291-$K291)/$K291,"")</x:f>
        <x:v>0.22580645161290322</x:v>
      </x:c>
      <x:c r="Q291" s="14" t="n">
        <x:f>IFERROR((J291-$K291)/$K291,"")</x:f>
        <x:v>0</x:v>
      </x:c>
      <x:c r="R291" t="n">
        <x:f>--(F291=$K291)</x:f>
        <x:v>0</x:v>
      </x:c>
      <x:c r="S291" t="n">
        <x:f>--(G291=$K291)</x:f>
        <x:v>0</x:v>
      </x:c>
      <x:c r="T291" t="n">
        <x:f>--(H291=$K291)</x:f>
        <x:v>0</x:v>
      </x:c>
      <x:c r="U291" t="n">
        <x:f>--(I291=$K291)</x:f>
        <x:v>0</x:v>
      </x:c>
      <x:c r="V291" t="n">
        <x:f>--(J291=$K291)</x:f>
        <x:v>1</x:v>
      </x:c>
    </x:row>
    <x:row r="292" ht="18" customHeight="1">
      <x:c r="A292" t="str">
        <x:v>bpps_d10000n100m10w1500_3000s1000_2000f1_seed0</x:v>
      </x:c>
      <x:c r="B292" s="16" t="n">
        <x:v>100</x:v>
      </x:c>
      <x:c r="C292" s="16" t="n">
        <x:v>10</x:v>
      </x:c>
      <x:c r="D292" s="16" t="n">
        <x:v>10000</x:v>
      </x:c>
      <x:c r="E292" s="16" t="n">
        <x:v>529</x:v>
      </x:c>
      <x:c r="F292" s="12" t="n">
        <x:v>406</x:v>
      </x:c>
      <x:c r="G292" s="12" t="n">
        <x:v>602</x:v>
      </x:c>
      <x:c r="H292" s="12" t="n">
        <x:v>610</x:v>
      </x:c>
      <x:c r="I292" s="12" t="n">
        <x:v>616</x:v>
      </x:c>
      <x:c r="J292" s="12" t="n">
        <x:v>437</x:v>
      </x:c>
      <x:c r="K292" s="12" t="n">
        <x:f>MIN(F292:J292)</x:f>
        <x:v>406</x:v>
      </x:c>
      <x:c r="L292" t="str">
        <x:f>TEXTJOIN(", ",TRUE,IF(F292=K292,"IG",""),IF(G292=K292,"FFD",""),IF(H292=K292,"BFD",""),IF(I292=K292,"WFD",""),IF(J292=K292,"CTP",""))</x:f>
        <x:v>IG</x:v>
      </x:c>
      <x:c r="M292" s="14" t="n">
        <x:f>IFERROR((F292-$K292)/$K292,"")</x:f>
        <x:v>0</x:v>
      </x:c>
      <x:c r="N292" s="14" t="n">
        <x:f>IFERROR((G292-$K292)/$K292,"")</x:f>
        <x:v>0.4827586206896552</x:v>
      </x:c>
      <x:c r="O292" s="14" t="n">
        <x:f>IFERROR((H292-$K292)/$K292,"")</x:f>
        <x:v>0.5024630541871922</x:v>
      </x:c>
      <x:c r="P292" s="14" t="n">
        <x:f>IFERROR((I292-$K292)/$K292,"")</x:f>
        <x:v>0.5172413793103449</x:v>
      </x:c>
      <x:c r="Q292" s="14" t="n">
        <x:f>IFERROR((J292-$K292)/$K292,"")</x:f>
        <x:v>0.07635467980295567</x:v>
      </x:c>
      <x:c r="R292" t="n">
        <x:f>--(F292=$K292)</x:f>
        <x:v>1</x:v>
      </x:c>
      <x:c r="S292" t="n">
        <x:f>--(G292=$K292)</x:f>
        <x:v>0</x:v>
      </x:c>
      <x:c r="T292" t="n">
        <x:f>--(H292=$K292)</x:f>
        <x:v>0</x:v>
      </x:c>
      <x:c r="U292" t="n">
        <x:f>--(I292=$K292)</x:f>
        <x:v>0</x:v>
      </x:c>
      <x:c r="V292" t="n">
        <x:f>--(J292=$K292)</x:f>
        <x:v>0</x:v>
      </x:c>
    </x:row>
    <x:row r="293" ht="18" customHeight="1">
      <x:c r="A293" t="str">
        <x:v>bpps_d10000n100m10w1500_3000s1000_2000f1_seed1</x:v>
      </x:c>
      <x:c r="B293" s="16" t="n">
        <x:v>100</x:v>
      </x:c>
      <x:c r="C293" s="16" t="n">
        <x:v>10</x:v>
      </x:c>
      <x:c r="D293" s="16" t="n">
        <x:v>10000</x:v>
      </x:c>
      <x:c r="E293" s="16" t="n">
        <x:v>495</x:v>
      </x:c>
      <x:c r="F293" s="12" t="n">
        <x:v>428</x:v>
      </x:c>
      <x:c r="G293" s="12" t="n">
        <x:v>648</x:v>
      </x:c>
      <x:c r="H293" s="12" t="n">
        <x:v>637</x:v>
      </x:c>
      <x:c r="I293" s="12" t="n">
        <x:v>658</x:v>
      </x:c>
      <x:c r="J293" s="12" t="n">
        <x:v>466</x:v>
      </x:c>
      <x:c r="K293" s="12" t="n">
        <x:f>MIN(F293:J293)</x:f>
        <x:v>428</x:v>
      </x:c>
      <x:c r="L293" t="str">
        <x:f>TEXTJOIN(", ",TRUE,IF(F293=K293,"IG",""),IF(G293=K293,"FFD",""),IF(H293=K293,"BFD",""),IF(I293=K293,"WFD",""),IF(J293=K293,"CTP",""))</x:f>
        <x:v>IG</x:v>
      </x:c>
      <x:c r="M293" s="14" t="n">
        <x:f>IFERROR((F293-$K293)/$K293,"")</x:f>
        <x:v>0</x:v>
      </x:c>
      <x:c r="N293" s="14" t="n">
        <x:f>IFERROR((G293-$K293)/$K293,"")</x:f>
        <x:v>0.514018691588785</x:v>
      </x:c>
      <x:c r="O293" s="14" t="n">
        <x:f>IFERROR((H293-$K293)/$K293,"")</x:f>
        <x:v>0.4883177570093458</x:v>
      </x:c>
      <x:c r="P293" s="14" t="n">
        <x:f>IFERROR((I293-$K293)/$K293,"")</x:f>
        <x:v>0.5373831775700935</x:v>
      </x:c>
      <x:c r="Q293" s="14" t="n">
        <x:f>IFERROR((J293-$K293)/$K293,"")</x:f>
        <x:v>0.08878504672897196</x:v>
      </x:c>
      <x:c r="R293" t="n">
        <x:f>--(F293=$K293)</x:f>
        <x:v>1</x:v>
      </x:c>
      <x:c r="S293" t="n">
        <x:f>--(G293=$K293)</x:f>
        <x:v>0</x:v>
      </x:c>
      <x:c r="T293" t="n">
        <x:f>--(H293=$K293)</x:f>
        <x:v>0</x:v>
      </x:c>
      <x:c r="U293" t="n">
        <x:f>--(I293=$K293)</x:f>
        <x:v>0</x:v>
      </x:c>
      <x:c r="V293" t="n">
        <x:f>--(J293=$K293)</x:f>
        <x:v>0</x:v>
      </x:c>
    </x:row>
    <x:row r="294" ht="18" customHeight="1">
      <x:c r="A294" t="str">
        <x:v>bpps_d10000n100m10w1500_3000s100_1000f0_seed0</x:v>
      </x:c>
      <x:c r="B294" s="16" t="n">
        <x:v>100</x:v>
      </x:c>
      <x:c r="C294" s="16" t="n">
        <x:v>10</x:v>
      </x:c>
      <x:c r="D294" s="16" t="n">
        <x:v>10000</x:v>
      </x:c>
      <x:c r="E294" s="16" t="n">
        <x:v>469</x:v>
      </x:c>
      <x:c r="F294" s="12" t="n">
        <x:v>27</x:v>
      </x:c>
      <x:c r="G294" s="12" t="n">
        <x:v>29</x:v>
      </x:c>
      <x:c r="H294" s="12" t="n">
        <x:v>29</x:v>
      </x:c>
      <x:c r="I294" s="12" t="n">
        <x:v>30</x:v>
      </x:c>
      <x:c r="J294" s="12" t="n">
        <x:v>28</x:v>
      </x:c>
      <x:c r="K294" s="12" t="n">
        <x:f>MIN(F294:J294)</x:f>
        <x:v>27</x:v>
      </x:c>
      <x:c r="L294" t="str">
        <x:f>TEXTJOIN(", ",TRUE,IF(F294=K294,"IG",""),IF(G294=K294,"FFD",""),IF(H294=K294,"BFD",""),IF(I294=K294,"WFD",""),IF(J294=K294,"CTP",""))</x:f>
        <x:v>IG</x:v>
      </x:c>
      <x:c r="M294" s="14" t="n">
        <x:f>IFERROR((F294-$K294)/$K294,"")</x:f>
        <x:v>0</x:v>
      </x:c>
      <x:c r="N294" s="14" t="n">
        <x:f>IFERROR((G294-$K294)/$K294,"")</x:f>
        <x:v>0.07407407407407407</x:v>
      </x:c>
      <x:c r="O294" s="14" t="n">
        <x:f>IFERROR((H294-$K294)/$K294,"")</x:f>
        <x:v>0.07407407407407407</x:v>
      </x:c>
      <x:c r="P294" s="14" t="n">
        <x:f>IFERROR((I294-$K294)/$K294,"")</x:f>
        <x:v>0.1111111111111111</x:v>
      </x:c>
      <x:c r="Q294" s="14" t="n">
        <x:f>IFERROR((J294-$K294)/$K294,"")</x:f>
        <x:v>0.037037037037037035</x:v>
      </x:c>
      <x:c r="R294" t="n">
        <x:f>--(F294=$K294)</x:f>
        <x:v>1</x:v>
      </x:c>
      <x:c r="S294" t="n">
        <x:f>--(G294=$K294)</x:f>
        <x:v>0</x:v>
      </x:c>
      <x:c r="T294" t="n">
        <x:f>--(H294=$K294)</x:f>
        <x:v>0</x:v>
      </x:c>
      <x:c r="U294" t="n">
        <x:f>--(I294=$K294)</x:f>
        <x:v>0</x:v>
      </x:c>
      <x:c r="V294" t="n">
        <x:f>--(J294=$K294)</x:f>
        <x:v>0</x:v>
      </x:c>
    </x:row>
    <x:row r="295" ht="18" customHeight="1">
      <x:c r="A295" t="str">
        <x:v>bpps_d10000n100m10w1500_3000s100_1000f0_seed1</x:v>
      </x:c>
      <x:c r="B295" s="16" t="n">
        <x:v>100</x:v>
      </x:c>
      <x:c r="C295" s="16" t="n">
        <x:v>10</x:v>
      </x:c>
      <x:c r="D295" s="16" t="n">
        <x:v>10000</x:v>
      </x:c>
      <x:c r="E295" s="16" t="n">
        <x:v>529</x:v>
      </x:c>
      <x:c r="F295" s="12" t="n">
        <x:v>27</x:v>
      </x:c>
      <x:c r="G295" s="12" t="n">
        <x:v>29</x:v>
      </x:c>
      <x:c r="H295" s="12" t="n">
        <x:v>29</x:v>
      </x:c>
      <x:c r="I295" s="12" t="n">
        <x:v>30</x:v>
      </x:c>
      <x:c r="J295" s="12" t="n">
        <x:v>28</x:v>
      </x:c>
      <x:c r="K295" s="12" t="n">
        <x:f>MIN(F295:J295)</x:f>
        <x:v>27</x:v>
      </x:c>
      <x:c r="L295" t="str">
        <x:f>TEXTJOIN(", ",TRUE,IF(F295=K295,"IG",""),IF(G295=K295,"FFD",""),IF(H295=K295,"BFD",""),IF(I295=K295,"WFD",""),IF(J295=K295,"CTP",""))</x:f>
        <x:v>IG</x:v>
      </x:c>
      <x:c r="M295" s="14" t="n">
        <x:f>IFERROR((F295-$K295)/$K295,"")</x:f>
        <x:v>0</x:v>
      </x:c>
      <x:c r="N295" s="14" t="n">
        <x:f>IFERROR((G295-$K295)/$K295,"")</x:f>
        <x:v>0.07407407407407407</x:v>
      </x:c>
      <x:c r="O295" s="14" t="n">
        <x:f>IFERROR((H295-$K295)/$K295,"")</x:f>
        <x:v>0.07407407407407407</x:v>
      </x:c>
      <x:c r="P295" s="14" t="n">
        <x:f>IFERROR((I295-$K295)/$K295,"")</x:f>
        <x:v>0.1111111111111111</x:v>
      </x:c>
      <x:c r="Q295" s="14" t="n">
        <x:f>IFERROR((J295-$K295)/$K295,"")</x:f>
        <x:v>0.037037037037037035</x:v>
      </x:c>
      <x:c r="R295" t="n">
        <x:f>--(F295=$K295)</x:f>
        <x:v>1</x:v>
      </x:c>
      <x:c r="S295" t="n">
        <x:f>--(G295=$K295)</x:f>
        <x:v>0</x:v>
      </x:c>
      <x:c r="T295" t="n">
        <x:f>--(H295=$K295)</x:f>
        <x:v>0</x:v>
      </x:c>
      <x:c r="U295" t="n">
        <x:f>--(I295=$K295)</x:f>
        <x:v>0</x:v>
      </x:c>
      <x:c r="V295" t="n">
        <x:f>--(J295=$K295)</x:f>
        <x:v>0</x:v>
      </x:c>
    </x:row>
    <x:row r="296" ht="18" customHeight="1">
      <x:c r="A296" t="str">
        <x:v>bpps_d10000n100m10w1500_3000s100_1000f1_seed0</x:v>
      </x:c>
      <x:c r="B296" s="16" t="n">
        <x:v>100</x:v>
      </x:c>
      <x:c r="C296" s="16" t="n">
        <x:v>10</x:v>
      </x:c>
      <x:c r="D296" s="16" t="n">
        <x:v>10000</x:v>
      </x:c>
      <x:c r="E296" s="16" t="n">
        <x:v>475</x:v>
      </x:c>
      <x:c r="F296" s="12" t="n">
        <x:v>365</x:v>
      </x:c>
      <x:c r="G296" s="12" t="n">
        <x:v>566</x:v>
      </x:c>
      <x:c r="H296" s="12" t="n">
        <x:v>566</x:v>
      </x:c>
      <x:c r="I296" s="12" t="n">
        <x:v>568</x:v>
      </x:c>
      <x:c r="J296" s="12" t="n">
        <x:v>409</x:v>
      </x:c>
      <x:c r="K296" s="12" t="n">
        <x:f>MIN(F296:J296)</x:f>
        <x:v>365</x:v>
      </x:c>
      <x:c r="L296" t="str">
        <x:f>TEXTJOIN(", ",TRUE,IF(F296=K296,"IG",""),IF(G296=K296,"FFD",""),IF(H296=K296,"BFD",""),IF(I296=K296,"WFD",""),IF(J296=K296,"CTP",""))</x:f>
        <x:v>IG</x:v>
      </x:c>
      <x:c r="M296" s="14" t="n">
        <x:f>IFERROR((F296-$K296)/$K296,"")</x:f>
        <x:v>0</x:v>
      </x:c>
      <x:c r="N296" s="14" t="n">
        <x:f>IFERROR((G296-$K296)/$K296,"")</x:f>
        <x:v>0.5506849315068493</x:v>
      </x:c>
      <x:c r="O296" s="14" t="n">
        <x:f>IFERROR((H296-$K296)/$K296,"")</x:f>
        <x:v>0.5506849315068493</x:v>
      </x:c>
      <x:c r="P296" s="14" t="n">
        <x:f>IFERROR((I296-$K296)/$K296,"")</x:f>
        <x:v>0.5561643835616439</x:v>
      </x:c>
      <x:c r="Q296" s="14" t="n">
        <x:f>IFERROR((J296-$K296)/$K296,"")</x:f>
        <x:v>0.12054794520547946</x:v>
      </x:c>
      <x:c r="R296" t="n">
        <x:f>--(F296=$K296)</x:f>
        <x:v>1</x:v>
      </x:c>
      <x:c r="S296" t="n">
        <x:f>--(G296=$K296)</x:f>
        <x:v>0</x:v>
      </x:c>
      <x:c r="T296" t="n">
        <x:f>--(H296=$K296)</x:f>
        <x:v>0</x:v>
      </x:c>
      <x:c r="U296" t="n">
        <x:f>--(I296=$K296)</x:f>
        <x:v>0</x:v>
      </x:c>
      <x:c r="V296" t="n">
        <x:f>--(J296=$K296)</x:f>
        <x:v>0</x:v>
      </x:c>
    </x:row>
    <x:row r="297" ht="18" customHeight="1">
      <x:c r="A297" t="str">
        <x:v>bpps_d10000n100m10w1500_3000s100_1000f1_seed1</x:v>
      </x:c>
      <x:c r="B297" s="16" t="n">
        <x:v>100</x:v>
      </x:c>
      <x:c r="C297" s="16" t="n">
        <x:v>10</x:v>
      </x:c>
      <x:c r="D297" s="16" t="n">
        <x:v>10000</x:v>
      </x:c>
      <x:c r="E297" s="16" t="n">
        <x:v>492</x:v>
      </x:c>
      <x:c r="F297" s="12" t="n">
        <x:v>376</x:v>
      </x:c>
      <x:c r="G297" s="12" t="n">
        <x:v>557</x:v>
      </x:c>
      <x:c r="H297" s="12" t="n">
        <x:v>563</x:v>
      </x:c>
      <x:c r="I297" s="12" t="n">
        <x:v>597</x:v>
      </x:c>
      <x:c r="J297" s="12" t="n">
        <x:v>404</x:v>
      </x:c>
      <x:c r="K297" s="12" t="n">
        <x:f>MIN(F297:J297)</x:f>
        <x:v>376</x:v>
      </x:c>
      <x:c r="L297" t="str">
        <x:f>TEXTJOIN(", ",TRUE,IF(F297=K297,"IG",""),IF(G297=K297,"FFD",""),IF(H297=K297,"BFD",""),IF(I297=K297,"WFD",""),IF(J297=K297,"CTP",""))</x:f>
        <x:v>IG</x:v>
      </x:c>
      <x:c r="M297" s="14" t="n">
        <x:f>IFERROR((F297-$K297)/$K297,"")</x:f>
        <x:v>0</x:v>
      </x:c>
      <x:c r="N297" s="14" t="n">
        <x:f>IFERROR((G297-$K297)/$K297,"")</x:f>
        <x:v>0.48138297872340424</x:v>
      </x:c>
      <x:c r="O297" s="14" t="n">
        <x:f>IFERROR((H297-$K297)/$K297,"")</x:f>
        <x:v>0.4973404255319149</x:v>
      </x:c>
      <x:c r="P297" s="14" t="n">
        <x:f>IFERROR((I297-$K297)/$K297,"")</x:f>
        <x:v>0.5877659574468085</x:v>
      </x:c>
      <x:c r="Q297" s="14" t="n">
        <x:f>IFERROR((J297-$K297)/$K297,"")</x:f>
        <x:v>0.07446808510638298</x:v>
      </x:c>
      <x:c r="R297" t="n">
        <x:f>--(F297=$K297)</x:f>
        <x:v>1</x:v>
      </x:c>
      <x:c r="S297" t="n">
        <x:f>--(G297=$K297)</x:f>
        <x:v>0</x:v>
      </x:c>
      <x:c r="T297" t="n">
        <x:f>--(H297=$K297)</x:f>
        <x:v>0</x:v>
      </x:c>
      <x:c r="U297" t="n">
        <x:f>--(I297=$K297)</x:f>
        <x:v>0</x:v>
      </x:c>
      <x:c r="V297" t="n">
        <x:f>--(J297=$K297)</x:f>
        <x:v>0</x:v>
      </x:c>
    </x:row>
    <x:row r="298" ht="18" customHeight="1">
      <x:c r="A298" t="str">
        <x:v>bpps_d10000n100m10w500_1500s1000_2000f0_seed0</x:v>
      </x:c>
      <x:c r="B298" s="16" t="n">
        <x:v>100</x:v>
      </x:c>
      <x:c r="C298" s="16" t="n">
        <x:v>10</x:v>
      </x:c>
      <x:c r="D298" s="16" t="n">
        <x:v>10000</x:v>
      </x:c>
      <x:c r="E298" s="16" t="n">
        <x:v>483</x:v>
      </x:c>
      <x:c r="F298" s="12" t="n">
        <x:v>16</x:v>
      </x:c>
      <x:c r="G298" s="12" t="n">
        <x:v>21</x:v>
      </x:c>
      <x:c r="H298" s="12" t="n">
        <x:v>21</x:v>
      </x:c>
      <x:c r="I298" s="12" t="n">
        <x:v>21</x:v>
      </x:c>
      <x:c r="J298" s="12" t="n">
        <x:v>16</x:v>
      </x:c>
      <x:c r="K298" s="12" t="n">
        <x:f>MIN(F298:J298)</x:f>
        <x:v>16</x:v>
      </x:c>
      <x:c r="L298" t="str">
        <x:f>TEXTJOIN(", ",TRUE,IF(F298=K298,"IG",""),IF(G298=K298,"FFD",""),IF(H298=K298,"BFD",""),IF(I298=K298,"WFD",""),IF(J298=K298,"CTP",""))</x:f>
        <x:v>IG, CTP</x:v>
      </x:c>
      <x:c r="M298" s="14" t="n">
        <x:f>IFERROR((F298-$K298)/$K298,"")</x:f>
        <x:v>0</x:v>
      </x:c>
      <x:c r="N298" s="14" t="n">
        <x:f>IFERROR((G298-$K298)/$K298,"")</x:f>
        <x:v>0.3125</x:v>
      </x:c>
      <x:c r="O298" s="14" t="n">
        <x:f>IFERROR((H298-$K298)/$K298,"")</x:f>
        <x:v>0.3125</x:v>
      </x:c>
      <x:c r="P298" s="14" t="n">
        <x:f>IFERROR((I298-$K298)/$K298,"")</x:f>
        <x:v>0.3125</x:v>
      </x:c>
      <x:c r="Q298" s="14" t="n">
        <x:f>IFERROR((J298-$K298)/$K298,"")</x:f>
        <x:v>0</x:v>
      </x:c>
      <x:c r="R298" t="n">
        <x:f>--(F298=$K298)</x:f>
        <x:v>1</x:v>
      </x:c>
      <x:c r="S298" t="n">
        <x:f>--(G298=$K298)</x:f>
        <x:v>0</x:v>
      </x:c>
      <x:c r="T298" t="n">
        <x:f>--(H298=$K298)</x:f>
        <x:v>0</x:v>
      </x:c>
      <x:c r="U298" t="n">
        <x:f>--(I298=$K298)</x:f>
        <x:v>0</x:v>
      </x:c>
      <x:c r="V298" t="n">
        <x:f>--(J298=$K298)</x:f>
        <x:v>1</x:v>
      </x:c>
    </x:row>
    <x:row r="299" ht="18" customHeight="1">
      <x:c r="A299" t="str">
        <x:v>bpps_d10000n100m10w500_1500s1000_2000f0_seed1</x:v>
      </x:c>
      <x:c r="B299" s="16" t="n">
        <x:v>100</x:v>
      </x:c>
      <x:c r="C299" s="16" t="n">
        <x:v>10</x:v>
      </x:c>
      <x:c r="D299" s="16" t="n">
        <x:v>10000</x:v>
      </x:c>
      <x:c r="E299" s="16" t="n">
        <x:v>498</x:v>
      </x:c>
      <x:c r="F299" s="12" t="n">
        <x:v>15</x:v>
      </x:c>
      <x:c r="G299" s="12" t="n">
        <x:v>21</x:v>
      </x:c>
      <x:c r="H299" s="12" t="n">
        <x:v>21</x:v>
      </x:c>
      <x:c r="I299" s="12" t="n">
        <x:v>21</x:v>
      </x:c>
      <x:c r="J299" s="12" t="n">
        <x:v>15</x:v>
      </x:c>
      <x:c r="K299" s="12" t="n">
        <x:f>MIN(F299:J299)</x:f>
        <x:v>15</x:v>
      </x:c>
      <x:c r="L299" t="str">
        <x:f>TEXTJOIN(", ",TRUE,IF(F299=K299,"IG",""),IF(G299=K299,"FFD",""),IF(H299=K299,"BFD",""),IF(I299=K299,"WFD",""),IF(J299=K299,"CTP",""))</x:f>
        <x:v>IG, CTP</x:v>
      </x:c>
      <x:c r="M299" s="14" t="n">
        <x:f>IFERROR((F299-$K299)/$K299,"")</x:f>
        <x:v>0</x:v>
      </x:c>
      <x:c r="N299" s="14" t="n">
        <x:f>IFERROR((G299-$K299)/$K299,"")</x:f>
        <x:v>0.4</x:v>
      </x:c>
      <x:c r="O299" s="14" t="n">
        <x:f>IFERROR((H299-$K299)/$K299,"")</x:f>
        <x:v>0.4</x:v>
      </x:c>
      <x:c r="P299" s="14" t="n">
        <x:f>IFERROR((I299-$K299)/$K299,"")</x:f>
        <x:v>0.4</x:v>
      </x:c>
      <x:c r="Q299" s="14" t="n">
        <x:f>IFERROR((J299-$K299)/$K299,"")</x:f>
        <x:v>0</x:v>
      </x:c>
      <x:c r="R299" t="n">
        <x:f>--(F299=$K299)</x:f>
        <x:v>1</x:v>
      </x:c>
      <x:c r="S299" t="n">
        <x:f>--(G299=$K299)</x:f>
        <x:v>0</x:v>
      </x:c>
      <x:c r="T299" t="n">
        <x:f>--(H299=$K299)</x:f>
        <x:v>0</x:v>
      </x:c>
      <x:c r="U299" t="n">
        <x:f>--(I299=$K299)</x:f>
        <x:v>0</x:v>
      </x:c>
      <x:c r="V299" t="n">
        <x:f>--(J299=$K299)</x:f>
        <x:v>1</x:v>
      </x:c>
    </x:row>
    <x:row r="300" ht="18" customHeight="1">
      <x:c r="A300" t="str">
        <x:v>bpps_d10000n100m10w500_1500s1000_2000f1_seed0</x:v>
      </x:c>
      <x:c r="B300" s="16" t="n">
        <x:v>100</x:v>
      </x:c>
      <x:c r="C300" s="16" t="n">
        <x:v>10</x:v>
      </x:c>
      <x:c r="D300" s="16" t="n">
        <x:v>10000</x:v>
      </x:c>
      <x:c r="E300" s="16" t="n">
        <x:v>520</x:v>
      </x:c>
      <x:c r="F300" s="12" t="n">
        <x:v>207</x:v>
      </x:c>
      <x:c r="G300" s="12" t="n">
        <x:v>389</x:v>
      </x:c>
      <x:c r="H300" s="12" t="n">
        <x:v>389</x:v>
      </x:c>
      <x:c r="I300" s="12" t="n">
        <x:v>387</x:v>
      </x:c>
      <x:c r="J300" s="12" t="n">
        <x:v>229</x:v>
      </x:c>
      <x:c r="K300" s="12" t="n">
        <x:f>MIN(F300:J300)</x:f>
        <x:v>207</x:v>
      </x:c>
      <x:c r="L300" t="str">
        <x:f>TEXTJOIN(", ",TRUE,IF(F300=K300,"IG",""),IF(G300=K300,"FFD",""),IF(H300=K300,"BFD",""),IF(I300=K300,"WFD",""),IF(J300=K300,"CTP",""))</x:f>
        <x:v>IG</x:v>
      </x:c>
      <x:c r="M300" s="14" t="n">
        <x:f>IFERROR((F300-$K300)/$K300,"")</x:f>
        <x:v>0</x:v>
      </x:c>
      <x:c r="N300" s="14" t="n">
        <x:f>IFERROR((G300-$K300)/$K300,"")</x:f>
        <x:v>0.8792270531400966</x:v>
      </x:c>
      <x:c r="O300" s="14" t="n">
        <x:f>IFERROR((H300-$K300)/$K300,"")</x:f>
        <x:v>0.8792270531400966</x:v>
      </x:c>
      <x:c r="P300" s="14" t="n">
        <x:f>IFERROR((I300-$K300)/$K300,"")</x:f>
        <x:v>0.8695652173913043</x:v>
      </x:c>
      <x:c r="Q300" s="14" t="n">
        <x:f>IFERROR((J300-$K300)/$K300,"")</x:f>
        <x:v>0.10628019323671498</x:v>
      </x:c>
      <x:c r="R300" t="n">
        <x:f>--(F300=$K300)</x:f>
        <x:v>1</x:v>
      </x:c>
      <x:c r="S300" t="n">
        <x:f>--(G300=$K300)</x:f>
        <x:v>0</x:v>
      </x:c>
      <x:c r="T300" t="n">
        <x:f>--(H300=$K300)</x:f>
        <x:v>0</x:v>
      </x:c>
      <x:c r="U300" t="n">
        <x:f>--(I300=$K300)</x:f>
        <x:v>0</x:v>
      </x:c>
      <x:c r="V300" t="n">
        <x:f>--(J300=$K300)</x:f>
        <x:v>0</x:v>
      </x:c>
    </x:row>
    <x:row r="301" ht="18" customHeight="1">
      <x:c r="A301" t="str">
        <x:v>bpps_d10000n100m10w500_1500s1000_2000f1_seed1</x:v>
      </x:c>
      <x:c r="B301" s="16" t="n">
        <x:v>100</x:v>
      </x:c>
      <x:c r="C301" s="16" t="n">
        <x:v>10</x:v>
      </x:c>
      <x:c r="D301" s="16" t="n">
        <x:v>10000</x:v>
      </x:c>
      <x:c r="E301" s="16" t="n">
        <x:v>512</x:v>
      </x:c>
      <x:c r="F301" s="12" t="n">
        <x:v>203</x:v>
      </x:c>
      <x:c r="G301" s="12" t="n">
        <x:v>357</x:v>
      </x:c>
      <x:c r="H301" s="12" t="n">
        <x:v>365</x:v>
      </x:c>
      <x:c r="I301" s="12" t="n">
        <x:v>353</x:v>
      </x:c>
      <x:c r="J301" s="12" t="n">
        <x:v>217</x:v>
      </x:c>
      <x:c r="K301" s="12" t="n">
        <x:f>MIN(F301:J301)</x:f>
        <x:v>203</x:v>
      </x:c>
      <x:c r="L301" t="str">
        <x:f>TEXTJOIN(", ",TRUE,IF(F301=K301,"IG",""),IF(G301=K301,"FFD",""),IF(H301=K301,"BFD",""),IF(I301=K301,"WFD",""),IF(J301=K301,"CTP",""))</x:f>
        <x:v>IG</x:v>
      </x:c>
      <x:c r="M301" s="14" t="n">
        <x:f>IFERROR((F301-$K301)/$K301,"")</x:f>
        <x:v>0</x:v>
      </x:c>
      <x:c r="N301" s="14" t="n">
        <x:f>IFERROR((G301-$K301)/$K301,"")</x:f>
        <x:v>0.7586206896551724</x:v>
      </x:c>
      <x:c r="O301" s="14" t="n">
        <x:f>IFERROR((H301-$K301)/$K301,"")</x:f>
        <x:v>0.7980295566502463</x:v>
      </x:c>
      <x:c r="P301" s="14" t="n">
        <x:f>IFERROR((I301-$K301)/$K301,"")</x:f>
        <x:v>0.7389162561576355</x:v>
      </x:c>
      <x:c r="Q301" s="14" t="n">
        <x:f>IFERROR((J301-$K301)/$K301,"")</x:f>
        <x:v>0.06896551724137931</x:v>
      </x:c>
      <x:c r="R301" t="n">
        <x:f>--(F301=$K301)</x:f>
        <x:v>1</x:v>
      </x:c>
      <x:c r="S301" t="n">
        <x:f>--(G301=$K301)</x:f>
        <x:v>0</x:v>
      </x:c>
      <x:c r="T301" t="n">
        <x:f>--(H301=$K301)</x:f>
        <x:v>0</x:v>
      </x:c>
      <x:c r="U301" t="n">
        <x:f>--(I301=$K301)</x:f>
        <x:v>0</x:v>
      </x:c>
      <x:c r="V301" t="n">
        <x:f>--(J301=$K301)</x:f>
        <x:v>0</x:v>
      </x:c>
    </x:row>
    <x:row r="302" ht="18" customHeight="1">
      <x:c r="A302" t="str">
        <x:v>bpps_d10000n100m10w500_1500s100_1000f0_seed0</x:v>
      </x:c>
      <x:c r="B302" s="16" t="n">
        <x:v>100</x:v>
      </x:c>
      <x:c r="C302" s="16" t="n">
        <x:v>10</x:v>
      </x:c>
      <x:c r="D302" s="16" t="n">
        <x:v>10000</x:v>
      </x:c>
      <x:c r="E302" s="16" t="n">
        <x:v>510</x:v>
      </x:c>
      <x:c r="F302" s="12" t="n">
        <x:v>13</x:v>
      </x:c>
      <x:c r="G302" s="12" t="n">
        <x:v>15</x:v>
      </x:c>
      <x:c r="H302" s="12" t="n">
        <x:v>15</x:v>
      </x:c>
      <x:c r="I302" s="12" t="n">
        <x:v>15</x:v>
      </x:c>
      <x:c r="J302" s="12" t="n">
        <x:v>16</x:v>
      </x:c>
      <x:c r="K302" s="12" t="n">
        <x:f>MIN(F302:J302)</x:f>
        <x:v>13</x:v>
      </x:c>
      <x:c r="L302" t="str">
        <x:f>TEXTJOIN(", ",TRUE,IF(F302=K302,"IG",""),IF(G302=K302,"FFD",""),IF(H302=K302,"BFD",""),IF(I302=K302,"WFD",""),IF(J302=K302,"CTP",""))</x:f>
        <x:v>IG</x:v>
      </x:c>
      <x:c r="M302" s="14" t="n">
        <x:f>IFERROR((F302-$K302)/$K302,"")</x:f>
        <x:v>0</x:v>
      </x:c>
      <x:c r="N302" s="14" t="n">
        <x:f>IFERROR((G302-$K302)/$K302,"")</x:f>
        <x:v>0.15384615384615385</x:v>
      </x:c>
      <x:c r="O302" s="14" t="n">
        <x:f>IFERROR((H302-$K302)/$K302,"")</x:f>
        <x:v>0.15384615384615385</x:v>
      </x:c>
      <x:c r="P302" s="14" t="n">
        <x:f>IFERROR((I302-$K302)/$K302,"")</x:f>
        <x:v>0.15384615384615385</x:v>
      </x:c>
      <x:c r="Q302" s="14" t="n">
        <x:f>IFERROR((J302-$K302)/$K302,"")</x:f>
        <x:v>0.23076923076923078</x:v>
      </x:c>
      <x:c r="R302" t="n">
        <x:f>--(F302=$K302)</x:f>
        <x:v>1</x:v>
      </x:c>
      <x:c r="S302" t="n">
        <x:f>--(G302=$K302)</x:f>
        <x:v>0</x:v>
      </x:c>
      <x:c r="T302" t="n">
        <x:f>--(H302=$K302)</x:f>
        <x:v>0</x:v>
      </x:c>
      <x:c r="U302" t="n">
        <x:f>--(I302=$K302)</x:f>
        <x:v>0</x:v>
      </x:c>
      <x:c r="V302" t="n">
        <x:f>--(J302=$K302)</x:f>
        <x:v>0</x:v>
      </x:c>
    </x:row>
    <x:row r="303" ht="18" customHeight="1">
      <x:c r="A303" t="str">
        <x:v>bpps_d10000n100m10w500_1500s100_1000f0_seed1</x:v>
      </x:c>
      <x:c r="B303" s="16" t="n">
        <x:v>100</x:v>
      </x:c>
      <x:c r="C303" s="16" t="n">
        <x:v>10</x:v>
      </x:c>
      <x:c r="D303" s="16" t="n">
        <x:v>10000</x:v>
      </x:c>
      <x:c r="E303" s="16" t="n">
        <x:v>519</x:v>
      </x:c>
      <x:c r="F303" s="12" t="n">
        <x:v>13</x:v>
      </x:c>
      <x:c r="G303" s="12" t="n">
        <x:v>15</x:v>
      </x:c>
      <x:c r="H303" s="12" t="n">
        <x:v>15</x:v>
      </x:c>
      <x:c r="I303" s="12" t="n">
        <x:v>15</x:v>
      </x:c>
      <x:c r="J303" s="12" t="n">
        <x:v>15</x:v>
      </x:c>
      <x:c r="K303" s="12" t="n">
        <x:f>MIN(F303:J303)</x:f>
        <x:v>13</x:v>
      </x:c>
      <x:c r="L303" t="str">
        <x:f>TEXTJOIN(", ",TRUE,IF(F303=K303,"IG",""),IF(G303=K303,"FFD",""),IF(H303=K303,"BFD",""),IF(I303=K303,"WFD",""),IF(J303=K303,"CTP",""))</x:f>
        <x:v>IG</x:v>
      </x:c>
      <x:c r="M303" s="14" t="n">
        <x:f>IFERROR((F303-$K303)/$K303,"")</x:f>
        <x:v>0</x:v>
      </x:c>
      <x:c r="N303" s="14" t="n">
        <x:f>IFERROR((G303-$K303)/$K303,"")</x:f>
        <x:v>0.15384615384615385</x:v>
      </x:c>
      <x:c r="O303" s="14" t="n">
        <x:f>IFERROR((H303-$K303)/$K303,"")</x:f>
        <x:v>0.15384615384615385</x:v>
      </x:c>
      <x:c r="P303" s="14" t="n">
        <x:f>IFERROR((I303-$K303)/$K303,"")</x:f>
        <x:v>0.15384615384615385</x:v>
      </x:c>
      <x:c r="Q303" s="14" t="n">
        <x:f>IFERROR((J303-$K303)/$K303,"")</x:f>
        <x:v>0.15384615384615385</x:v>
      </x:c>
      <x:c r="R303" t="n">
        <x:f>--(F303=$K303)</x:f>
        <x:v>1</x:v>
      </x:c>
      <x:c r="S303" t="n">
        <x:f>--(G303=$K303)</x:f>
        <x:v>0</x:v>
      </x:c>
      <x:c r="T303" t="n">
        <x:f>--(H303=$K303)</x:f>
        <x:v>0</x:v>
      </x:c>
      <x:c r="U303" t="n">
        <x:f>--(I303=$K303)</x:f>
        <x:v>0</x:v>
      </x:c>
      <x:c r="V303" t="n">
        <x:f>--(J303=$K303)</x:f>
        <x:v>0</x:v>
      </x:c>
    </x:row>
    <x:row r="304" ht="18" customHeight="1">
      <x:c r="A304" t="str">
        <x:v>bpps_d10000n100m10w500_1500s100_1000f1_seed0</x:v>
      </x:c>
      <x:c r="B304" s="16" t="n">
        <x:v>100</x:v>
      </x:c>
      <x:c r="C304" s="16" t="n">
        <x:v>10</x:v>
      </x:c>
      <x:c r="D304" s="16" t="n">
        <x:v>10000</x:v>
      </x:c>
      <x:c r="E304" s="16" t="n">
        <x:v>512</x:v>
      </x:c>
      <x:c r="F304" s="12" t="n">
        <x:v>186</x:v>
      </x:c>
      <x:c r="G304" s="12" t="n">
        <x:v>324</x:v>
      </x:c>
      <x:c r="H304" s="12" t="n">
        <x:v>325</x:v>
      </x:c>
      <x:c r="I304" s="12" t="n">
        <x:v>329</x:v>
      </x:c>
      <x:c r="J304" s="12" t="n">
        <x:v>208</x:v>
      </x:c>
      <x:c r="K304" s="12" t="n">
        <x:f>MIN(F304:J304)</x:f>
        <x:v>186</x:v>
      </x:c>
      <x:c r="L304" t="str">
        <x:f>TEXTJOIN(", ",TRUE,IF(F304=K304,"IG",""),IF(G304=K304,"FFD",""),IF(H304=K304,"BFD",""),IF(I304=K304,"WFD",""),IF(J304=K304,"CTP",""))</x:f>
        <x:v>IG</x:v>
      </x:c>
      <x:c r="M304" s="14" t="n">
        <x:f>IFERROR((F304-$K304)/$K304,"")</x:f>
        <x:v>0</x:v>
      </x:c>
      <x:c r="N304" s="14" t="n">
        <x:f>IFERROR((G304-$K304)/$K304,"")</x:f>
        <x:v>0.7419354838709677</x:v>
      </x:c>
      <x:c r="O304" s="14" t="n">
        <x:f>IFERROR((H304-$K304)/$K304,"")</x:f>
        <x:v>0.7473118279569892</x:v>
      </x:c>
      <x:c r="P304" s="14" t="n">
        <x:f>IFERROR((I304-$K304)/$K304,"")</x:f>
        <x:v>0.7688172043010753</x:v>
      </x:c>
      <x:c r="Q304" s="14" t="n">
        <x:f>IFERROR((J304-$K304)/$K304,"")</x:f>
        <x:v>0.11827956989247312</x:v>
      </x:c>
      <x:c r="R304" t="n">
        <x:f>--(F304=$K304)</x:f>
        <x:v>1</x:v>
      </x:c>
      <x:c r="S304" t="n">
        <x:f>--(G304=$K304)</x:f>
        <x:v>0</x:v>
      </x:c>
      <x:c r="T304" t="n">
        <x:f>--(H304=$K304)</x:f>
        <x:v>0</x:v>
      </x:c>
      <x:c r="U304" t="n">
        <x:f>--(I304=$K304)</x:f>
        <x:v>0</x:v>
      </x:c>
      <x:c r="V304" t="n">
        <x:f>--(J304=$K304)</x:f>
        <x:v>0</x:v>
      </x:c>
    </x:row>
    <x:row r="305" ht="18" customHeight="1">
      <x:c r="A305" t="str">
        <x:v>bpps_d10000n100m10w500_1500s100_1000f1_seed1</x:v>
      </x:c>
      <x:c r="B305" s="16" t="n">
        <x:v>100</x:v>
      </x:c>
      <x:c r="C305" s="16" t="n">
        <x:v>10</x:v>
      </x:c>
      <x:c r="D305" s="16" t="n">
        <x:v>10000</x:v>
      </x:c>
      <x:c r="E305" s="16" t="n">
        <x:v>493</x:v>
      </x:c>
      <x:c r="F305" s="12" t="n">
        <x:v>173</x:v>
      </x:c>
      <x:c r="G305" s="12" t="n">
        <x:v>297</x:v>
      </x:c>
      <x:c r="H305" s="12" t="n">
        <x:v>297</x:v>
      </x:c>
      <x:c r="I305" s="12" t="n">
        <x:v>310</x:v>
      </x:c>
      <x:c r="J305" s="12" t="n">
        <x:v>198</x:v>
      </x:c>
      <x:c r="K305" s="12" t="n">
        <x:f>MIN(F305:J305)</x:f>
        <x:v>173</x:v>
      </x:c>
      <x:c r="L305" t="str">
        <x:f>TEXTJOIN(", ",TRUE,IF(F305=K305,"IG",""),IF(G305=K305,"FFD",""),IF(H305=K305,"BFD",""),IF(I305=K305,"WFD",""),IF(J305=K305,"CTP",""))</x:f>
        <x:v>IG</x:v>
      </x:c>
      <x:c r="M305" s="14" t="n">
        <x:f>IFERROR((F305-$K305)/$K305,"")</x:f>
        <x:v>0</x:v>
      </x:c>
      <x:c r="N305" s="14" t="n">
        <x:f>IFERROR((G305-$K305)/$K305,"")</x:f>
        <x:v>0.7167630057803468</x:v>
      </x:c>
      <x:c r="O305" s="14" t="n">
        <x:f>IFERROR((H305-$K305)/$K305,"")</x:f>
        <x:v>0.7167630057803468</x:v>
      </x:c>
      <x:c r="P305" s="14" t="n">
        <x:f>IFERROR((I305-$K305)/$K305,"")</x:f>
        <x:v>0.791907514450867</x:v>
      </x:c>
      <x:c r="Q305" s="14" t="n">
        <x:f>IFERROR((J305-$K305)/$K305,"")</x:f>
        <x:v>0.14450867052023122</x:v>
      </x:c>
      <x:c r="R305" t="n">
        <x:f>--(F305=$K305)</x:f>
        <x:v>1</x:v>
      </x:c>
      <x:c r="S305" t="n">
        <x:f>--(G305=$K305)</x:f>
        <x:v>0</x:v>
      </x:c>
      <x:c r="T305" t="n">
        <x:f>--(H305=$K305)</x:f>
        <x:v>0</x:v>
      </x:c>
      <x:c r="U305" t="n">
        <x:f>--(I305=$K305)</x:f>
        <x:v>0</x:v>
      </x:c>
      <x:c r="V305" t="n">
        <x:f>--(J305=$K305)</x:f>
        <x:v>0</x:v>
      </x:c>
    </x:row>
    <x:row r="306" ht="18" customHeight="1">
      <x:c r="A306" t="str">
        <x:v>bpps_d10000n100m5w1500_3000s1000_2000f0_seed0</x:v>
      </x:c>
      <x:c r="B306" s="16" t="n">
        <x:v>100</x:v>
      </x:c>
      <x:c r="C306" s="16" t="n">
        <x:v>5</x:v>
      </x:c>
      <x:c r="D306" s="16" t="n">
        <x:v>10000</x:v>
      </x:c>
      <x:c r="E306" s="16" t="n">
        <x:v>491</x:v>
      </x:c>
      <x:c r="F306" s="12" t="n">
        <x:v>31</x:v>
      </x:c>
      <x:c r="G306" s="12" t="n">
        <x:v>36</x:v>
      </x:c>
      <x:c r="H306" s="12" t="n">
        <x:v>37</x:v>
      </x:c>
      <x:c r="I306" s="12" t="n">
        <x:v>37</x:v>
      </x:c>
      <x:c r="J306" s="12" t="n">
        <x:v>31</x:v>
      </x:c>
      <x:c r="K306" s="12" t="n">
        <x:f>MIN(F306:J306)</x:f>
        <x:v>31</x:v>
      </x:c>
      <x:c r="L306" t="str">
        <x:f>TEXTJOIN(", ",TRUE,IF(F306=K306,"IG",""),IF(G306=K306,"FFD",""),IF(H306=K306,"BFD",""),IF(I306=K306,"WFD",""),IF(J306=K306,"CTP",""))</x:f>
        <x:v>IG, CTP</x:v>
      </x:c>
      <x:c r="M306" s="14" t="n">
        <x:f>IFERROR((F306-$K306)/$K306,"")</x:f>
        <x:v>0</x:v>
      </x:c>
      <x:c r="N306" s="14" t="n">
        <x:f>IFERROR((G306-$K306)/$K306,"")</x:f>
        <x:v>0.16129032258064516</x:v>
      </x:c>
      <x:c r="O306" s="14" t="n">
        <x:f>IFERROR((H306-$K306)/$K306,"")</x:f>
        <x:v>0.1935483870967742</x:v>
      </x:c>
      <x:c r="P306" s="14" t="n">
        <x:f>IFERROR((I306-$K306)/$K306,"")</x:f>
        <x:v>0.1935483870967742</x:v>
      </x:c>
      <x:c r="Q306" s="14" t="n">
        <x:f>IFERROR((J306-$K306)/$K306,"")</x:f>
        <x:v>0</x:v>
      </x:c>
      <x:c r="R306" t="n">
        <x:f>--(F306=$K306)</x:f>
        <x:v>1</x:v>
      </x:c>
      <x:c r="S306" t="n">
        <x:f>--(G306=$K306)</x:f>
        <x:v>0</x:v>
      </x:c>
      <x:c r="T306" t="n">
        <x:f>--(H306=$K306)</x:f>
        <x:v>0</x:v>
      </x:c>
      <x:c r="U306" t="n">
        <x:f>--(I306=$K306)</x:f>
        <x:v>0</x:v>
      </x:c>
      <x:c r="V306" t="n">
        <x:f>--(J306=$K306)</x:f>
        <x:v>1</x:v>
      </x:c>
    </x:row>
    <x:row r="307" ht="18" customHeight="1">
      <x:c r="A307" t="str">
        <x:v>bpps_d10000n100m5w1500_3000s1000_2000f0_seed1</x:v>
      </x:c>
      <x:c r="B307" s="16" t="n">
        <x:v>100</x:v>
      </x:c>
      <x:c r="C307" s="16" t="n">
        <x:v>5</x:v>
      </x:c>
      <x:c r="D307" s="16" t="n">
        <x:v>10000</x:v>
      </x:c>
      <x:c r="E307" s="16" t="n">
        <x:v>473</x:v>
      </x:c>
      <x:c r="F307" s="12" t="n">
        <x:v>31</x:v>
      </x:c>
      <x:c r="G307" s="12" t="n">
        <x:v>34</x:v>
      </x:c>
      <x:c r="H307" s="12" t="n">
        <x:v>34</x:v>
      </x:c>
      <x:c r="I307" s="12" t="n">
        <x:v>35</x:v>
      </x:c>
      <x:c r="J307" s="12" t="n">
        <x:v>31</x:v>
      </x:c>
      <x:c r="K307" s="12" t="n">
        <x:f>MIN(F307:J307)</x:f>
        <x:v>31</x:v>
      </x:c>
      <x:c r="L307" t="str">
        <x:f>TEXTJOIN(", ",TRUE,IF(F307=K307,"IG",""),IF(G307=K307,"FFD",""),IF(H307=K307,"BFD",""),IF(I307=K307,"WFD",""),IF(J307=K307,"CTP",""))</x:f>
        <x:v>IG, CTP</x:v>
      </x:c>
      <x:c r="M307" s="14" t="n">
        <x:f>IFERROR((F307-$K307)/$K307,"")</x:f>
        <x:v>0</x:v>
      </x:c>
      <x:c r="N307" s="14" t="n">
        <x:f>IFERROR((G307-$K307)/$K307,"")</x:f>
        <x:v>0.0967741935483871</x:v>
      </x:c>
      <x:c r="O307" s="14" t="n">
        <x:f>IFERROR((H307-$K307)/$K307,"")</x:f>
        <x:v>0.0967741935483871</x:v>
      </x:c>
      <x:c r="P307" s="14" t="n">
        <x:f>IFERROR((I307-$K307)/$K307,"")</x:f>
        <x:v>0.12903225806451613</x:v>
      </x:c>
      <x:c r="Q307" s="14" t="n">
        <x:f>IFERROR((J307-$K307)/$K307,"")</x:f>
        <x:v>0</x:v>
      </x:c>
      <x:c r="R307" t="n">
        <x:f>--(F307=$K307)</x:f>
        <x:v>1</x:v>
      </x:c>
      <x:c r="S307" t="n">
        <x:f>--(G307=$K307)</x:f>
        <x:v>0</x:v>
      </x:c>
      <x:c r="T307" t="n">
        <x:f>--(H307=$K307)</x:f>
        <x:v>0</x:v>
      </x:c>
      <x:c r="U307" t="n">
        <x:f>--(I307=$K307)</x:f>
        <x:v>0</x:v>
      </x:c>
      <x:c r="V307" t="n">
        <x:f>--(J307=$K307)</x:f>
        <x:v>1</x:v>
      </x:c>
    </x:row>
    <x:row r="308" ht="18" customHeight="1">
      <x:c r="A308" t="str">
        <x:v>bpps_d10000n100m5w1500_3000s1000_2000f1_seed0</x:v>
      </x:c>
      <x:c r="B308" s="16" t="n">
        <x:v>100</x:v>
      </x:c>
      <x:c r="C308" s="16" t="n">
        <x:v>5</x:v>
      </x:c>
      <x:c r="D308" s="16" t="n">
        <x:v>10000</x:v>
      </x:c>
      <x:c r="E308" s="16" t="n">
        <x:v>514</x:v>
      </x:c>
      <x:c r="F308" s="12" t="n">
        <x:v>389</x:v>
      </x:c>
      <x:c r="G308" s="12" t="n">
        <x:v>558</x:v>
      </x:c>
      <x:c r="H308" s="12" t="n">
        <x:v>564</x:v>
      </x:c>
      <x:c r="I308" s="12" t="n">
        <x:v>557</x:v>
      </x:c>
      <x:c r="J308" s="12" t="n">
        <x:v>403</x:v>
      </x:c>
      <x:c r="K308" s="12" t="n">
        <x:f>MIN(F308:J308)</x:f>
        <x:v>389</x:v>
      </x:c>
      <x:c r="L308" t="str">
        <x:f>TEXTJOIN(", ",TRUE,IF(F308=K308,"IG",""),IF(G308=K308,"FFD",""),IF(H308=K308,"BFD",""),IF(I308=K308,"WFD",""),IF(J308=K308,"CTP",""))</x:f>
        <x:v>IG</x:v>
      </x:c>
      <x:c r="M308" s="14" t="n">
        <x:f>IFERROR((F308-$K308)/$K308,"")</x:f>
        <x:v>0</x:v>
      </x:c>
      <x:c r="N308" s="14" t="n">
        <x:f>IFERROR((G308-$K308)/$K308,"")</x:f>
        <x:v>0.43444730077120824</x:v>
      </x:c>
      <x:c r="O308" s="14" t="n">
        <x:f>IFERROR((H308-$K308)/$K308,"")</x:f>
        <x:v>0.4498714652956298</x:v>
      </x:c>
      <x:c r="P308" s="14" t="n">
        <x:f>IFERROR((I308-$K308)/$K308,"")</x:f>
        <x:v>0.4318766066838046</x:v>
      </x:c>
      <x:c r="Q308" s="14" t="n">
        <x:f>IFERROR((J308-$K308)/$K308,"")</x:f>
        <x:v>0.03598971722365039</x:v>
      </x:c>
      <x:c r="R308" t="n">
        <x:f>--(F308=$K308)</x:f>
        <x:v>1</x:v>
      </x:c>
      <x:c r="S308" t="n">
        <x:f>--(G308=$K308)</x:f>
        <x:v>0</x:v>
      </x:c>
      <x:c r="T308" t="n">
        <x:f>--(H308=$K308)</x:f>
        <x:v>0</x:v>
      </x:c>
      <x:c r="U308" t="n">
        <x:f>--(I308=$K308)</x:f>
        <x:v>0</x:v>
      </x:c>
      <x:c r="V308" t="n">
        <x:f>--(J308=$K308)</x:f>
        <x:v>0</x:v>
      </x:c>
    </x:row>
    <x:row r="309" ht="18" customHeight="1">
      <x:c r="A309" t="str">
        <x:v>bpps_d10000n100m5w1500_3000s1000_2000f1_seed1</x:v>
      </x:c>
      <x:c r="B309" s="16" t="n">
        <x:v>100</x:v>
      </x:c>
      <x:c r="C309" s="16" t="n">
        <x:v>5</x:v>
      </x:c>
      <x:c r="D309" s="16" t="n">
        <x:v>10000</x:v>
      </x:c>
      <x:c r="E309" s="16" t="n">
        <x:v>481</x:v>
      </x:c>
      <x:c r="F309" s="12" t="n">
        <x:v>407</x:v>
      </x:c>
      <x:c r="G309" s="12" t="n">
        <x:v>613</x:v>
      </x:c>
      <x:c r="H309" s="12" t="n">
        <x:v>606</x:v>
      </x:c>
      <x:c r="I309" s="12" t="n">
        <x:v>606</x:v>
      </x:c>
      <x:c r="J309" s="12" t="n">
        <x:v>440</x:v>
      </x:c>
      <x:c r="K309" s="12" t="n">
        <x:f>MIN(F309:J309)</x:f>
        <x:v>407</x:v>
      </x:c>
      <x:c r="L309" t="str">
        <x:f>TEXTJOIN(", ",TRUE,IF(F309=K309,"IG",""),IF(G309=K309,"FFD",""),IF(H309=K309,"BFD",""),IF(I309=K309,"WFD",""),IF(J309=K309,"CTP",""))</x:f>
        <x:v>IG</x:v>
      </x:c>
      <x:c r="M309" s="14" t="n">
        <x:f>IFERROR((F309-$K309)/$K309,"")</x:f>
        <x:v>0</x:v>
      </x:c>
      <x:c r="N309" s="14" t="n">
        <x:f>IFERROR((G309-$K309)/$K309,"")</x:f>
        <x:v>0.5061425061425061</x:v>
      </x:c>
      <x:c r="O309" s="14" t="n">
        <x:f>IFERROR((H309-$K309)/$K309,"")</x:f>
        <x:v>0.48894348894348894</x:v>
      </x:c>
      <x:c r="P309" s="14" t="n">
        <x:f>IFERROR((I309-$K309)/$K309,"")</x:f>
        <x:v>0.48894348894348894</x:v>
      </x:c>
      <x:c r="Q309" s="14" t="n">
        <x:f>IFERROR((J309-$K309)/$K309,"")</x:f>
        <x:v>0.08108108108108109</x:v>
      </x:c>
      <x:c r="R309" t="n">
        <x:f>--(F309=$K309)</x:f>
        <x:v>1</x:v>
      </x:c>
      <x:c r="S309" t="n">
        <x:f>--(G309=$K309)</x:f>
        <x:v>0</x:v>
      </x:c>
      <x:c r="T309" t="n">
        <x:f>--(H309=$K309)</x:f>
        <x:v>0</x:v>
      </x:c>
      <x:c r="U309" t="n">
        <x:f>--(I309=$K309)</x:f>
        <x:v>0</x:v>
      </x:c>
      <x:c r="V309" t="n">
        <x:f>--(J309=$K309)</x:f>
        <x:v>0</x:v>
      </x:c>
    </x:row>
    <x:row r="310" ht="18" customHeight="1">
      <x:c r="A310" t="str">
        <x:v>bpps_d10000n100m5w1500_3000s100_1000f0_seed0</x:v>
      </x:c>
      <x:c r="B310" s="16" t="n">
        <x:v>100</x:v>
      </x:c>
      <x:c r="C310" s="16" t="n">
        <x:v>5</x:v>
      </x:c>
      <x:c r="D310" s="16" t="n">
        <x:v>10000</x:v>
      </x:c>
      <x:c r="E310" s="16" t="n">
        <x:v>483</x:v>
      </x:c>
      <x:c r="F310" s="12" t="n">
        <x:v>27</x:v>
      </x:c>
      <x:c r="G310" s="12" t="n">
        <x:v>29</x:v>
      </x:c>
      <x:c r="H310" s="12" t="n">
        <x:v>29</x:v>
      </x:c>
      <x:c r="I310" s="12" t="n">
        <x:v>29</x:v>
      </x:c>
      <x:c r="J310" s="12" t="n">
        <x:v>27</x:v>
      </x:c>
      <x:c r="K310" s="12" t="n">
        <x:f>MIN(F310:J310)</x:f>
        <x:v>27</x:v>
      </x:c>
      <x:c r="L310" t="str">
        <x:f>TEXTJOIN(", ",TRUE,IF(F310=K310,"IG",""),IF(G310=K310,"FFD",""),IF(H310=K310,"BFD",""),IF(I310=K310,"WFD",""),IF(J310=K310,"CTP",""))</x:f>
        <x:v>IG, CTP</x:v>
      </x:c>
      <x:c r="M310" s="14" t="n">
        <x:f>IFERROR((F310-$K310)/$K310,"")</x:f>
        <x:v>0</x:v>
      </x:c>
      <x:c r="N310" s="14" t="n">
        <x:f>IFERROR((G310-$K310)/$K310,"")</x:f>
        <x:v>0.07407407407407407</x:v>
      </x:c>
      <x:c r="O310" s="14" t="n">
        <x:f>IFERROR((H310-$K310)/$K310,"")</x:f>
        <x:v>0.07407407407407407</x:v>
      </x:c>
      <x:c r="P310" s="14" t="n">
        <x:f>IFERROR((I310-$K310)/$K310,"")</x:f>
        <x:v>0.07407407407407407</x:v>
      </x:c>
      <x:c r="Q310" s="14" t="n">
        <x:f>IFERROR((J310-$K310)/$K310,"")</x:f>
        <x:v>0</x:v>
      </x:c>
      <x:c r="R310" t="n">
        <x:f>--(F310=$K310)</x:f>
        <x:v>1</x:v>
      </x:c>
      <x:c r="S310" t="n">
        <x:f>--(G310=$K310)</x:f>
        <x:v>0</x:v>
      </x:c>
      <x:c r="T310" t="n">
        <x:f>--(H310=$K310)</x:f>
        <x:v>0</x:v>
      </x:c>
      <x:c r="U310" t="n">
        <x:f>--(I310=$K310)</x:f>
        <x:v>0</x:v>
      </x:c>
      <x:c r="V310" t="n">
        <x:f>--(J310=$K310)</x:f>
        <x:v>1</x:v>
      </x:c>
    </x:row>
    <x:row r="311" ht="18" customHeight="1">
      <x:c r="A311" t="str">
        <x:v>bpps_d10000n100m5w1500_3000s100_1000f0_seed1</x:v>
      </x:c>
      <x:c r="B311" s="16" t="n">
        <x:v>100</x:v>
      </x:c>
      <x:c r="C311" s="16" t="n">
        <x:v>5</x:v>
      </x:c>
      <x:c r="D311" s="16" t="n">
        <x:v>10000</x:v>
      </x:c>
      <x:c r="E311" s="16" t="n">
        <x:v>499</x:v>
      </x:c>
      <x:c r="F311" s="12" t="n">
        <x:v>26</x:v>
      </x:c>
      <x:c r="G311" s="12" t="n">
        <x:v>28</x:v>
      </x:c>
      <x:c r="H311" s="12" t="n">
        <x:v>28</x:v>
      </x:c>
      <x:c r="I311" s="12" t="n">
        <x:v>28</x:v>
      </x:c>
      <x:c r="J311" s="12" t="n">
        <x:v>27</x:v>
      </x:c>
      <x:c r="K311" s="12" t="n">
        <x:f>MIN(F311:J311)</x:f>
        <x:v>26</x:v>
      </x:c>
      <x:c r="L311" t="str">
        <x:f>TEXTJOIN(", ",TRUE,IF(F311=K311,"IG",""),IF(G311=K311,"FFD",""),IF(H311=K311,"BFD",""),IF(I311=K311,"WFD",""),IF(J311=K311,"CTP",""))</x:f>
        <x:v>IG</x:v>
      </x:c>
      <x:c r="M311" s="14" t="n">
        <x:f>IFERROR((F311-$K311)/$K311,"")</x:f>
        <x:v>0</x:v>
      </x:c>
      <x:c r="N311" s="14" t="n">
        <x:f>IFERROR((G311-$K311)/$K311,"")</x:f>
        <x:v>0.07692307692307693</x:v>
      </x:c>
      <x:c r="O311" s="14" t="n">
        <x:f>IFERROR((H311-$K311)/$K311,"")</x:f>
        <x:v>0.07692307692307693</x:v>
      </x:c>
      <x:c r="P311" s="14" t="n">
        <x:f>IFERROR((I311-$K311)/$K311,"")</x:f>
        <x:v>0.07692307692307693</x:v>
      </x:c>
      <x:c r="Q311" s="14" t="n">
        <x:f>IFERROR((J311-$K311)/$K311,"")</x:f>
        <x:v>0.038461538461538464</x:v>
      </x:c>
      <x:c r="R311" t="n">
        <x:f>--(F311=$K311)</x:f>
        <x:v>1</x:v>
      </x:c>
      <x:c r="S311" t="n">
        <x:f>--(G311=$K311)</x:f>
        <x:v>0</x:v>
      </x:c>
      <x:c r="T311" t="n">
        <x:f>--(H311=$K311)</x:f>
        <x:v>0</x:v>
      </x:c>
      <x:c r="U311" t="n">
        <x:f>--(I311=$K311)</x:f>
        <x:v>0</x:v>
      </x:c>
      <x:c r="V311" t="n">
        <x:f>--(J311=$K311)</x:f>
        <x:v>0</x:v>
      </x:c>
    </x:row>
    <x:row r="312" ht="18" customHeight="1">
      <x:c r="A312" t="str">
        <x:v>bpps_d10000n100m5w1500_3000s100_1000f1_seed0</x:v>
      </x:c>
      <x:c r="B312" s="16" t="n">
        <x:v>100</x:v>
      </x:c>
      <x:c r="C312" s="16" t="n">
        <x:v>5</x:v>
      </x:c>
      <x:c r="D312" s="16" t="n">
        <x:v>10000</x:v>
      </x:c>
      <x:c r="E312" s="16" t="n">
        <x:v>519</x:v>
      </x:c>
      <x:c r="F312" s="12" t="n">
        <x:v>339</x:v>
      </x:c>
      <x:c r="G312" s="12" t="n">
        <x:v>490</x:v>
      </x:c>
      <x:c r="H312" s="12" t="n">
        <x:v>490</x:v>
      </x:c>
      <x:c r="I312" s="12" t="n">
        <x:v>494</x:v>
      </x:c>
      <x:c r="J312" s="12" t="n">
        <x:v>355</x:v>
      </x:c>
      <x:c r="K312" s="12" t="n">
        <x:f>MIN(F312:J312)</x:f>
        <x:v>339</x:v>
      </x:c>
      <x:c r="L312" t="str">
        <x:f>TEXTJOIN(", ",TRUE,IF(F312=K312,"IG",""),IF(G312=K312,"FFD",""),IF(H312=K312,"BFD",""),IF(I312=K312,"WFD",""),IF(J312=K312,"CTP",""))</x:f>
        <x:v>IG</x:v>
      </x:c>
      <x:c r="M312" s="14" t="n">
        <x:f>IFERROR((F312-$K312)/$K312,"")</x:f>
        <x:v>0</x:v>
      </x:c>
      <x:c r="N312" s="14" t="n">
        <x:f>IFERROR((G312-$K312)/$K312,"")</x:f>
        <x:v>0.44542772861356933</x:v>
      </x:c>
      <x:c r="O312" s="14" t="n">
        <x:f>IFERROR((H312-$K312)/$K312,"")</x:f>
        <x:v>0.44542772861356933</x:v>
      </x:c>
      <x:c r="P312" s="14" t="n">
        <x:f>IFERROR((I312-$K312)/$K312,"")</x:f>
        <x:v>0.45722713864306785</x:v>
      </x:c>
      <x:c r="Q312" s="14" t="n">
        <x:f>IFERROR((J312-$K312)/$K312,"")</x:f>
        <x:v>0.0471976401179941</x:v>
      </x:c>
      <x:c r="R312" t="n">
        <x:f>--(F312=$K312)</x:f>
        <x:v>1</x:v>
      </x:c>
      <x:c r="S312" t="n">
        <x:f>--(G312=$K312)</x:f>
        <x:v>0</x:v>
      </x:c>
      <x:c r="T312" t="n">
        <x:f>--(H312=$K312)</x:f>
        <x:v>0</x:v>
      </x:c>
      <x:c r="U312" t="n">
        <x:f>--(I312=$K312)</x:f>
        <x:v>0</x:v>
      </x:c>
      <x:c r="V312" t="n">
        <x:f>--(J312=$K312)</x:f>
        <x:v>0</x:v>
      </x:c>
    </x:row>
    <x:row r="313" ht="18" customHeight="1">
      <x:c r="A313" t="str">
        <x:v>bpps_d10000n100m5w1500_3000s100_1000f1_seed1</x:v>
      </x:c>
      <x:c r="B313" s="16" t="n">
        <x:v>100</x:v>
      </x:c>
      <x:c r="C313" s="16" t="n">
        <x:v>5</x:v>
      </x:c>
      <x:c r="D313" s="16" t="n">
        <x:v>10000</x:v>
      </x:c>
      <x:c r="E313" s="16" t="n">
        <x:v>512</x:v>
      </x:c>
      <x:c r="F313" s="12" t="n">
        <x:v>357</x:v>
      </x:c>
      <x:c r="G313" s="12" t="n">
        <x:v>532</x:v>
      </x:c>
      <x:c r="H313" s="12" t="n">
        <x:v>550</x:v>
      </x:c>
      <x:c r="I313" s="12" t="n">
        <x:v>533</x:v>
      </x:c>
      <x:c r="J313" s="12" t="n">
        <x:v>386</x:v>
      </x:c>
      <x:c r="K313" s="12" t="n">
        <x:f>MIN(F313:J313)</x:f>
        <x:v>357</x:v>
      </x:c>
      <x:c r="L313" t="str">
        <x:f>TEXTJOIN(", ",TRUE,IF(F313=K313,"IG",""),IF(G313=K313,"FFD",""),IF(H313=K313,"BFD",""),IF(I313=K313,"WFD",""),IF(J313=K313,"CTP",""))</x:f>
        <x:v>IG</x:v>
      </x:c>
      <x:c r="M313" s="14" t="n">
        <x:f>IFERROR((F313-$K313)/$K313,"")</x:f>
        <x:v>0</x:v>
      </x:c>
      <x:c r="N313" s="14" t="n">
        <x:f>IFERROR((G313-$K313)/$K313,"")</x:f>
        <x:v>0.49019607843137253</x:v>
      </x:c>
      <x:c r="O313" s="14" t="n">
        <x:f>IFERROR((H313-$K313)/$K313,"")</x:f>
        <x:v>0.5406162464985994</x:v>
      </x:c>
      <x:c r="P313" s="14" t="n">
        <x:f>IFERROR((I313-$K313)/$K313,"")</x:f>
        <x:v>0.49299719887955185</x:v>
      </x:c>
      <x:c r="Q313" s="14" t="n">
        <x:f>IFERROR((J313-$K313)/$K313,"")</x:f>
        <x:v>0.08123249299719888</x:v>
      </x:c>
      <x:c r="R313" t="n">
        <x:f>--(F313=$K313)</x:f>
        <x:v>1</x:v>
      </x:c>
      <x:c r="S313" t="n">
        <x:f>--(G313=$K313)</x:f>
        <x:v>0</x:v>
      </x:c>
      <x:c r="T313" t="n">
        <x:f>--(H313=$K313)</x:f>
        <x:v>0</x:v>
      </x:c>
      <x:c r="U313" t="n">
        <x:f>--(I313=$K313)</x:f>
        <x:v>0</x:v>
      </x:c>
      <x:c r="V313" t="n">
        <x:f>--(J313=$K313)</x:f>
        <x:v>0</x:v>
      </x:c>
    </x:row>
    <x:row r="314" ht="18" customHeight="1">
      <x:c r="A314" t="str">
        <x:v>bpps_d10000n100m5w500_1500s1000_2000f0_seed0</x:v>
      </x:c>
      <x:c r="B314" s="16" t="n">
        <x:v>100</x:v>
      </x:c>
      <x:c r="C314" s="16" t="n">
        <x:v>5</x:v>
      </x:c>
      <x:c r="D314" s="16" t="n">
        <x:v>10000</x:v>
      </x:c>
      <x:c r="E314" s="16" t="n">
        <x:v>526</x:v>
      </x:c>
      <x:c r="F314" s="12" t="n">
        <x:v>15</x:v>
      </x:c>
      <x:c r="G314" s="12" t="n">
        <x:v>19</x:v>
      </x:c>
      <x:c r="H314" s="12" t="n">
        <x:v>19</x:v>
      </x:c>
      <x:c r="I314" s="12" t="n">
        <x:v>19</x:v>
      </x:c>
      <x:c r="J314" s="12" t="n">
        <x:v>15</x:v>
      </x:c>
      <x:c r="K314" s="12" t="n">
        <x:f>MIN(F314:J314)</x:f>
        <x:v>15</x:v>
      </x:c>
      <x:c r="L314" t="str">
        <x:f>TEXTJOIN(", ",TRUE,IF(F314=K314,"IG",""),IF(G314=K314,"FFD",""),IF(H314=K314,"BFD",""),IF(I314=K314,"WFD",""),IF(J314=K314,"CTP",""))</x:f>
        <x:v>IG, CTP</x:v>
      </x:c>
      <x:c r="M314" s="14" t="n">
        <x:f>IFERROR((F314-$K314)/$K314,"")</x:f>
        <x:v>0</x:v>
      </x:c>
      <x:c r="N314" s="14" t="n">
        <x:f>IFERROR((G314-$K314)/$K314,"")</x:f>
        <x:v>0.26666666666666666</x:v>
      </x:c>
      <x:c r="O314" s="14" t="n">
        <x:f>IFERROR((H314-$K314)/$K314,"")</x:f>
        <x:v>0.26666666666666666</x:v>
      </x:c>
      <x:c r="P314" s="14" t="n">
        <x:f>IFERROR((I314-$K314)/$K314,"")</x:f>
        <x:v>0.26666666666666666</x:v>
      </x:c>
      <x:c r="Q314" s="14" t="n">
        <x:f>IFERROR((J314-$K314)/$K314,"")</x:f>
        <x:v>0</x:v>
      </x:c>
      <x:c r="R314" t="n">
        <x:f>--(F314=$K314)</x:f>
        <x:v>1</x:v>
      </x:c>
      <x:c r="S314" t="n">
        <x:f>--(G314=$K314)</x:f>
        <x:v>0</x:v>
      </x:c>
      <x:c r="T314" t="n">
        <x:f>--(H314=$K314)</x:f>
        <x:v>0</x:v>
      </x:c>
      <x:c r="U314" t="n">
        <x:f>--(I314=$K314)</x:f>
        <x:v>0</x:v>
      </x:c>
      <x:c r="V314" t="n">
        <x:f>--(J314=$K314)</x:f>
        <x:v>1</x:v>
      </x:c>
    </x:row>
    <x:row r="315" ht="18" customHeight="1">
      <x:c r="A315" t="str">
        <x:v>bpps_d10000n100m5w500_1500s1000_2000f0_seed1</x:v>
      </x:c>
      <x:c r="B315" s="16" t="n">
        <x:v>100</x:v>
      </x:c>
      <x:c r="C315" s="16" t="n">
        <x:v>5</x:v>
      </x:c>
      <x:c r="D315" s="16" t="n">
        <x:v>10000</x:v>
      </x:c>
      <x:c r="E315" s="16" t="n">
        <x:v>498</x:v>
      </x:c>
      <x:c r="F315" s="12" t="n">
        <x:v>14</x:v>
      </x:c>
      <x:c r="G315" s="12" t="n">
        <x:v>19</x:v>
      </x:c>
      <x:c r="H315" s="12" t="n">
        <x:v>19</x:v>
      </x:c>
      <x:c r="I315" s="12" t="n">
        <x:v>18</x:v>
      </x:c>
      <x:c r="J315" s="12" t="n">
        <x:v>15</x:v>
      </x:c>
      <x:c r="K315" s="12" t="n">
        <x:f>MIN(F315:J315)</x:f>
        <x:v>14</x:v>
      </x:c>
      <x:c r="L315" t="str">
        <x:f>TEXTJOIN(", ",TRUE,IF(F315=K315,"IG",""),IF(G315=K315,"FFD",""),IF(H315=K315,"BFD",""),IF(I315=K315,"WFD",""),IF(J315=K315,"CTP",""))</x:f>
        <x:v>IG</x:v>
      </x:c>
      <x:c r="M315" s="14" t="n">
        <x:f>IFERROR((F315-$K315)/$K315,"")</x:f>
        <x:v>0</x:v>
      </x:c>
      <x:c r="N315" s="14" t="n">
        <x:f>IFERROR((G315-$K315)/$K315,"")</x:f>
        <x:v>0.35714285714285715</x:v>
      </x:c>
      <x:c r="O315" s="14" t="n">
        <x:f>IFERROR((H315-$K315)/$K315,"")</x:f>
        <x:v>0.35714285714285715</x:v>
      </x:c>
      <x:c r="P315" s="14" t="n">
        <x:f>IFERROR((I315-$K315)/$K315,"")</x:f>
        <x:v>0.2857142857142857</x:v>
      </x:c>
      <x:c r="Q315" s="14" t="n">
        <x:f>IFERROR((J315-$K315)/$K315,"")</x:f>
        <x:v>0.07142857142857142</x:v>
      </x:c>
      <x:c r="R315" t="n">
        <x:f>--(F315=$K315)</x:f>
        <x:v>1</x:v>
      </x:c>
      <x:c r="S315" t="n">
        <x:f>--(G315=$K315)</x:f>
        <x:v>0</x:v>
      </x:c>
      <x:c r="T315" t="n">
        <x:f>--(H315=$K315)</x:f>
        <x:v>0</x:v>
      </x:c>
      <x:c r="U315" t="n">
        <x:f>--(I315=$K315)</x:f>
        <x:v>0</x:v>
      </x:c>
      <x:c r="V315" t="n">
        <x:f>--(J315=$K315)</x:f>
        <x:v>0</x:v>
      </x:c>
    </x:row>
    <x:row r="316" ht="18" customHeight="1">
      <x:c r="A316" t="str">
        <x:v>bpps_d10000n100m5w500_1500s1000_2000f1_seed0</x:v>
      </x:c>
      <x:c r="B316" s="16" t="n">
        <x:v>100</x:v>
      </x:c>
      <x:c r="C316" s="16" t="n">
        <x:v>5</x:v>
      </x:c>
      <x:c r="D316" s="16" t="n">
        <x:v>10000</x:v>
      </x:c>
      <x:c r="E316" s="16" t="n">
        <x:v>489</x:v>
      </x:c>
      <x:c r="F316" s="12" t="n">
        <x:v>189</x:v>
      </x:c>
      <x:c r="G316" s="12" t="n">
        <x:v>377</x:v>
      </x:c>
      <x:c r="H316" s="12" t="n">
        <x:v>374</x:v>
      </x:c>
      <x:c r="I316" s="12" t="n">
        <x:v>358</x:v>
      </x:c>
      <x:c r="J316" s="12" t="n">
        <x:v>220</x:v>
      </x:c>
      <x:c r="K316" s="12" t="n">
        <x:f>MIN(F316:J316)</x:f>
        <x:v>189</x:v>
      </x:c>
      <x:c r="L316" t="str">
        <x:f>TEXTJOIN(", ",TRUE,IF(F316=K316,"IG",""),IF(G316=K316,"FFD",""),IF(H316=K316,"BFD",""),IF(I316=K316,"WFD",""),IF(J316=K316,"CTP",""))</x:f>
        <x:v>IG</x:v>
      </x:c>
      <x:c r="M316" s="14" t="n">
        <x:f>IFERROR((F316-$K316)/$K316,"")</x:f>
        <x:v>0</x:v>
      </x:c>
      <x:c r="N316" s="14" t="n">
        <x:f>IFERROR((G316-$K316)/$K316,"")</x:f>
        <x:v>0.9947089947089947</x:v>
      </x:c>
      <x:c r="O316" s="14" t="n">
        <x:f>IFERROR((H316-$K316)/$K316,"")</x:f>
        <x:v>0.9788359788359788</x:v>
      </x:c>
      <x:c r="P316" s="14" t="n">
        <x:f>IFERROR((I316-$K316)/$K316,"")</x:f>
        <x:v>0.8941798941798942</x:v>
      </x:c>
      <x:c r="Q316" s="14" t="n">
        <x:f>IFERROR((J316-$K316)/$K316,"")</x:f>
        <x:v>0.164021164021164</x:v>
      </x:c>
      <x:c r="R316" t="n">
        <x:f>--(F316=$K316)</x:f>
        <x:v>1</x:v>
      </x:c>
      <x:c r="S316" t="n">
        <x:f>--(G316=$K316)</x:f>
        <x:v>0</x:v>
      </x:c>
      <x:c r="T316" t="n">
        <x:f>--(H316=$K316)</x:f>
        <x:v>0</x:v>
      </x:c>
      <x:c r="U316" t="n">
        <x:f>--(I316=$K316)</x:f>
        <x:v>0</x:v>
      </x:c>
      <x:c r="V316" t="n">
        <x:f>--(J316=$K316)</x:f>
        <x:v>0</x:v>
      </x:c>
    </x:row>
    <x:row r="317" ht="18" customHeight="1">
      <x:c r="A317" t="str">
        <x:v>bpps_d10000n100m5w500_1500s1000_2000f1_seed1</x:v>
      </x:c>
      <x:c r="B317" s="16" t="n">
        <x:v>100</x:v>
      </x:c>
      <x:c r="C317" s="16" t="n">
        <x:v>5</x:v>
      </x:c>
      <x:c r="D317" s="16" t="n">
        <x:v>10000</x:v>
      </x:c>
      <x:c r="E317" s="16" t="n">
        <x:v>473</x:v>
      </x:c>
      <x:c r="F317" s="12" t="n">
        <x:v>174</x:v>
      </x:c>
      <x:c r="G317" s="12" t="n">
        <x:v>357</x:v>
      </x:c>
      <x:c r="H317" s="12" t="n">
        <x:v>356</x:v>
      </x:c>
      <x:c r="I317" s="12" t="n">
        <x:v>343</x:v>
      </x:c>
      <x:c r="J317" s="12" t="n">
        <x:v>208</x:v>
      </x:c>
      <x:c r="K317" s="12" t="n">
        <x:f>MIN(F317:J317)</x:f>
        <x:v>174</x:v>
      </x:c>
      <x:c r="L317" t="str">
        <x:f>TEXTJOIN(", ",TRUE,IF(F317=K317,"IG",""),IF(G317=K317,"FFD",""),IF(H317=K317,"BFD",""),IF(I317=K317,"WFD",""),IF(J317=K317,"CTP",""))</x:f>
        <x:v>IG</x:v>
      </x:c>
      <x:c r="M317" s="14" t="n">
        <x:f>IFERROR((F317-$K317)/$K317,"")</x:f>
        <x:v>0</x:v>
      </x:c>
      <x:c r="N317" s="14" t="n">
        <x:f>IFERROR((G317-$K317)/$K317,"")</x:f>
        <x:v>1.0517241379310345</x:v>
      </x:c>
      <x:c r="O317" s="14" t="n">
        <x:f>IFERROR((H317-$K317)/$K317,"")</x:f>
        <x:v>1.0459770114942528</x:v>
      </x:c>
      <x:c r="P317" s="14" t="n">
        <x:f>IFERROR((I317-$K317)/$K317,"")</x:f>
        <x:v>0.9712643678160919</x:v>
      </x:c>
      <x:c r="Q317" s="14" t="n">
        <x:f>IFERROR((J317-$K317)/$K317,"")</x:f>
        <x:v>0.19540229885057472</x:v>
      </x:c>
      <x:c r="R317" t="n">
        <x:f>--(F317=$K317)</x:f>
        <x:v>1</x:v>
      </x:c>
      <x:c r="S317" t="n">
        <x:f>--(G317=$K317)</x:f>
        <x:v>0</x:v>
      </x:c>
      <x:c r="T317" t="n">
        <x:f>--(H317=$K317)</x:f>
        <x:v>0</x:v>
      </x:c>
      <x:c r="U317" t="n">
        <x:f>--(I317=$K317)</x:f>
        <x:v>0</x:v>
      </x:c>
      <x:c r="V317" t="n">
        <x:f>--(J317=$K317)</x:f>
        <x:v>0</x:v>
      </x:c>
    </x:row>
    <x:row r="318" ht="18" customHeight="1">
      <x:c r="A318" t="str">
        <x:v>bpps_d10000n100m5w500_1500s100_1000f0_seed0</x:v>
      </x:c>
      <x:c r="B318" s="16" t="n">
        <x:v>100</x:v>
      </x:c>
      <x:c r="C318" s="16" t="n">
        <x:v>5</x:v>
      </x:c>
      <x:c r="D318" s="16" t="n">
        <x:v>10000</x:v>
      </x:c>
      <x:c r="E318" s="16" t="n">
        <x:v>482</x:v>
      </x:c>
      <x:c r="F318" s="12" t="n">
        <x:v>13</x:v>
      </x:c>
      <x:c r="G318" s="12" t="n">
        <x:v>14</x:v>
      </x:c>
      <x:c r="H318" s="12" t="n">
        <x:v>14</x:v>
      </x:c>
      <x:c r="I318" s="12" t="n">
        <x:v>14</x:v>
      </x:c>
      <x:c r="J318" s="12" t="n">
        <x:v>15</x:v>
      </x:c>
      <x:c r="K318" s="12" t="n">
        <x:f>MIN(F318:J318)</x:f>
        <x:v>13</x:v>
      </x:c>
      <x:c r="L318" t="str">
        <x:f>TEXTJOIN(", ",TRUE,IF(F318=K318,"IG",""),IF(G318=K318,"FFD",""),IF(H318=K318,"BFD",""),IF(I318=K318,"WFD",""),IF(J318=K318,"CTP",""))</x:f>
        <x:v>IG</x:v>
      </x:c>
      <x:c r="M318" s="14" t="n">
        <x:f>IFERROR((F318-$K318)/$K318,"")</x:f>
        <x:v>0</x:v>
      </x:c>
      <x:c r="N318" s="14" t="n">
        <x:f>IFERROR((G318-$K318)/$K318,"")</x:f>
        <x:v>0.07692307692307693</x:v>
      </x:c>
      <x:c r="O318" s="14" t="n">
        <x:f>IFERROR((H318-$K318)/$K318,"")</x:f>
        <x:v>0.07692307692307693</x:v>
      </x:c>
      <x:c r="P318" s="14" t="n">
        <x:f>IFERROR((I318-$K318)/$K318,"")</x:f>
        <x:v>0.07692307692307693</x:v>
      </x:c>
      <x:c r="Q318" s="14" t="n">
        <x:f>IFERROR((J318-$K318)/$K318,"")</x:f>
        <x:v>0.15384615384615385</x:v>
      </x:c>
      <x:c r="R318" t="n">
        <x:f>--(F318=$K318)</x:f>
        <x:v>1</x:v>
      </x:c>
      <x:c r="S318" t="n">
        <x:f>--(G318=$K318)</x:f>
        <x:v>0</x:v>
      </x:c>
      <x:c r="T318" t="n">
        <x:f>--(H318=$K318)</x:f>
        <x:v>0</x:v>
      </x:c>
      <x:c r="U318" t="n">
        <x:f>--(I318=$K318)</x:f>
        <x:v>0</x:v>
      </x:c>
      <x:c r="V318" t="n">
        <x:f>--(J318=$K318)</x:f>
        <x:v>0</x:v>
      </x:c>
    </x:row>
    <x:row r="319" ht="18" customHeight="1">
      <x:c r="A319" t="str">
        <x:v>bpps_d10000n100m5w500_1500s100_1000f0_seed1</x:v>
      </x:c>
      <x:c r="B319" s="16" t="n">
        <x:v>100</x:v>
      </x:c>
      <x:c r="C319" s="16" t="n">
        <x:v>5</x:v>
      </x:c>
      <x:c r="D319" s="16" t="n">
        <x:v>10000</x:v>
      </x:c>
      <x:c r="E319" s="16" t="n">
        <x:v>485</x:v>
      </x:c>
      <x:c r="F319" s="12" t="n">
        <x:v>12</x:v>
      </x:c>
      <x:c r="G319" s="12" t="n">
        <x:v>14</x:v>
      </x:c>
      <x:c r="H319" s="12" t="n">
        <x:v>14</x:v>
      </x:c>
      <x:c r="I319" s="12" t="n">
        <x:v>14</x:v>
      </x:c>
      <x:c r="J319" s="12" t="n">
        <x:v>13</x:v>
      </x:c>
      <x:c r="K319" s="12" t="n">
        <x:f>MIN(F319:J319)</x:f>
        <x:v>12</x:v>
      </x:c>
      <x:c r="L319" t="str">
        <x:f>TEXTJOIN(", ",TRUE,IF(F319=K319,"IG",""),IF(G319=K319,"FFD",""),IF(H319=K319,"BFD",""),IF(I319=K319,"WFD",""),IF(J319=K319,"CTP",""))</x:f>
        <x:v>IG</x:v>
      </x:c>
      <x:c r="M319" s="14" t="n">
        <x:f>IFERROR((F319-$K319)/$K319,"")</x:f>
        <x:v>0</x:v>
      </x:c>
      <x:c r="N319" s="14" t="n">
        <x:f>IFERROR((G319-$K319)/$K319,"")</x:f>
        <x:v>0.16666666666666666</x:v>
      </x:c>
      <x:c r="O319" s="14" t="n">
        <x:f>IFERROR((H319-$K319)/$K319,"")</x:f>
        <x:v>0.16666666666666666</x:v>
      </x:c>
      <x:c r="P319" s="14" t="n">
        <x:f>IFERROR((I319-$K319)/$K319,"")</x:f>
        <x:v>0.16666666666666666</x:v>
      </x:c>
      <x:c r="Q319" s="14" t="n">
        <x:f>IFERROR((J319-$K319)/$K319,"")</x:f>
        <x:v>0.08333333333333333</x:v>
      </x:c>
      <x:c r="R319" t="n">
        <x:f>--(F319=$K319)</x:f>
        <x:v>1</x:v>
      </x:c>
      <x:c r="S319" t="n">
        <x:f>--(G319=$K319)</x:f>
        <x:v>0</x:v>
      </x:c>
      <x:c r="T319" t="n">
        <x:f>--(H319=$K319)</x:f>
        <x:v>0</x:v>
      </x:c>
      <x:c r="U319" t="n">
        <x:f>--(I319=$K319)</x:f>
        <x:v>0</x:v>
      </x:c>
      <x:c r="V319" t="n">
        <x:f>--(J319=$K319)</x:f>
        <x:v>0</x:v>
      </x:c>
    </x:row>
    <x:row r="320" ht="18" customHeight="1">
      <x:c r="A320" t="str">
        <x:v>bpps_d10000n100m5w500_1500s100_1000f1_seed0</x:v>
      </x:c>
      <x:c r="B320" s="16" t="n">
        <x:v>100</x:v>
      </x:c>
      <x:c r="C320" s="16" t="n">
        <x:v>5</x:v>
      </x:c>
      <x:c r="D320" s="16" t="n">
        <x:v>10000</x:v>
      </x:c>
      <x:c r="E320" s="16" t="n">
        <x:v>491</x:v>
      </x:c>
      <x:c r="F320" s="12" t="n">
        <x:v>173</x:v>
      </x:c>
      <x:c r="G320" s="12" t="n">
        <x:v>303</x:v>
      </x:c>
      <x:c r="H320" s="12" t="n">
        <x:v>314</x:v>
      </x:c>
      <x:c r="I320" s="12" t="n">
        <x:v>303</x:v>
      </x:c>
      <x:c r="J320" s="12" t="n">
        <x:v>188</x:v>
      </x:c>
      <x:c r="K320" s="12" t="n">
        <x:f>MIN(F320:J320)</x:f>
        <x:v>173</x:v>
      </x:c>
      <x:c r="L320" t="str">
        <x:f>TEXTJOIN(", ",TRUE,IF(F320=K320,"IG",""),IF(G320=K320,"FFD",""),IF(H320=K320,"BFD",""),IF(I320=K320,"WFD",""),IF(J320=K320,"CTP",""))</x:f>
        <x:v>IG</x:v>
      </x:c>
      <x:c r="M320" s="14" t="n">
        <x:f>IFERROR((F320-$K320)/$K320,"")</x:f>
        <x:v>0</x:v>
      </x:c>
      <x:c r="N320" s="14" t="n">
        <x:f>IFERROR((G320-$K320)/$K320,"")</x:f>
        <x:v>0.7514450867052023</x:v>
      </x:c>
      <x:c r="O320" s="14" t="n">
        <x:f>IFERROR((H320-$K320)/$K320,"")</x:f>
        <x:v>0.815028901734104</x:v>
      </x:c>
      <x:c r="P320" s="14" t="n">
        <x:f>IFERROR((I320-$K320)/$K320,"")</x:f>
        <x:v>0.7514450867052023</x:v>
      </x:c>
      <x:c r="Q320" s="14" t="n">
        <x:f>IFERROR((J320-$K320)/$K320,"")</x:f>
        <x:v>0.08670520231213873</x:v>
      </x:c>
      <x:c r="R320" t="n">
        <x:f>--(F320=$K320)</x:f>
        <x:v>1</x:v>
      </x:c>
      <x:c r="S320" t="n">
        <x:f>--(G320=$K320)</x:f>
        <x:v>0</x:v>
      </x:c>
      <x:c r="T320" t="n">
        <x:f>--(H320=$K320)</x:f>
        <x:v>0</x:v>
      </x:c>
      <x:c r="U320" t="n">
        <x:f>--(I320=$K320)</x:f>
        <x:v>0</x:v>
      </x:c>
      <x:c r="V320" t="n">
        <x:f>--(J320=$K320)</x:f>
        <x:v>0</x:v>
      </x:c>
    </x:row>
    <x:row r="321" ht="18" customHeight="1">
      <x:c r="A321" t="str">
        <x:v>bpps_d10000n100m5w500_1500s100_1000f1_seed1</x:v>
      </x:c>
      <x:c r="B321" s="16" t="n">
        <x:v>100</x:v>
      </x:c>
      <x:c r="C321" s="16" t="n">
        <x:v>5</x:v>
      </x:c>
      <x:c r="D321" s="16" t="n">
        <x:v>10000</x:v>
      </x:c>
      <x:c r="E321" s="16" t="n">
        <x:v>484</x:v>
      </x:c>
      <x:c r="F321" s="12" t="n">
        <x:v>168</x:v>
      </x:c>
      <x:c r="G321" s="12" t="n">
        <x:v>298</x:v>
      </x:c>
      <x:c r="H321" s="12" t="n">
        <x:v>303</x:v>
      </x:c>
      <x:c r="I321" s="12" t="n">
        <x:v>299</x:v>
      </x:c>
      <x:c r="J321" s="12" t="n">
        <x:v>208</x:v>
      </x:c>
      <x:c r="K321" s="12" t="n">
        <x:f>MIN(F321:J321)</x:f>
        <x:v>168</x:v>
      </x:c>
      <x:c r="L321" t="str">
        <x:f>TEXTJOIN(", ",TRUE,IF(F321=K321,"IG",""),IF(G321=K321,"FFD",""),IF(H321=K321,"BFD",""),IF(I321=K321,"WFD",""),IF(J321=K321,"CTP",""))</x:f>
        <x:v>IG</x:v>
      </x:c>
      <x:c r="M321" s="14" t="n">
        <x:f>IFERROR((F321-$K321)/$K321,"")</x:f>
        <x:v>0</x:v>
      </x:c>
      <x:c r="N321" s="14" t="n">
        <x:f>IFERROR((G321-$K321)/$K321,"")</x:f>
        <x:v>0.7738095238095238</x:v>
      </x:c>
      <x:c r="O321" s="14" t="n">
        <x:f>IFERROR((H321-$K321)/$K321,"")</x:f>
        <x:v>0.8035714285714286</x:v>
      </x:c>
      <x:c r="P321" s="14" t="n">
        <x:f>IFERROR((I321-$K321)/$K321,"")</x:f>
        <x:v>0.7797619047619048</x:v>
      </x:c>
      <x:c r="Q321" s="14" t="n">
        <x:f>IFERROR((J321-$K321)/$K321,"")</x:f>
        <x:v>0.23809523809523808</x:v>
      </x:c>
      <x:c r="R321" t="n">
        <x:f>--(F321=$K321)</x:f>
        <x:v>1</x:v>
      </x:c>
      <x:c r="S321" t="n">
        <x:f>--(G321=$K321)</x:f>
        <x:v>0</x:v>
      </x:c>
      <x:c r="T321" t="n">
        <x:f>--(H321=$K321)</x:f>
        <x:v>0</x:v>
      </x:c>
      <x:c r="U321" t="n">
        <x:f>--(I321=$K321)</x:f>
        <x:v>0</x:v>
      </x:c>
      <x:c r="V321" t="n">
        <x:f>--(J321=$K321)</x:f>
        <x:v>0</x:v>
      </x:c>
    </x:row>
    <x:row r="322" ht="18" customHeight="1">
      <x:c r="A322" t="str">
        <x:v>bpps_d1000n100m10w150_300s100_200f0_seed0</x:v>
      </x:c>
      <x:c r="B322" s="16" t="n">
        <x:v>100</x:v>
      </x:c>
      <x:c r="C322" s="16" t="n">
        <x:v>10</x:v>
      </x:c>
      <x:c r="D322" s="16" t="n">
        <x:v>1000</x:v>
      </x:c>
      <x:c r="E322" s="16" t="n">
        <x:v>492</x:v>
      </x:c>
      <x:c r="F322" s="12" t="n">
        <x:v>31</x:v>
      </x:c>
      <x:c r="G322" s="12" t="n">
        <x:v>36</x:v>
      </x:c>
      <x:c r="H322" s="12" t="n">
        <x:v>36</x:v>
      </x:c>
      <x:c r="I322" s="12" t="n">
        <x:v>37</x:v>
      </x:c>
      <x:c r="J322" s="12" t="n">
        <x:v>31</x:v>
      </x:c>
      <x:c r="K322" s="12" t="n">
        <x:f>MIN(F322:J322)</x:f>
        <x:v>31</x:v>
      </x:c>
      <x:c r="L322" t="str">
        <x:f>TEXTJOIN(", ",TRUE,IF(F322=K322,"IG",""),IF(G322=K322,"FFD",""),IF(H322=K322,"BFD",""),IF(I322=K322,"WFD",""),IF(J322=K322,"CTP",""))</x:f>
        <x:v>IG, CTP</x:v>
      </x:c>
      <x:c r="M322" s="14" t="n">
        <x:f>IFERROR((F322-$K322)/$K322,"")</x:f>
        <x:v>0</x:v>
      </x:c>
      <x:c r="N322" s="14" t="n">
        <x:f>IFERROR((G322-$K322)/$K322,"")</x:f>
        <x:v>0.16129032258064516</x:v>
      </x:c>
      <x:c r="O322" s="14" t="n">
        <x:f>IFERROR((H322-$K322)/$K322,"")</x:f>
        <x:v>0.16129032258064516</x:v>
      </x:c>
      <x:c r="P322" s="14" t="n">
        <x:f>IFERROR((I322-$K322)/$K322,"")</x:f>
        <x:v>0.1935483870967742</x:v>
      </x:c>
      <x:c r="Q322" s="14" t="n">
        <x:f>IFERROR((J322-$K322)/$K322,"")</x:f>
        <x:v>0</x:v>
      </x:c>
      <x:c r="R322" t="n">
        <x:f>--(F322=$K322)</x:f>
        <x:v>1</x:v>
      </x:c>
      <x:c r="S322" t="n">
        <x:f>--(G322=$K322)</x:f>
        <x:v>0</x:v>
      </x:c>
      <x:c r="T322" t="n">
        <x:f>--(H322=$K322)</x:f>
        <x:v>0</x:v>
      </x:c>
      <x:c r="U322" t="n">
        <x:f>--(I322=$K322)</x:f>
        <x:v>0</x:v>
      </x:c>
      <x:c r="V322" t="n">
        <x:f>--(J322=$K322)</x:f>
        <x:v>1</x:v>
      </x:c>
    </x:row>
    <x:row r="323" ht="18" customHeight="1">
      <x:c r="A323" t="str">
        <x:v>bpps_d1000n100m10w150_300s100_200f0_seed1</x:v>
      </x:c>
      <x:c r="B323" s="16" t="n">
        <x:v>100</x:v>
      </x:c>
      <x:c r="C323" s="16" t="n">
        <x:v>10</x:v>
      </x:c>
      <x:c r="D323" s="16" t="n">
        <x:v>1000</x:v>
      </x:c>
      <x:c r="E323" s="16" t="n">
        <x:v>497</x:v>
      </x:c>
      <x:c r="F323" s="12" t="n">
        <x:v>30</x:v>
      </x:c>
      <x:c r="G323" s="12" t="n">
        <x:v>33</x:v>
      </x:c>
      <x:c r="H323" s="12" t="n">
        <x:v>34</x:v>
      </x:c>
      <x:c r="I323" s="12" t="n">
        <x:v>34</x:v>
      </x:c>
      <x:c r="J323" s="12" t="n">
        <x:v>30</x:v>
      </x:c>
      <x:c r="K323" s="12" t="n">
        <x:f>MIN(F323:J323)</x:f>
        <x:v>30</x:v>
      </x:c>
      <x:c r="L323" t="str">
        <x:f>TEXTJOIN(", ",TRUE,IF(F323=K323,"IG",""),IF(G323=K323,"FFD",""),IF(H323=K323,"BFD",""),IF(I323=K323,"WFD",""),IF(J323=K323,"CTP",""))</x:f>
        <x:v>IG, CTP</x:v>
      </x:c>
      <x:c r="M323" s="14" t="n">
        <x:f>IFERROR((F323-$K323)/$K323,"")</x:f>
        <x:v>0</x:v>
      </x:c>
      <x:c r="N323" s="14" t="n">
        <x:f>IFERROR((G323-$K323)/$K323,"")</x:f>
        <x:v>0.1</x:v>
      </x:c>
      <x:c r="O323" s="14" t="n">
        <x:f>IFERROR((H323-$K323)/$K323,"")</x:f>
        <x:v>0.13333333333333333</x:v>
      </x:c>
      <x:c r="P323" s="14" t="n">
        <x:f>IFERROR((I323-$K323)/$K323,"")</x:f>
        <x:v>0.13333333333333333</x:v>
      </x:c>
      <x:c r="Q323" s="14" t="n">
        <x:f>IFERROR((J323-$K323)/$K323,"")</x:f>
        <x:v>0</x:v>
      </x:c>
      <x:c r="R323" t="n">
        <x:f>--(F323=$K323)</x:f>
        <x:v>1</x:v>
      </x:c>
      <x:c r="S323" t="n">
        <x:f>--(G323=$K323)</x:f>
        <x:v>0</x:v>
      </x:c>
      <x:c r="T323" t="n">
        <x:f>--(H323=$K323)</x:f>
        <x:v>0</x:v>
      </x:c>
      <x:c r="U323" t="n">
        <x:f>--(I323=$K323)</x:f>
        <x:v>0</x:v>
      </x:c>
      <x:c r="V323" t="n">
        <x:f>--(J323=$K323)</x:f>
        <x:v>1</x:v>
      </x:c>
    </x:row>
    <x:row r="324" ht="18" customHeight="1">
      <x:c r="A324" t="str">
        <x:v>bpps_d1000n100m10w150_300s100_200f1_seed0</x:v>
      </x:c>
      <x:c r="B324" s="16" t="n">
        <x:v>100</x:v>
      </x:c>
      <x:c r="C324" s="16" t="n">
        <x:v>10</x:v>
      </x:c>
      <x:c r="D324" s="16" t="n">
        <x:v>1000</x:v>
      </x:c>
      <x:c r="E324" s="16" t="n">
        <x:v>503</x:v>
      </x:c>
      <x:c r="F324" s="12" t="n">
        <x:v>403</x:v>
      </x:c>
      <x:c r="G324" s="12" t="n">
        <x:v>609</x:v>
      </x:c>
      <x:c r="H324" s="12" t="n">
        <x:v>599</x:v>
      </x:c>
      <x:c r="I324" s="12" t="n">
        <x:v>619</x:v>
      </x:c>
      <x:c r="J324" s="12" t="n">
        <x:v>441</x:v>
      </x:c>
      <x:c r="K324" s="12" t="n">
        <x:f>MIN(F324:J324)</x:f>
        <x:v>403</x:v>
      </x:c>
      <x:c r="L324" t="str">
        <x:f>TEXTJOIN(", ",TRUE,IF(F324=K324,"IG",""),IF(G324=K324,"FFD",""),IF(H324=K324,"BFD",""),IF(I324=K324,"WFD",""),IF(J324=K324,"CTP",""))</x:f>
        <x:v>IG</x:v>
      </x:c>
      <x:c r="M324" s="14" t="n">
        <x:f>IFERROR((F324-$K324)/$K324,"")</x:f>
        <x:v>0</x:v>
      </x:c>
      <x:c r="N324" s="14" t="n">
        <x:f>IFERROR((G324-$K324)/$K324,"")</x:f>
        <x:v>0.511166253101737</x:v>
      </x:c>
      <x:c r="O324" s="14" t="n">
        <x:f>IFERROR((H324-$K324)/$K324,"")</x:f>
        <x:v>0.48635235732009924</x:v>
      </x:c>
      <x:c r="P324" s="14" t="n">
        <x:f>IFERROR((I324-$K324)/$K324,"")</x:f>
        <x:v>0.5359801488833746</x:v>
      </x:c>
      <x:c r="Q324" s="14" t="n">
        <x:f>IFERROR((J324-$K324)/$K324,"")</x:f>
        <x:v>0.09429280397022333</x:v>
      </x:c>
      <x:c r="R324" t="n">
        <x:f>--(F324=$K324)</x:f>
        <x:v>1</x:v>
      </x:c>
      <x:c r="S324" t="n">
        <x:f>--(G324=$K324)</x:f>
        <x:v>0</x:v>
      </x:c>
      <x:c r="T324" t="n">
        <x:f>--(H324=$K324)</x:f>
        <x:v>0</x:v>
      </x:c>
      <x:c r="U324" t="n">
        <x:f>--(I324=$K324)</x:f>
        <x:v>0</x:v>
      </x:c>
      <x:c r="V324" t="n">
        <x:f>--(J324=$K324)</x:f>
        <x:v>0</x:v>
      </x:c>
    </x:row>
    <x:row r="325" ht="18" customHeight="1">
      <x:c r="A325" t="str">
        <x:v>bpps_d1000n100m10w150_300s100_200f1_seed1</x:v>
      </x:c>
      <x:c r="B325" s="16" t="n">
        <x:v>100</x:v>
      </x:c>
      <x:c r="C325" s="16" t="n">
        <x:v>10</x:v>
      </x:c>
      <x:c r="D325" s="16" t="n">
        <x:v>1000</x:v>
      </x:c>
      <x:c r="E325" s="16" t="n">
        <x:v>518</x:v>
      </x:c>
      <x:c r="F325" s="12" t="n">
        <x:v>386</x:v>
      </x:c>
      <x:c r="G325" s="12" t="n">
        <x:v>522</x:v>
      </x:c>
      <x:c r="H325" s="12" t="n">
        <x:v>528</x:v>
      </x:c>
      <x:c r="I325" s="12" t="n">
        <x:v>539</x:v>
      </x:c>
      <x:c r="J325" s="12" t="n">
        <x:v>408</x:v>
      </x:c>
      <x:c r="K325" s="12" t="n">
        <x:f>MIN(F325:J325)</x:f>
        <x:v>386</x:v>
      </x:c>
      <x:c r="L325" t="str">
        <x:f>TEXTJOIN(", ",TRUE,IF(F325=K325,"IG",""),IF(G325=K325,"FFD",""),IF(H325=K325,"BFD",""),IF(I325=K325,"WFD",""),IF(J325=K325,"CTP",""))</x:f>
        <x:v>IG</x:v>
      </x:c>
      <x:c r="M325" s="14" t="n">
        <x:f>IFERROR((F325-$K325)/$K325,"")</x:f>
        <x:v>0</x:v>
      </x:c>
      <x:c r="N325" s="14" t="n">
        <x:f>IFERROR((G325-$K325)/$K325,"")</x:f>
        <x:v>0.35233160621761656</x:v>
      </x:c>
      <x:c r="O325" s="14" t="n">
        <x:f>IFERROR((H325-$K325)/$K325,"")</x:f>
        <x:v>0.36787564766839376</x:v>
      </x:c>
      <x:c r="P325" s="14" t="n">
        <x:f>IFERROR((I325-$K325)/$K325,"")</x:f>
        <x:v>0.3963730569948187</x:v>
      </x:c>
      <x:c r="Q325" s="14" t="n">
        <x:f>IFERROR((J325-$K325)/$K325,"")</x:f>
        <x:v>0.05699481865284974</x:v>
      </x:c>
      <x:c r="R325" t="n">
        <x:f>--(F325=$K325)</x:f>
        <x:v>1</x:v>
      </x:c>
      <x:c r="S325" t="n">
        <x:f>--(G325=$K325)</x:f>
        <x:v>0</x:v>
      </x:c>
      <x:c r="T325" t="n">
        <x:f>--(H325=$K325)</x:f>
        <x:v>0</x:v>
      </x:c>
      <x:c r="U325" t="n">
        <x:f>--(I325=$K325)</x:f>
        <x:v>0</x:v>
      </x:c>
      <x:c r="V325" t="n">
        <x:f>--(J325=$K325)</x:f>
        <x:v>0</x:v>
      </x:c>
    </x:row>
    <x:row r="326" ht="18" customHeight="1">
      <x:c r="A326" t="str">
        <x:v>bpps_d1000n100m10w150_300s10_100f0_seed0</x:v>
      </x:c>
      <x:c r="B326" s="16" t="n">
        <x:v>100</x:v>
      </x:c>
      <x:c r="C326" s="16" t="n">
        <x:v>10</x:v>
      </x:c>
      <x:c r="D326" s="16" t="n">
        <x:v>1000</x:v>
      </x:c>
      <x:c r="E326" s="16" t="n">
        <x:v>457</x:v>
      </x:c>
      <x:c r="F326" s="12" t="n">
        <x:v>26</x:v>
      </x:c>
      <x:c r="G326" s="12" t="n">
        <x:v>28</x:v>
      </x:c>
      <x:c r="H326" s="12" t="n">
        <x:v>28</x:v>
      </x:c>
      <x:c r="I326" s="12" t="n">
        <x:v>28</x:v>
      </x:c>
      <x:c r="J326" s="12" t="n">
        <x:v>27</x:v>
      </x:c>
      <x:c r="K326" s="12" t="n">
        <x:f>MIN(F326:J326)</x:f>
        <x:v>26</x:v>
      </x:c>
      <x:c r="L326" t="str">
        <x:f>TEXTJOIN(", ",TRUE,IF(F326=K326,"IG",""),IF(G326=K326,"FFD",""),IF(H326=K326,"BFD",""),IF(I326=K326,"WFD",""),IF(J326=K326,"CTP",""))</x:f>
        <x:v>IG</x:v>
      </x:c>
      <x:c r="M326" s="14" t="n">
        <x:f>IFERROR((F326-$K326)/$K326,"")</x:f>
        <x:v>0</x:v>
      </x:c>
      <x:c r="N326" s="14" t="n">
        <x:f>IFERROR((G326-$K326)/$K326,"")</x:f>
        <x:v>0.07692307692307693</x:v>
      </x:c>
      <x:c r="O326" s="14" t="n">
        <x:f>IFERROR((H326-$K326)/$K326,"")</x:f>
        <x:v>0.07692307692307693</x:v>
      </x:c>
      <x:c r="P326" s="14" t="n">
        <x:f>IFERROR((I326-$K326)/$K326,"")</x:f>
        <x:v>0.07692307692307693</x:v>
      </x:c>
      <x:c r="Q326" s="14" t="n">
        <x:f>IFERROR((J326-$K326)/$K326,"")</x:f>
        <x:v>0.038461538461538464</x:v>
      </x:c>
      <x:c r="R326" t="n">
        <x:f>--(F326=$K326)</x:f>
        <x:v>1</x:v>
      </x:c>
      <x:c r="S326" t="n">
        <x:f>--(G326=$K326)</x:f>
        <x:v>0</x:v>
      </x:c>
      <x:c r="T326" t="n">
        <x:f>--(H326=$K326)</x:f>
        <x:v>0</x:v>
      </x:c>
      <x:c r="U326" t="n">
        <x:f>--(I326=$K326)</x:f>
        <x:v>0</x:v>
      </x:c>
      <x:c r="V326" t="n">
        <x:f>--(J326=$K326)</x:f>
        <x:v>0</x:v>
      </x:c>
    </x:row>
    <x:row r="327" ht="18" customHeight="1">
      <x:c r="A327" t="str">
        <x:v>bpps_d1000n100m10w150_300s10_100f0_seed1</x:v>
      </x:c>
      <x:c r="B327" s="16" t="n">
        <x:v>100</x:v>
      </x:c>
      <x:c r="C327" s="16" t="n">
        <x:v>10</x:v>
      </x:c>
      <x:c r="D327" s="16" t="n">
        <x:v>1000</x:v>
      </x:c>
      <x:c r="E327" s="16" t="n">
        <x:v>511</x:v>
      </x:c>
      <x:c r="F327" s="12" t="n">
        <x:v>26</x:v>
      </x:c>
      <x:c r="G327" s="12" t="n">
        <x:v>27</x:v>
      </x:c>
      <x:c r="H327" s="12" t="n">
        <x:v>27</x:v>
      </x:c>
      <x:c r="I327" s="12" t="n">
        <x:v>27</x:v>
      </x:c>
      <x:c r="J327" s="12" t="n">
        <x:v>26</x:v>
      </x:c>
      <x:c r="K327" s="12" t="n">
        <x:f>MIN(F327:J327)</x:f>
        <x:v>26</x:v>
      </x:c>
      <x:c r="L327" t="str">
        <x:f>TEXTJOIN(", ",TRUE,IF(F327=K327,"IG",""),IF(G327=K327,"FFD",""),IF(H327=K327,"BFD",""),IF(I327=K327,"WFD",""),IF(J327=K327,"CTP",""))</x:f>
        <x:v>IG, CTP</x:v>
      </x:c>
      <x:c r="M327" s="14" t="n">
        <x:f>IFERROR((F327-$K327)/$K327,"")</x:f>
        <x:v>0</x:v>
      </x:c>
      <x:c r="N327" s="14" t="n">
        <x:f>IFERROR((G327-$K327)/$K327,"")</x:f>
        <x:v>0.038461538461538464</x:v>
      </x:c>
      <x:c r="O327" s="14" t="n">
        <x:f>IFERROR((H327-$K327)/$K327,"")</x:f>
        <x:v>0.038461538461538464</x:v>
      </x:c>
      <x:c r="P327" s="14" t="n">
        <x:f>IFERROR((I327-$K327)/$K327,"")</x:f>
        <x:v>0.038461538461538464</x:v>
      </x:c>
      <x:c r="Q327" s="14" t="n">
        <x:f>IFERROR((J327-$K327)/$K327,"")</x:f>
        <x:v>0</x:v>
      </x:c>
      <x:c r="R327" t="n">
        <x:f>--(F327=$K327)</x:f>
        <x:v>1</x:v>
      </x:c>
      <x:c r="S327" t="n">
        <x:f>--(G327=$K327)</x:f>
        <x:v>0</x:v>
      </x:c>
      <x:c r="T327" t="n">
        <x:f>--(H327=$K327)</x:f>
        <x:v>0</x:v>
      </x:c>
      <x:c r="U327" t="n">
        <x:f>--(I327=$K327)</x:f>
        <x:v>0</x:v>
      </x:c>
      <x:c r="V327" t="n">
        <x:f>--(J327=$K327)</x:f>
        <x:v>1</x:v>
      </x:c>
    </x:row>
    <x:row r="328" ht="18" customHeight="1">
      <x:c r="A328" t="str">
        <x:v>bpps_d1000n100m10w150_300s10_100f1_seed0</x:v>
      </x:c>
      <x:c r="B328" s="16" t="n">
        <x:v>100</x:v>
      </x:c>
      <x:c r="C328" s="16" t="n">
        <x:v>10</x:v>
      </x:c>
      <x:c r="D328" s="16" t="n">
        <x:v>1000</x:v>
      </x:c>
      <x:c r="E328" s="16" t="n">
        <x:v>483</x:v>
      </x:c>
      <x:c r="F328" s="12" t="n">
        <x:v>356</x:v>
      </x:c>
      <x:c r="G328" s="12" t="n">
        <x:v>540</x:v>
      </x:c>
      <x:c r="H328" s="12" t="n">
        <x:v>540</x:v>
      </x:c>
      <x:c r="I328" s="12" t="n">
        <x:v>558</x:v>
      </x:c>
      <x:c r="J328" s="12" t="n">
        <x:v>381</x:v>
      </x:c>
      <x:c r="K328" s="12" t="n">
        <x:f>MIN(F328:J328)</x:f>
        <x:v>356</x:v>
      </x:c>
      <x:c r="L328" t="str">
        <x:f>TEXTJOIN(", ",TRUE,IF(F328=K328,"IG",""),IF(G328=K328,"FFD",""),IF(H328=K328,"BFD",""),IF(I328=K328,"WFD",""),IF(J328=K328,"CTP",""))</x:f>
        <x:v>IG</x:v>
      </x:c>
      <x:c r="M328" s="14" t="n">
        <x:f>IFERROR((F328-$K328)/$K328,"")</x:f>
        <x:v>0</x:v>
      </x:c>
      <x:c r="N328" s="14" t="n">
        <x:f>IFERROR((G328-$K328)/$K328,"")</x:f>
        <x:v>0.5168539325842697</x:v>
      </x:c>
      <x:c r="O328" s="14" t="n">
        <x:f>IFERROR((H328-$K328)/$K328,"")</x:f>
        <x:v>0.5168539325842697</x:v>
      </x:c>
      <x:c r="P328" s="14" t="n">
        <x:f>IFERROR((I328-$K328)/$K328,"")</x:f>
        <x:v>0.5674157303370787</x:v>
      </x:c>
      <x:c r="Q328" s="14" t="n">
        <x:f>IFERROR((J328-$K328)/$K328,"")</x:f>
        <x:v>0.0702247191011236</x:v>
      </x:c>
      <x:c r="R328" t="n">
        <x:f>--(F328=$K328)</x:f>
        <x:v>1</x:v>
      </x:c>
      <x:c r="S328" t="n">
        <x:f>--(G328=$K328)</x:f>
        <x:v>0</x:v>
      </x:c>
      <x:c r="T328" t="n">
        <x:f>--(H328=$K328)</x:f>
        <x:v>0</x:v>
      </x:c>
      <x:c r="U328" t="n">
        <x:f>--(I328=$K328)</x:f>
        <x:v>0</x:v>
      </x:c>
      <x:c r="V328" t="n">
        <x:f>--(J328=$K328)</x:f>
        <x:v>0</x:v>
      </x:c>
    </x:row>
    <x:row r="329" ht="18" customHeight="1">
      <x:c r="A329" t="str">
        <x:v>bpps_d1000n100m10w150_300s10_100f1_seed1</x:v>
      </x:c>
      <x:c r="B329" s="16" t="n">
        <x:v>100</x:v>
      </x:c>
      <x:c r="C329" s="16" t="n">
        <x:v>10</x:v>
      </x:c>
      <x:c r="D329" s="16" t="n">
        <x:v>1000</x:v>
      </x:c>
      <x:c r="E329" s="16" t="n">
        <x:v>484</x:v>
      </x:c>
      <x:c r="F329" s="12" t="n">
        <x:v>335</x:v>
      </x:c>
      <x:c r="G329" s="12" t="n">
        <x:v>494</x:v>
      </x:c>
      <x:c r="H329" s="12" t="n">
        <x:v>498</x:v>
      </x:c>
      <x:c r="I329" s="12" t="n">
        <x:v>517</x:v>
      </x:c>
      <x:c r="J329" s="12" t="n">
        <x:v>369</x:v>
      </x:c>
      <x:c r="K329" s="12" t="n">
        <x:f>MIN(F329:J329)</x:f>
        <x:v>335</x:v>
      </x:c>
      <x:c r="L329" t="str">
        <x:f>TEXTJOIN(", ",TRUE,IF(F329=K329,"IG",""),IF(G329=K329,"FFD",""),IF(H329=K329,"BFD",""),IF(I329=K329,"WFD",""),IF(J329=K329,"CTP",""))</x:f>
        <x:v>IG</x:v>
      </x:c>
      <x:c r="M329" s="14" t="n">
        <x:f>IFERROR((F329-$K329)/$K329,"")</x:f>
        <x:v>0</x:v>
      </x:c>
      <x:c r="N329" s="14" t="n">
        <x:f>IFERROR((G329-$K329)/$K329,"")</x:f>
        <x:v>0.4746268656716418</x:v>
      </x:c>
      <x:c r="O329" s="14" t="n">
        <x:f>IFERROR((H329-$K329)/$K329,"")</x:f>
        <x:v>0.48656716417910445</x:v>
      </x:c>
      <x:c r="P329" s="14" t="n">
        <x:f>IFERROR((I329-$K329)/$K329,"")</x:f>
        <x:v>0.5432835820895522</x:v>
      </x:c>
      <x:c r="Q329" s="14" t="n">
        <x:f>IFERROR((J329-$K329)/$K329,"")</x:f>
        <x:v>0.10149253731343283</x:v>
      </x:c>
      <x:c r="R329" t="n">
        <x:f>--(F329=$K329)</x:f>
        <x:v>1</x:v>
      </x:c>
      <x:c r="S329" t="n">
        <x:f>--(G329=$K329)</x:f>
        <x:v>0</x:v>
      </x:c>
      <x:c r="T329" t="n">
        <x:f>--(H329=$K329)</x:f>
        <x:v>0</x:v>
      </x:c>
      <x:c r="U329" t="n">
        <x:f>--(I329=$K329)</x:f>
        <x:v>0</x:v>
      </x:c>
      <x:c r="V329" t="n">
        <x:f>--(J329=$K329)</x:f>
        <x:v>0</x:v>
      </x:c>
    </x:row>
    <x:row r="330" ht="18" customHeight="1">
      <x:c r="A330" t="str">
        <x:v>bpps_d1000n100m10w50_150s100_200f0_seed0</x:v>
      </x:c>
      <x:c r="B330" s="16" t="n">
        <x:v>100</x:v>
      </x:c>
      <x:c r="C330" s="16" t="n">
        <x:v>10</x:v>
      </x:c>
      <x:c r="D330" s="16" t="n">
        <x:v>1000</x:v>
      </x:c>
      <x:c r="E330" s="16" t="n">
        <x:v>511</x:v>
      </x:c>
      <x:c r="F330" s="12" t="n">
        <x:v>16</x:v>
      </x:c>
      <x:c r="G330" s="12" t="n">
        <x:v>22</x:v>
      </x:c>
      <x:c r="H330" s="12" t="n">
        <x:v>22</x:v>
      </x:c>
      <x:c r="I330" s="12" t="n">
        <x:v>21</x:v>
      </x:c>
      <x:c r="J330" s="12" t="n">
        <x:v>16</x:v>
      </x:c>
      <x:c r="K330" s="12" t="n">
        <x:f>MIN(F330:J330)</x:f>
        <x:v>16</x:v>
      </x:c>
      <x:c r="L330" t="str">
        <x:f>TEXTJOIN(", ",TRUE,IF(F330=K330,"IG",""),IF(G330=K330,"FFD",""),IF(H330=K330,"BFD",""),IF(I330=K330,"WFD",""),IF(J330=K330,"CTP",""))</x:f>
        <x:v>IG, CTP</x:v>
      </x:c>
      <x:c r="M330" s="14" t="n">
        <x:f>IFERROR((F330-$K330)/$K330,"")</x:f>
        <x:v>0</x:v>
      </x:c>
      <x:c r="N330" s="14" t="n">
        <x:f>IFERROR((G330-$K330)/$K330,"")</x:f>
        <x:v>0.375</x:v>
      </x:c>
      <x:c r="O330" s="14" t="n">
        <x:f>IFERROR((H330-$K330)/$K330,"")</x:f>
        <x:v>0.375</x:v>
      </x:c>
      <x:c r="P330" s="14" t="n">
        <x:f>IFERROR((I330-$K330)/$K330,"")</x:f>
        <x:v>0.3125</x:v>
      </x:c>
      <x:c r="Q330" s="14" t="n">
        <x:f>IFERROR((J330-$K330)/$K330,"")</x:f>
        <x:v>0</x:v>
      </x:c>
      <x:c r="R330" t="n">
        <x:f>--(F330=$K330)</x:f>
        <x:v>1</x:v>
      </x:c>
      <x:c r="S330" t="n">
        <x:f>--(G330=$K330)</x:f>
        <x:v>0</x:v>
      </x:c>
      <x:c r="T330" t="n">
        <x:f>--(H330=$K330)</x:f>
        <x:v>0</x:v>
      </x:c>
      <x:c r="U330" t="n">
        <x:f>--(I330=$K330)</x:f>
        <x:v>0</x:v>
      </x:c>
      <x:c r="V330" t="n">
        <x:f>--(J330=$K330)</x:f>
        <x:v>1</x:v>
      </x:c>
    </x:row>
    <x:row r="331" ht="18" customHeight="1">
      <x:c r="A331" t="str">
        <x:v>bpps_d1000n100m10w50_150s100_200f0_seed1</x:v>
      </x:c>
      <x:c r="B331" s="16" t="n">
        <x:v>100</x:v>
      </x:c>
      <x:c r="C331" s="16" t="n">
        <x:v>10</x:v>
      </x:c>
      <x:c r="D331" s="16" t="n">
        <x:v>1000</x:v>
      </x:c>
      <x:c r="E331" s="16" t="n">
        <x:v>517</x:v>
      </x:c>
      <x:c r="F331" s="12" t="n">
        <x:v>15</x:v>
      </x:c>
      <x:c r="G331" s="12" t="n">
        <x:v>21</x:v>
      </x:c>
      <x:c r="H331" s="12" t="n">
        <x:v>20</x:v>
      </x:c>
      <x:c r="I331" s="12" t="n">
        <x:v>20</x:v>
      </x:c>
      <x:c r="J331" s="12" t="n">
        <x:v>16</x:v>
      </x:c>
      <x:c r="K331" s="12" t="n">
        <x:f>MIN(F331:J331)</x:f>
        <x:v>15</x:v>
      </x:c>
      <x:c r="L331" t="str">
        <x:f>TEXTJOIN(", ",TRUE,IF(F331=K331,"IG",""),IF(G331=K331,"FFD",""),IF(H331=K331,"BFD",""),IF(I331=K331,"WFD",""),IF(J331=K331,"CTP",""))</x:f>
        <x:v>IG</x:v>
      </x:c>
      <x:c r="M331" s="14" t="n">
        <x:f>IFERROR((F331-$K331)/$K331,"")</x:f>
        <x:v>0</x:v>
      </x:c>
      <x:c r="N331" s="14" t="n">
        <x:f>IFERROR((G331-$K331)/$K331,"")</x:f>
        <x:v>0.4</x:v>
      </x:c>
      <x:c r="O331" s="14" t="n">
        <x:f>IFERROR((H331-$K331)/$K331,"")</x:f>
        <x:v>0.3333333333333333</x:v>
      </x:c>
      <x:c r="P331" s="14" t="n">
        <x:f>IFERROR((I331-$K331)/$K331,"")</x:f>
        <x:v>0.3333333333333333</x:v>
      </x:c>
      <x:c r="Q331" s="14" t="n">
        <x:f>IFERROR((J331-$K331)/$K331,"")</x:f>
        <x:v>0.06666666666666667</x:v>
      </x:c>
      <x:c r="R331" t="n">
        <x:f>--(F331=$K331)</x:f>
        <x:v>1</x:v>
      </x:c>
      <x:c r="S331" t="n">
        <x:f>--(G331=$K331)</x:f>
        <x:v>0</x:v>
      </x:c>
      <x:c r="T331" t="n">
        <x:f>--(H331=$K331)</x:f>
        <x:v>0</x:v>
      </x:c>
      <x:c r="U331" t="n">
        <x:f>--(I331=$K331)</x:f>
        <x:v>0</x:v>
      </x:c>
      <x:c r="V331" t="n">
        <x:f>--(J331=$K331)</x:f>
        <x:v>0</x:v>
      </x:c>
    </x:row>
    <x:row r="332" ht="18" customHeight="1">
      <x:c r="A332" t="str">
        <x:v>bpps_d1000n100m10w50_150s100_200f1_seed0</x:v>
      </x:c>
      <x:c r="B332" s="16" t="n">
        <x:v>100</x:v>
      </x:c>
      <x:c r="C332" s="16" t="n">
        <x:v>10</x:v>
      </x:c>
      <x:c r="D332" s="16" t="n">
        <x:v>1000</x:v>
      </x:c>
      <x:c r="E332" s="16" t="n">
        <x:v>496</x:v>
      </x:c>
      <x:c r="F332" s="12" t="n">
        <x:v>221</x:v>
      </x:c>
      <x:c r="G332" s="12" t="n">
        <x:v>433</x:v>
      </x:c>
      <x:c r="H332" s="12" t="n">
        <x:v>431</x:v>
      </x:c>
      <x:c r="I332" s="12" t="n">
        <x:v>444</x:v>
      </x:c>
      <x:c r="J332" s="12" t="n">
        <x:v>241</x:v>
      </x:c>
      <x:c r="K332" s="12" t="n">
        <x:f>MIN(F332:J332)</x:f>
        <x:v>221</x:v>
      </x:c>
      <x:c r="L332" t="str">
        <x:f>TEXTJOIN(", ",TRUE,IF(F332=K332,"IG",""),IF(G332=K332,"FFD",""),IF(H332=K332,"BFD",""),IF(I332=K332,"WFD",""),IF(J332=K332,"CTP",""))</x:f>
        <x:v>IG</x:v>
      </x:c>
      <x:c r="M332" s="14" t="n">
        <x:f>IFERROR((F332-$K332)/$K332,"")</x:f>
        <x:v>0</x:v>
      </x:c>
      <x:c r="N332" s="14" t="n">
        <x:f>IFERROR((G332-$K332)/$K332,"")</x:f>
        <x:v>0.9592760180995475</x:v>
      </x:c>
      <x:c r="O332" s="14" t="n">
        <x:f>IFERROR((H332-$K332)/$K332,"")</x:f>
        <x:v>0.9502262443438914</x:v>
      </x:c>
      <x:c r="P332" s="14" t="n">
        <x:f>IFERROR((I332-$K332)/$K332,"")</x:f>
        <x:v>1.009049773755656</x:v>
      </x:c>
      <x:c r="Q332" s="14" t="n">
        <x:f>IFERROR((J332-$K332)/$K332,"")</x:f>
        <x:v>0.09049773755656108</x:v>
      </x:c>
      <x:c r="R332" t="n">
        <x:f>--(F332=$K332)</x:f>
        <x:v>1</x:v>
      </x:c>
      <x:c r="S332" t="n">
        <x:f>--(G332=$K332)</x:f>
        <x:v>0</x:v>
      </x:c>
      <x:c r="T332" t="n">
        <x:f>--(H332=$K332)</x:f>
        <x:v>0</x:v>
      </x:c>
      <x:c r="U332" t="n">
        <x:f>--(I332=$K332)</x:f>
        <x:v>0</x:v>
      </x:c>
      <x:c r="V332" t="n">
        <x:f>--(J332=$K332)</x:f>
        <x:v>0</x:v>
      </x:c>
    </x:row>
    <x:row r="333" ht="18" customHeight="1">
      <x:c r="A333" t="str">
        <x:v>bpps_d1000n100m10w50_150s100_200f1_seed1</x:v>
      </x:c>
      <x:c r="B333" s="16" t="n">
        <x:v>100</x:v>
      </x:c>
      <x:c r="C333" s="16" t="n">
        <x:v>10</x:v>
      </x:c>
      <x:c r="D333" s="16" t="n">
        <x:v>1000</x:v>
      </x:c>
      <x:c r="E333" s="16" t="n">
        <x:v>489</x:v>
      </x:c>
      <x:c r="F333" s="12" t="n">
        <x:v>210</x:v>
      </x:c>
      <x:c r="G333" s="12" t="n">
        <x:v>409</x:v>
      </x:c>
      <x:c r="H333" s="12" t="n">
        <x:v>409</x:v>
      </x:c>
      <x:c r="I333" s="12" t="n">
        <x:v>401</x:v>
      </x:c>
      <x:c r="J333" s="12" t="n">
        <x:v>227</x:v>
      </x:c>
      <x:c r="K333" s="12" t="n">
        <x:f>MIN(F333:J333)</x:f>
        <x:v>210</x:v>
      </x:c>
      <x:c r="L333" t="str">
        <x:f>TEXTJOIN(", ",TRUE,IF(F333=K333,"IG",""),IF(G333=K333,"FFD",""),IF(H333=K333,"BFD",""),IF(I333=K333,"WFD",""),IF(J333=K333,"CTP",""))</x:f>
        <x:v>IG</x:v>
      </x:c>
      <x:c r="M333" s="14" t="n">
        <x:f>IFERROR((F333-$K333)/$K333,"")</x:f>
        <x:v>0</x:v>
      </x:c>
      <x:c r="N333" s="14" t="n">
        <x:f>IFERROR((G333-$K333)/$K333,"")</x:f>
        <x:v>0.9476190476190476</x:v>
      </x:c>
      <x:c r="O333" s="14" t="n">
        <x:f>IFERROR((H333-$K333)/$K333,"")</x:f>
        <x:v>0.9476190476190476</x:v>
      </x:c>
      <x:c r="P333" s="14" t="n">
        <x:f>IFERROR((I333-$K333)/$K333,"")</x:f>
        <x:v>0.9095238095238095</x:v>
      </x:c>
      <x:c r="Q333" s="14" t="n">
        <x:f>IFERROR((J333-$K333)/$K333,"")</x:f>
        <x:v>0.08095238095238096</x:v>
      </x:c>
      <x:c r="R333" t="n">
        <x:f>--(F333=$K333)</x:f>
        <x:v>1</x:v>
      </x:c>
      <x:c r="S333" t="n">
        <x:f>--(G333=$K333)</x:f>
        <x:v>0</x:v>
      </x:c>
      <x:c r="T333" t="n">
        <x:f>--(H333=$K333)</x:f>
        <x:v>0</x:v>
      </x:c>
      <x:c r="U333" t="n">
        <x:f>--(I333=$K333)</x:f>
        <x:v>0</x:v>
      </x:c>
      <x:c r="V333" t="n">
        <x:f>--(J333=$K333)</x:f>
        <x:v>0</x:v>
      </x:c>
    </x:row>
    <x:row r="334" ht="18" customHeight="1">
      <x:c r="A334" t="str">
        <x:v>bpps_d1000n100m10w50_150s10_100f0_seed0</x:v>
      </x:c>
      <x:c r="B334" s="16" t="n">
        <x:v>100</x:v>
      </x:c>
      <x:c r="C334" s="16" t="n">
        <x:v>10</x:v>
      </x:c>
      <x:c r="D334" s="16" t="n">
        <x:v>1000</x:v>
      </x:c>
      <x:c r="E334" s="16" t="n">
        <x:v>496</x:v>
      </x:c>
      <x:c r="F334" s="12" t="n">
        <x:v>13</x:v>
      </x:c>
      <x:c r="G334" s="12" t="n">
        <x:v>14</x:v>
      </x:c>
      <x:c r="H334" s="12" t="n">
        <x:v>15</x:v>
      </x:c>
      <x:c r="I334" s="12" t="n">
        <x:v>14</x:v>
      </x:c>
      <x:c r="J334" s="12" t="n">
        <x:v>14</x:v>
      </x:c>
      <x:c r="K334" s="12" t="n">
        <x:f>MIN(F334:J334)</x:f>
        <x:v>13</x:v>
      </x:c>
      <x:c r="L334" t="str">
        <x:f>TEXTJOIN(", ",TRUE,IF(F334=K334,"IG",""),IF(G334=K334,"FFD",""),IF(H334=K334,"BFD",""),IF(I334=K334,"WFD",""),IF(J334=K334,"CTP",""))</x:f>
        <x:v>IG</x:v>
      </x:c>
      <x:c r="M334" s="14" t="n">
        <x:f>IFERROR((F334-$K334)/$K334,"")</x:f>
        <x:v>0</x:v>
      </x:c>
      <x:c r="N334" s="14" t="n">
        <x:f>IFERROR((G334-$K334)/$K334,"")</x:f>
        <x:v>0.07692307692307693</x:v>
      </x:c>
      <x:c r="O334" s="14" t="n">
        <x:f>IFERROR((H334-$K334)/$K334,"")</x:f>
        <x:v>0.15384615384615385</x:v>
      </x:c>
      <x:c r="P334" s="14" t="n">
        <x:f>IFERROR((I334-$K334)/$K334,"")</x:f>
        <x:v>0.07692307692307693</x:v>
      </x:c>
      <x:c r="Q334" s="14" t="n">
        <x:f>IFERROR((J334-$K334)/$K334,"")</x:f>
        <x:v>0.07692307692307693</x:v>
      </x:c>
      <x:c r="R334" t="n">
        <x:f>--(F334=$K334)</x:f>
        <x:v>1</x:v>
      </x:c>
      <x:c r="S334" t="n">
        <x:f>--(G334=$K334)</x:f>
        <x:v>0</x:v>
      </x:c>
      <x:c r="T334" t="n">
        <x:f>--(H334=$K334)</x:f>
        <x:v>0</x:v>
      </x:c>
      <x:c r="U334" t="n">
        <x:f>--(I334=$K334)</x:f>
        <x:v>0</x:v>
      </x:c>
      <x:c r="V334" t="n">
        <x:f>--(J334=$K334)</x:f>
        <x:v>0</x:v>
      </x:c>
    </x:row>
    <x:row r="335" ht="18" customHeight="1">
      <x:c r="A335" t="str">
        <x:v>bpps_d1000n100m10w50_150s10_100f0_seed1</x:v>
      </x:c>
      <x:c r="B335" s="16" t="n">
        <x:v>100</x:v>
      </x:c>
      <x:c r="C335" s="16" t="n">
        <x:v>10</x:v>
      </x:c>
      <x:c r="D335" s="16" t="n">
        <x:v>1000</x:v>
      </x:c>
      <x:c r="E335" s="16" t="n">
        <x:v>487</x:v>
      </x:c>
      <x:c r="F335" s="12" t="n">
        <x:v>12</x:v>
      </x:c>
      <x:c r="G335" s="12" t="n">
        <x:v>14</x:v>
      </x:c>
      <x:c r="H335" s="12" t="n">
        <x:v>14</x:v>
      </x:c>
      <x:c r="I335" s="12" t="n">
        <x:v>14</x:v>
      </x:c>
      <x:c r="J335" s="12" t="n">
        <x:v>13</x:v>
      </x:c>
      <x:c r="K335" s="12" t="n">
        <x:f>MIN(F335:J335)</x:f>
        <x:v>12</x:v>
      </x:c>
      <x:c r="L335" t="str">
        <x:f>TEXTJOIN(", ",TRUE,IF(F335=K335,"IG",""),IF(G335=K335,"FFD",""),IF(H335=K335,"BFD",""),IF(I335=K335,"WFD",""),IF(J335=K335,"CTP",""))</x:f>
        <x:v>IG</x:v>
      </x:c>
      <x:c r="M335" s="14" t="n">
        <x:f>IFERROR((F335-$K335)/$K335,"")</x:f>
        <x:v>0</x:v>
      </x:c>
      <x:c r="N335" s="14" t="n">
        <x:f>IFERROR((G335-$K335)/$K335,"")</x:f>
        <x:v>0.16666666666666666</x:v>
      </x:c>
      <x:c r="O335" s="14" t="n">
        <x:f>IFERROR((H335-$K335)/$K335,"")</x:f>
        <x:v>0.16666666666666666</x:v>
      </x:c>
      <x:c r="P335" s="14" t="n">
        <x:f>IFERROR((I335-$K335)/$K335,"")</x:f>
        <x:v>0.16666666666666666</x:v>
      </x:c>
      <x:c r="Q335" s="14" t="n">
        <x:f>IFERROR((J335-$K335)/$K335,"")</x:f>
        <x:v>0.08333333333333333</x:v>
      </x:c>
      <x:c r="R335" t="n">
        <x:f>--(F335=$K335)</x:f>
        <x:v>1</x:v>
      </x:c>
      <x:c r="S335" t="n">
        <x:f>--(G335=$K335)</x:f>
        <x:v>0</x:v>
      </x:c>
      <x:c r="T335" t="n">
        <x:f>--(H335=$K335)</x:f>
        <x:v>0</x:v>
      </x:c>
      <x:c r="U335" t="n">
        <x:f>--(I335=$K335)</x:f>
        <x:v>0</x:v>
      </x:c>
      <x:c r="V335" t="n">
        <x:f>--(J335=$K335)</x:f>
        <x:v>0</x:v>
      </x:c>
    </x:row>
    <x:row r="336" ht="18" customHeight="1">
      <x:c r="A336" t="str">
        <x:v>bpps_d1000n100m10w50_150s10_100f1_seed0</x:v>
      </x:c>
      <x:c r="B336" s="16" t="n">
        <x:v>100</x:v>
      </x:c>
      <x:c r="C336" s="16" t="n">
        <x:v>10</x:v>
      </x:c>
      <x:c r="D336" s="16" t="n">
        <x:v>1000</x:v>
      </x:c>
      <x:c r="E336" s="16" t="n">
        <x:v>476</x:v>
      </x:c>
      <x:c r="F336" s="12" t="n">
        <x:v>188</x:v>
      </x:c>
      <x:c r="G336" s="12" t="n">
        <x:v>375</x:v>
      </x:c>
      <x:c r="H336" s="12" t="n">
        <x:v>384</x:v>
      </x:c>
      <x:c r="I336" s="12" t="n">
        <x:v>368</x:v>
      </x:c>
      <x:c r="J336" s="12" t="n">
        <x:v>223</x:v>
      </x:c>
      <x:c r="K336" s="12" t="n">
        <x:f>MIN(F336:J336)</x:f>
        <x:v>188</x:v>
      </x:c>
      <x:c r="L336" t="str">
        <x:f>TEXTJOIN(", ",TRUE,IF(F336=K336,"IG",""),IF(G336=K336,"FFD",""),IF(H336=K336,"BFD",""),IF(I336=K336,"WFD",""),IF(J336=K336,"CTP",""))</x:f>
        <x:v>IG</x:v>
      </x:c>
      <x:c r="M336" s="14" t="n">
        <x:f>IFERROR((F336-$K336)/$K336,"")</x:f>
        <x:v>0</x:v>
      </x:c>
      <x:c r="N336" s="14" t="n">
        <x:f>IFERROR((G336-$K336)/$K336,"")</x:f>
        <x:v>0.9946808510638298</x:v>
      </x:c>
      <x:c r="O336" s="14" t="n">
        <x:f>IFERROR((H336-$K336)/$K336,"")</x:f>
        <x:v>1.0425531914893618</x:v>
      </x:c>
      <x:c r="P336" s="14" t="n">
        <x:f>IFERROR((I336-$K336)/$K336,"")</x:f>
        <x:v>0.9574468085106383</x:v>
      </x:c>
      <x:c r="Q336" s="14" t="n">
        <x:f>IFERROR((J336-$K336)/$K336,"")</x:f>
        <x:v>0.18617021276595744</x:v>
      </x:c>
      <x:c r="R336" t="n">
        <x:f>--(F336=$K336)</x:f>
        <x:v>1</x:v>
      </x:c>
      <x:c r="S336" t="n">
        <x:f>--(G336=$K336)</x:f>
        <x:v>0</x:v>
      </x:c>
      <x:c r="T336" t="n">
        <x:f>--(H336=$K336)</x:f>
        <x:v>0</x:v>
      </x:c>
      <x:c r="U336" t="n">
        <x:f>--(I336=$K336)</x:f>
        <x:v>0</x:v>
      </x:c>
      <x:c r="V336" t="n">
        <x:f>--(J336=$K336)</x:f>
        <x:v>0</x:v>
      </x:c>
    </x:row>
    <x:row r="337" ht="18" customHeight="1">
      <x:c r="A337" t="str">
        <x:v>bpps_d1000n100m10w50_150s10_100f1_seed1</x:v>
      </x:c>
      <x:c r="B337" s="16" t="n">
        <x:v>100</x:v>
      </x:c>
      <x:c r="C337" s="16" t="n">
        <x:v>10</x:v>
      </x:c>
      <x:c r="D337" s="16" t="n">
        <x:v>1000</x:v>
      </x:c>
      <x:c r="E337" s="16" t="n">
        <x:v>473</x:v>
      </x:c>
      <x:c r="F337" s="12" t="n">
        <x:v>195</x:v>
      </x:c>
      <x:c r="G337" s="12" t="n">
        <x:v>368</x:v>
      </x:c>
      <x:c r="H337" s="12" t="n">
        <x:v>372</x:v>
      </x:c>
      <x:c r="I337" s="12" t="n">
        <x:v>383</x:v>
      </x:c>
      <x:c r="J337" s="12" t="n">
        <x:v>220</x:v>
      </x:c>
      <x:c r="K337" s="12" t="n">
        <x:f>MIN(F337:J337)</x:f>
        <x:v>195</x:v>
      </x:c>
      <x:c r="L337" t="str">
        <x:f>TEXTJOIN(", ",TRUE,IF(F337=K337,"IG",""),IF(G337=K337,"FFD",""),IF(H337=K337,"BFD",""),IF(I337=K337,"WFD",""),IF(J337=K337,"CTP",""))</x:f>
        <x:v>IG</x:v>
      </x:c>
      <x:c r="M337" s="14" t="n">
        <x:f>IFERROR((F337-$K337)/$K337,"")</x:f>
        <x:v>0</x:v>
      </x:c>
      <x:c r="N337" s="14" t="n">
        <x:f>IFERROR((G337-$K337)/$K337,"")</x:f>
        <x:v>0.8871794871794871</x:v>
      </x:c>
      <x:c r="O337" s="14" t="n">
        <x:f>IFERROR((H337-$K337)/$K337,"")</x:f>
        <x:v>0.9076923076923077</x:v>
      </x:c>
      <x:c r="P337" s="14" t="n">
        <x:f>IFERROR((I337-$K337)/$K337,"")</x:f>
        <x:v>0.9641025641025641</x:v>
      </x:c>
      <x:c r="Q337" s="14" t="n">
        <x:f>IFERROR((J337-$K337)/$K337,"")</x:f>
        <x:v>0.1282051282051282</x:v>
      </x:c>
      <x:c r="R337" t="n">
        <x:f>--(F337=$K337)</x:f>
        <x:v>1</x:v>
      </x:c>
      <x:c r="S337" t="n">
        <x:f>--(G337=$K337)</x:f>
        <x:v>0</x:v>
      </x:c>
      <x:c r="T337" t="n">
        <x:f>--(H337=$K337)</x:f>
        <x:v>0</x:v>
      </x:c>
      <x:c r="U337" t="n">
        <x:f>--(I337=$K337)</x:f>
        <x:v>0</x:v>
      </x:c>
      <x:c r="V337" t="n">
        <x:f>--(J337=$K337)</x:f>
        <x:v>0</x:v>
      </x:c>
    </x:row>
    <x:row r="338" ht="18" customHeight="1">
      <x:c r="A338" t="str">
        <x:v>bpps_d1000n100m5w150_300s100_200f0_seed0</x:v>
      </x:c>
      <x:c r="B338" s="16" t="n">
        <x:v>100</x:v>
      </x:c>
      <x:c r="C338" s="16" t="n">
        <x:v>5</x:v>
      </x:c>
      <x:c r="D338" s="16" t="n">
        <x:v>1000</x:v>
      </x:c>
      <x:c r="E338" s="16" t="n">
        <x:v>471</x:v>
      </x:c>
      <x:c r="F338" s="12" t="n">
        <x:v>30</x:v>
      </x:c>
      <x:c r="G338" s="12" t="n">
        <x:v>34</x:v>
      </x:c>
      <x:c r="H338" s="12" t="n">
        <x:v>35</x:v>
      </x:c>
      <x:c r="I338" s="12" t="n">
        <x:v>35</x:v>
      </x:c>
      <x:c r="J338" s="12" t="n">
        <x:v>31</x:v>
      </x:c>
      <x:c r="K338" s="12" t="n">
        <x:f>MIN(F338:J338)</x:f>
        <x:v>30</x:v>
      </x:c>
      <x:c r="L338" t="str">
        <x:f>TEXTJOIN(", ",TRUE,IF(F338=K338,"IG",""),IF(G338=K338,"FFD",""),IF(H338=K338,"BFD",""),IF(I338=K338,"WFD",""),IF(J338=K338,"CTP",""))</x:f>
        <x:v>IG</x:v>
      </x:c>
      <x:c r="M338" s="14" t="n">
        <x:f>IFERROR((F338-$K338)/$K338,"")</x:f>
        <x:v>0</x:v>
      </x:c>
      <x:c r="N338" s="14" t="n">
        <x:f>IFERROR((G338-$K338)/$K338,"")</x:f>
        <x:v>0.13333333333333333</x:v>
      </x:c>
      <x:c r="O338" s="14" t="n">
        <x:f>IFERROR((H338-$K338)/$K338,"")</x:f>
        <x:v>0.16666666666666666</x:v>
      </x:c>
      <x:c r="P338" s="14" t="n">
        <x:f>IFERROR((I338-$K338)/$K338,"")</x:f>
        <x:v>0.16666666666666666</x:v>
      </x:c>
      <x:c r="Q338" s="14" t="n">
        <x:f>IFERROR((J338-$K338)/$K338,"")</x:f>
        <x:v>0.03333333333333333</x:v>
      </x:c>
      <x:c r="R338" t="n">
        <x:f>--(F338=$K338)</x:f>
        <x:v>1</x:v>
      </x:c>
      <x:c r="S338" t="n">
        <x:f>--(G338=$K338)</x:f>
        <x:v>0</x:v>
      </x:c>
      <x:c r="T338" t="n">
        <x:f>--(H338=$K338)</x:f>
        <x:v>0</x:v>
      </x:c>
      <x:c r="U338" t="n">
        <x:f>--(I338=$K338)</x:f>
        <x:v>0</x:v>
      </x:c>
      <x:c r="V338" t="n">
        <x:f>--(J338=$K338)</x:f>
        <x:v>0</x:v>
      </x:c>
    </x:row>
    <x:row r="339" ht="18" customHeight="1">
      <x:c r="A339" t="str">
        <x:v>bpps_d1000n100m5w150_300s100_200f0_seed1</x:v>
      </x:c>
      <x:c r="B339" s="16" t="n">
        <x:v>100</x:v>
      </x:c>
      <x:c r="C339" s="16" t="n">
        <x:v>5</x:v>
      </x:c>
      <x:c r="D339" s="16" t="n">
        <x:v>1000</x:v>
      </x:c>
      <x:c r="E339" s="16" t="n">
        <x:v>474</x:v>
      </x:c>
      <x:c r="F339" s="12" t="n">
        <x:v>29</x:v>
      </x:c>
      <x:c r="G339" s="12" t="n">
        <x:v>34</x:v>
      </x:c>
      <x:c r="H339" s="12" t="n">
        <x:v>34</x:v>
      </x:c>
      <x:c r="I339" s="12" t="n">
        <x:v>34</x:v>
      </x:c>
      <x:c r="J339" s="12" t="n">
        <x:v>29</x:v>
      </x:c>
      <x:c r="K339" s="12" t="n">
        <x:f>MIN(F339:J339)</x:f>
        <x:v>29</x:v>
      </x:c>
      <x:c r="L339" t="str">
        <x:f>TEXTJOIN(", ",TRUE,IF(F339=K339,"IG",""),IF(G339=K339,"FFD",""),IF(H339=K339,"BFD",""),IF(I339=K339,"WFD",""),IF(J339=K339,"CTP",""))</x:f>
        <x:v>IG, CTP</x:v>
      </x:c>
      <x:c r="M339" s="14" t="n">
        <x:f>IFERROR((F339-$K339)/$K339,"")</x:f>
        <x:v>0</x:v>
      </x:c>
      <x:c r="N339" s="14" t="n">
        <x:f>IFERROR((G339-$K339)/$K339,"")</x:f>
        <x:v>0.1724137931034483</x:v>
      </x:c>
      <x:c r="O339" s="14" t="n">
        <x:f>IFERROR((H339-$K339)/$K339,"")</x:f>
        <x:v>0.1724137931034483</x:v>
      </x:c>
      <x:c r="P339" s="14" t="n">
        <x:f>IFERROR((I339-$K339)/$K339,"")</x:f>
        <x:v>0.1724137931034483</x:v>
      </x:c>
      <x:c r="Q339" s="14" t="n">
        <x:f>IFERROR((J339-$K339)/$K339,"")</x:f>
        <x:v>0</x:v>
      </x:c>
      <x:c r="R339" t="n">
        <x:f>--(F339=$K339)</x:f>
        <x:v>1</x:v>
      </x:c>
      <x:c r="S339" t="n">
        <x:f>--(G339=$K339)</x:f>
        <x:v>0</x:v>
      </x:c>
      <x:c r="T339" t="n">
        <x:f>--(H339=$K339)</x:f>
        <x:v>0</x:v>
      </x:c>
      <x:c r="U339" t="n">
        <x:f>--(I339=$K339)</x:f>
        <x:v>0</x:v>
      </x:c>
      <x:c r="V339" t="n">
        <x:f>--(J339=$K339)</x:f>
        <x:v>1</x:v>
      </x:c>
    </x:row>
    <x:row r="340" ht="18" customHeight="1">
      <x:c r="A340" t="str">
        <x:v>bpps_d1000n100m5w150_300s100_200f1_seed0</x:v>
      </x:c>
      <x:c r="B340" s="16" t="n">
        <x:v>100</x:v>
      </x:c>
      <x:c r="C340" s="16" t="n">
        <x:v>5</x:v>
      </x:c>
      <x:c r="D340" s="16" t="n">
        <x:v>1000</x:v>
      </x:c>
      <x:c r="E340" s="16" t="n">
        <x:v>461</x:v>
      </x:c>
      <x:c r="F340" s="12" t="n">
        <x:v>369</x:v>
      </x:c>
      <x:c r="G340" s="12" t="n">
        <x:v>515</x:v>
      </x:c>
      <x:c r="H340" s="12" t="n">
        <x:v>537</x:v>
      </x:c>
      <x:c r="I340" s="12" t="n">
        <x:v>532</x:v>
      </x:c>
      <x:c r="J340" s="12" t="n">
        <x:v>403</x:v>
      </x:c>
      <x:c r="K340" s="12" t="n">
        <x:f>MIN(F340:J340)</x:f>
        <x:v>369</x:v>
      </x:c>
      <x:c r="L340" t="str">
        <x:f>TEXTJOIN(", ",TRUE,IF(F340=K340,"IG",""),IF(G340=K340,"FFD",""),IF(H340=K340,"BFD",""),IF(I340=K340,"WFD",""),IF(J340=K340,"CTP",""))</x:f>
        <x:v>IG</x:v>
      </x:c>
      <x:c r="M340" s="14" t="n">
        <x:f>IFERROR((F340-$K340)/$K340,"")</x:f>
        <x:v>0</x:v>
      </x:c>
      <x:c r="N340" s="14" t="n">
        <x:f>IFERROR((G340-$K340)/$K340,"")</x:f>
        <x:v>0.3956639566395664</x:v>
      </x:c>
      <x:c r="O340" s="14" t="n">
        <x:f>IFERROR((H340-$K340)/$K340,"")</x:f>
        <x:v>0.45528455284552843</x:v>
      </x:c>
      <x:c r="P340" s="14" t="n">
        <x:f>IFERROR((I340-$K340)/$K340,"")</x:f>
        <x:v>0.44173441734417346</x:v>
      </x:c>
      <x:c r="Q340" s="14" t="n">
        <x:f>IFERROR((J340-$K340)/$K340,"")</x:f>
        <x:v>0.0921409214092141</x:v>
      </x:c>
      <x:c r="R340" t="n">
        <x:f>--(F340=$K340)</x:f>
        <x:v>1</x:v>
      </x:c>
      <x:c r="S340" t="n">
        <x:f>--(G340=$K340)</x:f>
        <x:v>0</x:v>
      </x:c>
      <x:c r="T340" t="n">
        <x:f>--(H340=$K340)</x:f>
        <x:v>0</x:v>
      </x:c>
      <x:c r="U340" t="n">
        <x:f>--(I340=$K340)</x:f>
        <x:v>0</x:v>
      </x:c>
      <x:c r="V340" t="n">
        <x:f>--(J340=$K340)</x:f>
        <x:v>0</x:v>
      </x:c>
    </x:row>
    <x:row r="341" ht="18" customHeight="1">
      <x:c r="A341" t="str">
        <x:v>bpps_d1000n100m5w150_300s100_200f1_seed1</x:v>
      </x:c>
      <x:c r="B341" s="16" t="n">
        <x:v>100</x:v>
      </x:c>
      <x:c r="C341" s="16" t="n">
        <x:v>5</x:v>
      </x:c>
      <x:c r="D341" s="16" t="n">
        <x:v>1000</x:v>
      </x:c>
      <x:c r="E341" s="16" t="n">
        <x:v>476</x:v>
      </x:c>
      <x:c r="F341" s="12" t="n">
        <x:v>320</x:v>
      </x:c>
      <x:c r="G341" s="12" t="n">
        <x:v>439</x:v>
      </x:c>
      <x:c r="H341" s="12" t="n">
        <x:v>439</x:v>
      </x:c>
      <x:c r="I341" s="12" t="n">
        <x:v>434</x:v>
      </x:c>
      <x:c r="J341" s="12" t="n">
        <x:v>347</x:v>
      </x:c>
      <x:c r="K341" s="12" t="n">
        <x:f>MIN(F341:J341)</x:f>
        <x:v>320</x:v>
      </x:c>
      <x:c r="L341" t="str">
        <x:f>TEXTJOIN(", ",TRUE,IF(F341=K341,"IG",""),IF(G341=K341,"FFD",""),IF(H341=K341,"BFD",""),IF(I341=K341,"WFD",""),IF(J341=K341,"CTP",""))</x:f>
        <x:v>IG</x:v>
      </x:c>
      <x:c r="M341" s="14" t="n">
        <x:f>IFERROR((F341-$K341)/$K341,"")</x:f>
        <x:v>0</x:v>
      </x:c>
      <x:c r="N341" s="14" t="n">
        <x:f>IFERROR((G341-$K341)/$K341,"")</x:f>
        <x:v>0.371875</x:v>
      </x:c>
      <x:c r="O341" s="14" t="n">
        <x:f>IFERROR((H341-$K341)/$K341,"")</x:f>
        <x:v>0.371875</x:v>
      </x:c>
      <x:c r="P341" s="14" t="n">
        <x:f>IFERROR((I341-$K341)/$K341,"")</x:f>
        <x:v>0.35625</x:v>
      </x:c>
      <x:c r="Q341" s="14" t="n">
        <x:f>IFERROR((J341-$K341)/$K341,"")</x:f>
        <x:v>0.084375</x:v>
      </x:c>
      <x:c r="R341" t="n">
        <x:f>--(F341=$K341)</x:f>
        <x:v>1</x:v>
      </x:c>
      <x:c r="S341" t="n">
        <x:f>--(G341=$K341)</x:f>
        <x:v>0</x:v>
      </x:c>
      <x:c r="T341" t="n">
        <x:f>--(H341=$K341)</x:f>
        <x:v>0</x:v>
      </x:c>
      <x:c r="U341" t="n">
        <x:f>--(I341=$K341)</x:f>
        <x:v>0</x:v>
      </x:c>
      <x:c r="V341" t="n">
        <x:f>--(J341=$K341)</x:f>
        <x:v>0</x:v>
      </x:c>
    </x:row>
    <x:row r="342" ht="18" customHeight="1">
      <x:c r="A342" t="str">
        <x:v>bpps_d1000n100m5w150_300s10_100f0_seed0</x:v>
      </x:c>
      <x:c r="B342" s="16" t="n">
        <x:v>100</x:v>
      </x:c>
      <x:c r="C342" s="16" t="n">
        <x:v>5</x:v>
      </x:c>
      <x:c r="D342" s="16" t="n">
        <x:v>1000</x:v>
      </x:c>
      <x:c r="E342" s="16" t="n">
        <x:v>484</x:v>
      </x:c>
      <x:c r="F342" s="12" t="n">
        <x:v>26</x:v>
      </x:c>
      <x:c r="G342" s="12" t="n">
        <x:v>27</x:v>
      </x:c>
      <x:c r="H342" s="12" t="n">
        <x:v>27</x:v>
      </x:c>
      <x:c r="I342" s="12" t="n">
        <x:v>27</x:v>
      </x:c>
      <x:c r="J342" s="12" t="n">
        <x:v>27</x:v>
      </x:c>
      <x:c r="K342" s="12" t="n">
        <x:f>MIN(F342:J342)</x:f>
        <x:v>26</x:v>
      </x:c>
      <x:c r="L342" t="str">
        <x:f>TEXTJOIN(", ",TRUE,IF(F342=K342,"IG",""),IF(G342=K342,"FFD",""),IF(H342=K342,"BFD",""),IF(I342=K342,"WFD",""),IF(J342=K342,"CTP",""))</x:f>
        <x:v>IG</x:v>
      </x:c>
      <x:c r="M342" s="14" t="n">
        <x:f>IFERROR((F342-$K342)/$K342,"")</x:f>
        <x:v>0</x:v>
      </x:c>
      <x:c r="N342" s="14" t="n">
        <x:f>IFERROR((G342-$K342)/$K342,"")</x:f>
        <x:v>0.038461538461538464</x:v>
      </x:c>
      <x:c r="O342" s="14" t="n">
        <x:f>IFERROR((H342-$K342)/$K342,"")</x:f>
        <x:v>0.038461538461538464</x:v>
      </x:c>
      <x:c r="P342" s="14" t="n">
        <x:f>IFERROR((I342-$K342)/$K342,"")</x:f>
        <x:v>0.038461538461538464</x:v>
      </x:c>
      <x:c r="Q342" s="14" t="n">
        <x:f>IFERROR((J342-$K342)/$K342,"")</x:f>
        <x:v>0.038461538461538464</x:v>
      </x:c>
      <x:c r="R342" t="n">
        <x:f>--(F342=$K342)</x:f>
        <x:v>1</x:v>
      </x:c>
      <x:c r="S342" t="n">
        <x:f>--(G342=$K342)</x:f>
        <x:v>0</x:v>
      </x:c>
      <x:c r="T342" t="n">
        <x:f>--(H342=$K342)</x:f>
        <x:v>0</x:v>
      </x:c>
      <x:c r="U342" t="n">
        <x:f>--(I342=$K342)</x:f>
        <x:v>0</x:v>
      </x:c>
      <x:c r="V342" t="n">
        <x:f>--(J342=$K342)</x:f>
        <x:v>0</x:v>
      </x:c>
    </x:row>
    <x:row r="343" ht="18" customHeight="1">
      <x:c r="A343" t="str">
        <x:v>bpps_d1000n100m5w150_300s10_100f0_seed1</x:v>
      </x:c>
      <x:c r="B343" s="16" t="n">
        <x:v>100</x:v>
      </x:c>
      <x:c r="C343" s="16" t="n">
        <x:v>5</x:v>
      </x:c>
      <x:c r="D343" s="16" t="n">
        <x:v>1000</x:v>
      </x:c>
      <x:c r="E343" s="16" t="n">
        <x:v>507</x:v>
      </x:c>
      <x:c r="F343" s="12" t="n">
        <x:v>25</x:v>
      </x:c>
      <x:c r="G343" s="12" t="n">
        <x:v>26</x:v>
      </x:c>
      <x:c r="H343" s="12" t="n">
        <x:v>26</x:v>
      </x:c>
      <x:c r="I343" s="12" t="n">
        <x:v>27</x:v>
      </x:c>
      <x:c r="J343" s="12" t="n">
        <x:v>26</x:v>
      </x:c>
      <x:c r="K343" s="12" t="n">
        <x:f>MIN(F343:J343)</x:f>
        <x:v>25</x:v>
      </x:c>
      <x:c r="L343" t="str">
        <x:f>TEXTJOIN(", ",TRUE,IF(F343=K343,"IG",""),IF(G343=K343,"FFD",""),IF(H343=K343,"BFD",""),IF(I343=K343,"WFD",""),IF(J343=K343,"CTP",""))</x:f>
        <x:v>IG</x:v>
      </x:c>
      <x:c r="M343" s="14" t="n">
        <x:f>IFERROR((F343-$K343)/$K343,"")</x:f>
        <x:v>0</x:v>
      </x:c>
      <x:c r="N343" s="14" t="n">
        <x:f>IFERROR((G343-$K343)/$K343,"")</x:f>
        <x:v>0.04</x:v>
      </x:c>
      <x:c r="O343" s="14" t="n">
        <x:f>IFERROR((H343-$K343)/$K343,"")</x:f>
        <x:v>0.04</x:v>
      </x:c>
      <x:c r="P343" s="14" t="n">
        <x:f>IFERROR((I343-$K343)/$K343,"")</x:f>
        <x:v>0.08</x:v>
      </x:c>
      <x:c r="Q343" s="14" t="n">
        <x:f>IFERROR((J343-$K343)/$K343,"")</x:f>
        <x:v>0.04</x:v>
      </x:c>
      <x:c r="R343" t="n">
        <x:f>--(F343=$K343)</x:f>
        <x:v>1</x:v>
      </x:c>
      <x:c r="S343" t="n">
        <x:f>--(G343=$K343)</x:f>
        <x:v>0</x:v>
      </x:c>
      <x:c r="T343" t="n">
        <x:f>--(H343=$K343)</x:f>
        <x:v>0</x:v>
      </x:c>
      <x:c r="U343" t="n">
        <x:f>--(I343=$K343)</x:f>
        <x:v>0</x:v>
      </x:c>
      <x:c r="V343" t="n">
        <x:f>--(J343=$K343)</x:f>
        <x:v>0</x:v>
      </x:c>
    </x:row>
    <x:row r="344" ht="18" customHeight="1">
      <x:c r="A344" t="str">
        <x:v>bpps_d1000n100m5w150_300s10_100f1_seed0</x:v>
      </x:c>
      <x:c r="B344" s="16" t="n">
        <x:v>100</x:v>
      </x:c>
      <x:c r="C344" s="16" t="n">
        <x:v>5</x:v>
      </x:c>
      <x:c r="D344" s="16" t="n">
        <x:v>1000</x:v>
      </x:c>
      <x:c r="E344" s="16" t="n">
        <x:v>511</x:v>
      </x:c>
      <x:c r="F344" s="12" t="n">
        <x:v>336</x:v>
      </x:c>
      <x:c r="G344" s="12" t="n">
        <x:v>492</x:v>
      </x:c>
      <x:c r="H344" s="12" t="n">
        <x:v>492</x:v>
      </x:c>
      <x:c r="I344" s="12" t="n">
        <x:v>489</x:v>
      </x:c>
      <x:c r="J344" s="12" t="n">
        <x:v>359</x:v>
      </x:c>
      <x:c r="K344" s="12" t="n">
        <x:f>MIN(F344:J344)</x:f>
        <x:v>336</x:v>
      </x:c>
      <x:c r="L344" t="str">
        <x:f>TEXTJOIN(", ",TRUE,IF(F344=K344,"IG",""),IF(G344=K344,"FFD",""),IF(H344=K344,"BFD",""),IF(I344=K344,"WFD",""),IF(J344=K344,"CTP",""))</x:f>
        <x:v>IG</x:v>
      </x:c>
      <x:c r="M344" s="14" t="n">
        <x:f>IFERROR((F344-$K344)/$K344,"")</x:f>
        <x:v>0</x:v>
      </x:c>
      <x:c r="N344" s="14" t="n">
        <x:f>IFERROR((G344-$K344)/$K344,"")</x:f>
        <x:v>0.4642857142857143</x:v>
      </x:c>
      <x:c r="O344" s="14" t="n">
        <x:f>IFERROR((H344-$K344)/$K344,"")</x:f>
        <x:v>0.4642857142857143</x:v>
      </x:c>
      <x:c r="P344" s="14" t="n">
        <x:f>IFERROR((I344-$K344)/$K344,"")</x:f>
        <x:v>0.45535714285714285</x:v>
      </x:c>
      <x:c r="Q344" s="14" t="n">
        <x:f>IFERROR((J344-$K344)/$K344,"")</x:f>
        <x:v>0.06845238095238096</x:v>
      </x:c>
      <x:c r="R344" t="n">
        <x:f>--(F344=$K344)</x:f>
        <x:v>1</x:v>
      </x:c>
      <x:c r="S344" t="n">
        <x:f>--(G344=$K344)</x:f>
        <x:v>0</x:v>
      </x:c>
      <x:c r="T344" t="n">
        <x:f>--(H344=$K344)</x:f>
        <x:v>0</x:v>
      </x:c>
      <x:c r="U344" t="n">
        <x:f>--(I344=$K344)</x:f>
        <x:v>0</x:v>
      </x:c>
      <x:c r="V344" t="n">
        <x:f>--(J344=$K344)</x:f>
        <x:v>0</x:v>
      </x:c>
    </x:row>
    <x:row r="345" ht="18" customHeight="1">
      <x:c r="A345" t="str">
        <x:v>bpps_d1000n100m5w150_300s10_100f1_seed1</x:v>
      </x:c>
      <x:c r="B345" s="16" t="n">
        <x:v>100</x:v>
      </x:c>
      <x:c r="C345" s="16" t="n">
        <x:v>5</x:v>
      </x:c>
      <x:c r="D345" s="16" t="n">
        <x:v>1000</x:v>
      </x:c>
      <x:c r="E345" s="16" t="n">
        <x:v>457</x:v>
      </x:c>
      <x:c r="F345" s="12" t="n">
        <x:v>298</x:v>
      </x:c>
      <x:c r="G345" s="12" t="n">
        <x:v>405</x:v>
      </x:c>
      <x:c r="H345" s="12" t="n">
        <x:v>398</x:v>
      </x:c>
      <x:c r="I345" s="12" t="n">
        <x:v>399</x:v>
      </x:c>
      <x:c r="J345" s="12" t="n">
        <x:v>322</x:v>
      </x:c>
      <x:c r="K345" s="12" t="n">
        <x:f>MIN(F345:J345)</x:f>
        <x:v>298</x:v>
      </x:c>
      <x:c r="L345" t="str">
        <x:f>TEXTJOIN(", ",TRUE,IF(F345=K345,"IG",""),IF(G345=K345,"FFD",""),IF(H345=K345,"BFD",""),IF(I345=K345,"WFD",""),IF(J345=K345,"CTP",""))</x:f>
        <x:v>IG</x:v>
      </x:c>
      <x:c r="M345" s="14" t="n">
        <x:f>IFERROR((F345-$K345)/$K345,"")</x:f>
        <x:v>0</x:v>
      </x:c>
      <x:c r="N345" s="14" t="n">
        <x:f>IFERROR((G345-$K345)/$K345,"")</x:f>
        <x:v>0.35906040268456374</x:v>
      </x:c>
      <x:c r="O345" s="14" t="n">
        <x:f>IFERROR((H345-$K345)/$K345,"")</x:f>
        <x:v>0.33557046979865773</x:v>
      </x:c>
      <x:c r="P345" s="14" t="n">
        <x:f>IFERROR((I345-$K345)/$K345,"")</x:f>
        <x:v>0.3389261744966443</x:v>
      </x:c>
      <x:c r="Q345" s="14" t="n">
        <x:f>IFERROR((J345-$K345)/$K345,"")</x:f>
        <x:v>0.08053691275167785</x:v>
      </x:c>
      <x:c r="R345" t="n">
        <x:f>--(F345=$K345)</x:f>
        <x:v>1</x:v>
      </x:c>
      <x:c r="S345" t="n">
        <x:f>--(G345=$K345)</x:f>
        <x:v>0</x:v>
      </x:c>
      <x:c r="T345" t="n">
        <x:f>--(H345=$K345)</x:f>
        <x:v>0</x:v>
      </x:c>
      <x:c r="U345" t="n">
        <x:f>--(I345=$K345)</x:f>
        <x:v>0</x:v>
      </x:c>
      <x:c r="V345" t="n">
        <x:f>--(J345=$K345)</x:f>
        <x:v>0</x:v>
      </x:c>
    </x:row>
    <x:row r="346" ht="18" customHeight="1">
      <x:c r="A346" t="str">
        <x:v>bpps_d1000n100m5w50_150s100_200f0_seed0</x:v>
      </x:c>
      <x:c r="B346" s="16" t="n">
        <x:v>100</x:v>
      </x:c>
      <x:c r="C346" s="16" t="n">
        <x:v>5</x:v>
      </x:c>
      <x:c r="D346" s="16" t="n">
        <x:v>1000</x:v>
      </x:c>
      <x:c r="E346" s="16" t="n">
        <x:v>493</x:v>
      </x:c>
      <x:c r="F346" s="12" t="n">
        <x:v>14</x:v>
      </x:c>
      <x:c r="G346" s="12" t="n">
        <x:v>20</x:v>
      </x:c>
      <x:c r="H346" s="12" t="n">
        <x:v>19</x:v>
      </x:c>
      <x:c r="I346" s="12" t="n">
        <x:v>19</x:v>
      </x:c>
      <x:c r="J346" s="12" t="n">
        <x:v>15</x:v>
      </x:c>
      <x:c r="K346" s="12" t="n">
        <x:f>MIN(F346:J346)</x:f>
        <x:v>14</x:v>
      </x:c>
      <x:c r="L346" t="str">
        <x:f>TEXTJOIN(", ",TRUE,IF(F346=K346,"IG",""),IF(G346=K346,"FFD",""),IF(H346=K346,"BFD",""),IF(I346=K346,"WFD",""),IF(J346=K346,"CTP",""))</x:f>
        <x:v>IG</x:v>
      </x:c>
      <x:c r="M346" s="14" t="n">
        <x:f>IFERROR((F346-$K346)/$K346,"")</x:f>
        <x:v>0</x:v>
      </x:c>
      <x:c r="N346" s="14" t="n">
        <x:f>IFERROR((G346-$K346)/$K346,"")</x:f>
        <x:v>0.42857142857142855</x:v>
      </x:c>
      <x:c r="O346" s="14" t="n">
        <x:f>IFERROR((H346-$K346)/$K346,"")</x:f>
        <x:v>0.35714285714285715</x:v>
      </x:c>
      <x:c r="P346" s="14" t="n">
        <x:f>IFERROR((I346-$K346)/$K346,"")</x:f>
        <x:v>0.35714285714285715</x:v>
      </x:c>
      <x:c r="Q346" s="14" t="n">
        <x:f>IFERROR((J346-$K346)/$K346,"")</x:f>
        <x:v>0.07142857142857142</x:v>
      </x:c>
      <x:c r="R346" t="n">
        <x:f>--(F346=$K346)</x:f>
        <x:v>1</x:v>
      </x:c>
      <x:c r="S346" t="n">
        <x:f>--(G346=$K346)</x:f>
        <x:v>0</x:v>
      </x:c>
      <x:c r="T346" t="n">
        <x:f>--(H346=$K346)</x:f>
        <x:v>0</x:v>
      </x:c>
      <x:c r="U346" t="n">
        <x:f>--(I346=$K346)</x:f>
        <x:v>0</x:v>
      </x:c>
      <x:c r="V346" t="n">
        <x:f>--(J346=$K346)</x:f>
        <x:v>0</x:v>
      </x:c>
    </x:row>
    <x:row r="347" ht="18" customHeight="1">
      <x:c r="A347" t="str">
        <x:v>bpps_d1000n100m5w50_150s100_200f0_seed1</x:v>
      </x:c>
      <x:c r="B347" s="16" t="n">
        <x:v>100</x:v>
      </x:c>
      <x:c r="C347" s="16" t="n">
        <x:v>5</x:v>
      </x:c>
      <x:c r="D347" s="16" t="n">
        <x:v>1000</x:v>
      </x:c>
      <x:c r="E347" s="16" t="n">
        <x:v>489</x:v>
      </x:c>
      <x:c r="F347" s="12" t="n">
        <x:v>14</x:v>
      </x:c>
      <x:c r="G347" s="12" t="n">
        <x:v>20</x:v>
      </x:c>
      <x:c r="H347" s="12" t="n">
        <x:v>20</x:v>
      </x:c>
      <x:c r="I347" s="12" t="n">
        <x:v>19</x:v>
      </x:c>
      <x:c r="J347" s="12" t="n">
        <x:v>15</x:v>
      </x:c>
      <x:c r="K347" s="12" t="n">
        <x:f>MIN(F347:J347)</x:f>
        <x:v>14</x:v>
      </x:c>
      <x:c r="L347" t="str">
        <x:f>TEXTJOIN(", ",TRUE,IF(F347=K347,"IG",""),IF(G347=K347,"FFD",""),IF(H347=K347,"BFD",""),IF(I347=K347,"WFD",""),IF(J347=K347,"CTP",""))</x:f>
        <x:v>IG</x:v>
      </x:c>
      <x:c r="M347" s="14" t="n">
        <x:f>IFERROR((F347-$K347)/$K347,"")</x:f>
        <x:v>0</x:v>
      </x:c>
      <x:c r="N347" s="14" t="n">
        <x:f>IFERROR((G347-$K347)/$K347,"")</x:f>
        <x:v>0.42857142857142855</x:v>
      </x:c>
      <x:c r="O347" s="14" t="n">
        <x:f>IFERROR((H347-$K347)/$K347,"")</x:f>
        <x:v>0.42857142857142855</x:v>
      </x:c>
      <x:c r="P347" s="14" t="n">
        <x:f>IFERROR((I347-$K347)/$K347,"")</x:f>
        <x:v>0.35714285714285715</x:v>
      </x:c>
      <x:c r="Q347" s="14" t="n">
        <x:f>IFERROR((J347-$K347)/$K347,"")</x:f>
        <x:v>0.07142857142857142</x:v>
      </x:c>
      <x:c r="R347" t="n">
        <x:f>--(F347=$K347)</x:f>
        <x:v>1</x:v>
      </x:c>
      <x:c r="S347" t="n">
        <x:f>--(G347=$K347)</x:f>
        <x:v>0</x:v>
      </x:c>
      <x:c r="T347" t="n">
        <x:f>--(H347=$K347)</x:f>
        <x:v>0</x:v>
      </x:c>
      <x:c r="U347" t="n">
        <x:f>--(I347=$K347)</x:f>
        <x:v>0</x:v>
      </x:c>
      <x:c r="V347" t="n">
        <x:f>--(J347=$K347)</x:f>
        <x:v>0</x:v>
      </x:c>
    </x:row>
    <x:row r="348" ht="18" customHeight="1">
      <x:c r="A348" t="str">
        <x:v>bpps_d1000n100m5w50_150s100_200f1_seed0</x:v>
      </x:c>
      <x:c r="B348" s="16" t="n">
        <x:v>100</x:v>
      </x:c>
      <x:c r="C348" s="16" t="n">
        <x:v>5</x:v>
      </x:c>
      <x:c r="D348" s="16" t="n">
        <x:v>1000</x:v>
      </x:c>
      <x:c r="E348" s="16" t="n">
        <x:v>509</x:v>
      </x:c>
      <x:c r="F348" s="12" t="n">
        <x:v>177</x:v>
      </x:c>
      <x:c r="G348" s="12" t="n">
        <x:v>338</x:v>
      </x:c>
      <x:c r="H348" s="12" t="n">
        <x:v>346</x:v>
      </x:c>
      <x:c r="I348" s="12" t="n">
        <x:v>308</x:v>
      </x:c>
      <x:c r="J348" s="12" t="n">
        <x:v>226</x:v>
      </x:c>
      <x:c r="K348" s="12" t="n">
        <x:f>MIN(F348:J348)</x:f>
        <x:v>177</x:v>
      </x:c>
      <x:c r="L348" t="str">
        <x:f>TEXTJOIN(", ",TRUE,IF(F348=K348,"IG",""),IF(G348=K348,"FFD",""),IF(H348=K348,"BFD",""),IF(I348=K348,"WFD",""),IF(J348=K348,"CTP",""))</x:f>
        <x:v>IG</x:v>
      </x:c>
      <x:c r="M348" s="14" t="n">
        <x:f>IFERROR((F348-$K348)/$K348,"")</x:f>
        <x:v>0</x:v>
      </x:c>
      <x:c r="N348" s="14" t="n">
        <x:f>IFERROR((G348-$K348)/$K348,"")</x:f>
        <x:v>0.9096045197740112</x:v>
      </x:c>
      <x:c r="O348" s="14" t="n">
        <x:f>IFERROR((H348-$K348)/$K348,"")</x:f>
        <x:v>0.9548022598870056</x:v>
      </x:c>
      <x:c r="P348" s="14" t="n">
        <x:f>IFERROR((I348-$K348)/$K348,"")</x:f>
        <x:v>0.7401129943502824</x:v>
      </x:c>
      <x:c r="Q348" s="14" t="n">
        <x:f>IFERROR((J348-$K348)/$K348,"")</x:f>
        <x:v>0.2768361581920904</x:v>
      </x:c>
      <x:c r="R348" t="n">
        <x:f>--(F348=$K348)</x:f>
        <x:v>1</x:v>
      </x:c>
      <x:c r="S348" t="n">
        <x:f>--(G348=$K348)</x:f>
        <x:v>0</x:v>
      </x:c>
      <x:c r="T348" t="n">
        <x:f>--(H348=$K348)</x:f>
        <x:v>0</x:v>
      </x:c>
      <x:c r="U348" t="n">
        <x:f>--(I348=$K348)</x:f>
        <x:v>0</x:v>
      </x:c>
      <x:c r="V348" t="n">
        <x:f>--(J348=$K348)</x:f>
        <x:v>0</x:v>
      </x:c>
    </x:row>
    <x:row r="349" ht="18" customHeight="1">
      <x:c r="A349" t="str">
        <x:v>bpps_d1000n100m5w50_150s100_200f1_seed1</x:v>
      </x:c>
      <x:c r="B349" s="16" t="n">
        <x:v>100</x:v>
      </x:c>
      <x:c r="C349" s="16" t="n">
        <x:v>5</x:v>
      </x:c>
      <x:c r="D349" s="16" t="n">
        <x:v>1000</x:v>
      </x:c>
      <x:c r="E349" s="16" t="n">
        <x:v>499</x:v>
      </x:c>
      <x:c r="F349" s="12" t="n">
        <x:v>170</x:v>
      </x:c>
      <x:c r="G349" s="12" t="n">
        <x:v>289</x:v>
      </x:c>
      <x:c r="H349" s="12" t="n">
        <x:v>309</x:v>
      </x:c>
      <x:c r="I349" s="12" t="n">
        <x:v>283</x:v>
      </x:c>
      <x:c r="J349" s="12" t="n">
        <x:v>198</x:v>
      </x:c>
      <x:c r="K349" s="12" t="n">
        <x:f>MIN(F349:J349)</x:f>
        <x:v>170</x:v>
      </x:c>
      <x:c r="L349" t="str">
        <x:f>TEXTJOIN(", ",TRUE,IF(F349=K349,"IG",""),IF(G349=K349,"FFD",""),IF(H349=K349,"BFD",""),IF(I349=K349,"WFD",""),IF(J349=K349,"CTP",""))</x:f>
        <x:v>IG</x:v>
      </x:c>
      <x:c r="M349" s="14" t="n">
        <x:f>IFERROR((F349-$K349)/$K349,"")</x:f>
        <x:v>0</x:v>
      </x:c>
      <x:c r="N349" s="14" t="n">
        <x:f>IFERROR((G349-$K349)/$K349,"")</x:f>
        <x:v>0.7</x:v>
      </x:c>
      <x:c r="O349" s="14" t="n">
        <x:f>IFERROR((H349-$K349)/$K349,"")</x:f>
        <x:v>0.8176470588235294</x:v>
      </x:c>
      <x:c r="P349" s="14" t="n">
        <x:f>IFERROR((I349-$K349)/$K349,"")</x:f>
        <x:v>0.6647058823529411</x:v>
      </x:c>
      <x:c r="Q349" s="14" t="n">
        <x:f>IFERROR((J349-$K349)/$K349,"")</x:f>
        <x:v>0.16470588235294117</x:v>
      </x:c>
      <x:c r="R349" t="n">
        <x:f>--(F349=$K349)</x:f>
        <x:v>1</x:v>
      </x:c>
      <x:c r="S349" t="n">
        <x:f>--(G349=$K349)</x:f>
        <x:v>0</x:v>
      </x:c>
      <x:c r="T349" t="n">
        <x:f>--(H349=$K349)</x:f>
        <x:v>0</x:v>
      </x:c>
      <x:c r="U349" t="n">
        <x:f>--(I349=$K349)</x:f>
        <x:v>0</x:v>
      </x:c>
      <x:c r="V349" t="n">
        <x:f>--(J349=$K349)</x:f>
        <x:v>0</x:v>
      </x:c>
    </x:row>
    <x:row r="350" ht="18" customHeight="1">
      <x:c r="A350" t="str">
        <x:v>bpps_d1000n100m5w50_150s10_100f0_seed0</x:v>
      </x:c>
      <x:c r="B350" s="16" t="n">
        <x:v>100</x:v>
      </x:c>
      <x:c r="C350" s="16" t="n">
        <x:v>5</x:v>
      </x:c>
      <x:c r="D350" s="16" t="n">
        <x:v>1000</x:v>
      </x:c>
      <x:c r="E350" s="16" t="n">
        <x:v>502</x:v>
      </x:c>
      <x:c r="F350" s="12" t="n">
        <x:v>12</x:v>
      </x:c>
      <x:c r="G350" s="12" t="n">
        <x:v>15</x:v>
      </x:c>
      <x:c r="H350" s="12" t="n">
        <x:v>14</x:v>
      </x:c>
      <x:c r="I350" s="12" t="n">
        <x:v>14</x:v>
      </x:c>
      <x:c r="J350" s="12" t="n">
        <x:v>14</x:v>
      </x:c>
      <x:c r="K350" s="12" t="n">
        <x:f>MIN(F350:J350)</x:f>
        <x:v>12</x:v>
      </x:c>
      <x:c r="L350" t="str">
        <x:f>TEXTJOIN(", ",TRUE,IF(F350=K350,"IG",""),IF(G350=K350,"FFD",""),IF(H350=K350,"BFD",""),IF(I350=K350,"WFD",""),IF(J350=K350,"CTP",""))</x:f>
        <x:v>IG</x:v>
      </x:c>
      <x:c r="M350" s="14" t="n">
        <x:f>IFERROR((F350-$K350)/$K350,"")</x:f>
        <x:v>0</x:v>
      </x:c>
      <x:c r="N350" s="14" t="n">
        <x:f>IFERROR((G350-$K350)/$K350,"")</x:f>
        <x:v>0.25</x:v>
      </x:c>
      <x:c r="O350" s="14" t="n">
        <x:f>IFERROR((H350-$K350)/$K350,"")</x:f>
        <x:v>0.16666666666666666</x:v>
      </x:c>
      <x:c r="P350" s="14" t="n">
        <x:f>IFERROR((I350-$K350)/$K350,"")</x:f>
        <x:v>0.16666666666666666</x:v>
      </x:c>
      <x:c r="Q350" s="14" t="n">
        <x:f>IFERROR((J350-$K350)/$K350,"")</x:f>
        <x:v>0.16666666666666666</x:v>
      </x:c>
      <x:c r="R350" t="n">
        <x:f>--(F350=$K350)</x:f>
        <x:v>1</x:v>
      </x:c>
      <x:c r="S350" t="n">
        <x:f>--(G350=$K350)</x:f>
        <x:v>0</x:v>
      </x:c>
      <x:c r="T350" t="n">
        <x:f>--(H350=$K350)</x:f>
        <x:v>0</x:v>
      </x:c>
      <x:c r="U350" t="n">
        <x:f>--(I350=$K350)</x:f>
        <x:v>0</x:v>
      </x:c>
      <x:c r="V350" t="n">
        <x:f>--(J350=$K350)</x:f>
        <x:v>0</x:v>
      </x:c>
    </x:row>
    <x:row r="351" ht="18" customHeight="1">
      <x:c r="A351" t="str">
        <x:v>bpps_d1000n100m5w50_150s10_100f0_seed1</x:v>
      </x:c>
      <x:c r="B351" s="16" t="n">
        <x:v>100</x:v>
      </x:c>
      <x:c r="C351" s="16" t="n">
        <x:v>5</x:v>
      </x:c>
      <x:c r="D351" s="16" t="n">
        <x:v>1000</x:v>
      </x:c>
      <x:c r="E351" s="16" t="n">
        <x:v>506</x:v>
      </x:c>
      <x:c r="F351" s="12" t="n">
        <x:v>12</x:v>
      </x:c>
      <x:c r="G351" s="12" t="n">
        <x:v>14</x:v>
      </x:c>
      <x:c r="H351" s="12" t="n">
        <x:v>14</x:v>
      </x:c>
      <x:c r="I351" s="12" t="n">
        <x:v>13</x:v>
      </x:c>
      <x:c r="J351" s="12" t="n">
        <x:v>14</x:v>
      </x:c>
      <x:c r="K351" s="12" t="n">
        <x:f>MIN(F351:J351)</x:f>
        <x:v>12</x:v>
      </x:c>
      <x:c r="L351" t="str">
        <x:f>TEXTJOIN(", ",TRUE,IF(F351=K351,"IG",""),IF(G351=K351,"FFD",""),IF(H351=K351,"BFD",""),IF(I351=K351,"WFD",""),IF(J351=K351,"CTP",""))</x:f>
        <x:v>IG</x:v>
      </x:c>
      <x:c r="M351" s="14" t="n">
        <x:f>IFERROR((F351-$K351)/$K351,"")</x:f>
        <x:v>0</x:v>
      </x:c>
      <x:c r="N351" s="14" t="n">
        <x:f>IFERROR((G351-$K351)/$K351,"")</x:f>
        <x:v>0.16666666666666666</x:v>
      </x:c>
      <x:c r="O351" s="14" t="n">
        <x:f>IFERROR((H351-$K351)/$K351,"")</x:f>
        <x:v>0.16666666666666666</x:v>
      </x:c>
      <x:c r="P351" s="14" t="n">
        <x:f>IFERROR((I351-$K351)/$K351,"")</x:f>
        <x:v>0.08333333333333333</x:v>
      </x:c>
      <x:c r="Q351" s="14" t="n">
        <x:f>IFERROR((J351-$K351)/$K351,"")</x:f>
        <x:v>0.16666666666666666</x:v>
      </x:c>
      <x:c r="R351" t="n">
        <x:f>--(F351=$K351)</x:f>
        <x:v>1</x:v>
      </x:c>
      <x:c r="S351" t="n">
        <x:f>--(G351=$K351)</x:f>
        <x:v>0</x:v>
      </x:c>
      <x:c r="T351" t="n">
        <x:f>--(H351=$K351)</x:f>
        <x:v>0</x:v>
      </x:c>
      <x:c r="U351" t="n">
        <x:f>--(I351=$K351)</x:f>
        <x:v>0</x:v>
      </x:c>
      <x:c r="V351" t="n">
        <x:f>--(J351=$K351)</x:f>
        <x:v>0</x:v>
      </x:c>
    </x:row>
    <x:row r="352" ht="18" customHeight="1">
      <x:c r="A352" t="str">
        <x:v>bpps_d1000n100m5w50_150s10_100f1_seed0</x:v>
      </x:c>
      <x:c r="B352" s="16" t="n">
        <x:v>100</x:v>
      </x:c>
      <x:c r="C352" s="16" t="n">
        <x:v>5</x:v>
      </x:c>
      <x:c r="D352" s="16" t="n">
        <x:v>1000</x:v>
      </x:c>
      <x:c r="E352" s="16" t="n">
        <x:v>513</x:v>
      </x:c>
      <x:c r="F352" s="12" t="n">
        <x:v>162</x:v>
      </x:c>
      <x:c r="G352" s="12" t="n">
        <x:v>289</x:v>
      </x:c>
      <x:c r="H352" s="12" t="n">
        <x:v>281</x:v>
      </x:c>
      <x:c r="I352" s="12" t="n">
        <x:v>282</x:v>
      </x:c>
      <x:c r="J352" s="12" t="n">
        <x:v>192</x:v>
      </x:c>
      <x:c r="K352" s="12" t="n">
        <x:f>MIN(F352:J352)</x:f>
        <x:v>162</x:v>
      </x:c>
      <x:c r="L352" t="str">
        <x:f>TEXTJOIN(", ",TRUE,IF(F352=K352,"IG",""),IF(G352=K352,"FFD",""),IF(H352=K352,"BFD",""),IF(I352=K352,"WFD",""),IF(J352=K352,"CTP",""))</x:f>
        <x:v>IG</x:v>
      </x:c>
      <x:c r="M352" s="14" t="n">
        <x:f>IFERROR((F352-$K352)/$K352,"")</x:f>
        <x:v>0</x:v>
      </x:c>
      <x:c r="N352" s="14" t="n">
        <x:f>IFERROR((G352-$K352)/$K352,"")</x:f>
        <x:v>0.7839506172839507</x:v>
      </x:c>
      <x:c r="O352" s="14" t="n">
        <x:f>IFERROR((H352-$K352)/$K352,"")</x:f>
        <x:v>0.7345679012345679</x:v>
      </x:c>
      <x:c r="P352" s="14" t="n">
        <x:f>IFERROR((I352-$K352)/$K352,"")</x:f>
        <x:v>0.7407407407407407</x:v>
      </x:c>
      <x:c r="Q352" s="14" t="n">
        <x:f>IFERROR((J352-$K352)/$K352,"")</x:f>
        <x:v>0.18518518518518517</x:v>
      </x:c>
      <x:c r="R352" t="n">
        <x:f>--(F352=$K352)</x:f>
        <x:v>1</x:v>
      </x:c>
      <x:c r="S352" t="n">
        <x:f>--(G352=$K352)</x:f>
        <x:v>0</x:v>
      </x:c>
      <x:c r="T352" t="n">
        <x:f>--(H352=$K352)</x:f>
        <x:v>0</x:v>
      </x:c>
      <x:c r="U352" t="n">
        <x:f>--(I352=$K352)</x:f>
        <x:v>0</x:v>
      </x:c>
      <x:c r="V352" t="n">
        <x:f>--(J352=$K352)</x:f>
        <x:v>0</x:v>
      </x:c>
    </x:row>
    <x:row r="353" ht="18" customHeight="1">
      <x:c r="A353" t="str">
        <x:v>bpps_d1000n100m5w50_150s10_100f1_seed1</x:v>
      </x:c>
      <x:c r="B353" s="16" t="n">
        <x:v>100</x:v>
      </x:c>
      <x:c r="C353" s="16" t="n">
        <x:v>5</x:v>
      </x:c>
      <x:c r="D353" s="16" t="n">
        <x:v>1000</x:v>
      </x:c>
      <x:c r="E353" s="16" t="n">
        <x:v>495</x:v>
      </x:c>
      <x:c r="F353" s="12" t="n">
        <x:v>150</x:v>
      </x:c>
      <x:c r="G353" s="12" t="n">
        <x:v>237</x:v>
      </x:c>
      <x:c r="H353" s="12" t="n">
        <x:v>241</x:v>
      </x:c>
      <x:c r="I353" s="12" t="n">
        <x:v>233</x:v>
      </x:c>
      <x:c r="J353" s="12" t="n">
        <x:v>165</x:v>
      </x:c>
      <x:c r="K353" s="12" t="n">
        <x:f>MIN(F353:J353)</x:f>
        <x:v>150</x:v>
      </x:c>
      <x:c r="L353" t="str">
        <x:f>TEXTJOIN(", ",TRUE,IF(F353=K353,"IG",""),IF(G353=K353,"FFD",""),IF(H353=K353,"BFD",""),IF(I353=K353,"WFD",""),IF(J353=K353,"CTP",""))</x:f>
        <x:v>IG</x:v>
      </x:c>
      <x:c r="M353" s="14" t="n">
        <x:f>IFERROR((F353-$K353)/$K353,"")</x:f>
        <x:v>0</x:v>
      </x:c>
      <x:c r="N353" s="14" t="n">
        <x:f>IFERROR((G353-$K353)/$K353,"")</x:f>
        <x:v>0.58</x:v>
      </x:c>
      <x:c r="O353" s="14" t="n">
        <x:f>IFERROR((H353-$K353)/$K353,"")</x:f>
        <x:v>0.6066666666666667</x:v>
      </x:c>
      <x:c r="P353" s="14" t="n">
        <x:f>IFERROR((I353-$K353)/$K353,"")</x:f>
        <x:v>0.5533333333333333</x:v>
      </x:c>
      <x:c r="Q353" s="14" t="n">
        <x:f>IFERROR((J353-$K353)/$K353,"")</x:f>
        <x:v>0.1</x:v>
      </x:c>
      <x:c r="R353" t="n">
        <x:f>--(F353=$K353)</x:f>
        <x:v>1</x:v>
      </x:c>
      <x:c r="S353" t="n">
        <x:f>--(G353=$K353)</x:f>
        <x:v>0</x:v>
      </x:c>
      <x:c r="T353" t="n">
        <x:f>--(H353=$K353)</x:f>
        <x:v>0</x:v>
      </x:c>
      <x:c r="U353" t="n">
        <x:f>--(I353=$K353)</x:f>
        <x:v>0</x:v>
      </x:c>
      <x:c r="V353" t="n">
        <x:f>--(J353=$K353)</x:f>
        <x:v>0</x:v>
      </x:c>
    </x:row>
    <x:row r="354" ht="18" customHeight="1">
      <x:c r="A354" t="str">
        <x:v>bpps_d200n100m10w10_30s20_40f0_seed0</x:v>
      </x:c>
      <x:c r="B354" s="16" t="n">
        <x:v>100</x:v>
      </x:c>
      <x:c r="C354" s="16" t="n">
        <x:v>10</x:v>
      </x:c>
      <x:c r="D354" s="16" t="n">
        <x:v>200</x:v>
      </x:c>
      <x:c r="E354" s="16" t="n">
        <x:v>476</x:v>
      </x:c>
      <x:c r="F354" s="12" t="n">
        <x:v>15</x:v>
      </x:c>
      <x:c r="G354" s="12" t="n">
        <x:v>20</x:v>
      </x:c>
      <x:c r="H354" s="12" t="n">
        <x:v>20</x:v>
      </x:c>
      <x:c r="I354" s="12" t="n">
        <x:v>21</x:v>
      </x:c>
      <x:c r="J354" s="12" t="n">
        <x:v>16</x:v>
      </x:c>
      <x:c r="K354" s="12" t="n">
        <x:f>MIN(F354:J354)</x:f>
        <x:v>15</x:v>
      </x:c>
      <x:c r="L354" t="str">
        <x:f>TEXTJOIN(", ",TRUE,IF(F354=K354,"IG",""),IF(G354=K354,"FFD",""),IF(H354=K354,"BFD",""),IF(I354=K354,"WFD",""),IF(J354=K354,"CTP",""))</x:f>
        <x:v>IG</x:v>
      </x:c>
      <x:c r="M354" s="14" t="n">
        <x:f>IFERROR((F354-$K354)/$K354,"")</x:f>
        <x:v>0</x:v>
      </x:c>
      <x:c r="N354" s="14" t="n">
        <x:f>IFERROR((G354-$K354)/$K354,"")</x:f>
        <x:v>0.3333333333333333</x:v>
      </x:c>
      <x:c r="O354" s="14" t="n">
        <x:f>IFERROR((H354-$K354)/$K354,"")</x:f>
        <x:v>0.3333333333333333</x:v>
      </x:c>
      <x:c r="P354" s="14" t="n">
        <x:f>IFERROR((I354-$K354)/$K354,"")</x:f>
        <x:v>0.4</x:v>
      </x:c>
      <x:c r="Q354" s="14" t="n">
        <x:f>IFERROR((J354-$K354)/$K354,"")</x:f>
        <x:v>0.06666666666666667</x:v>
      </x:c>
      <x:c r="R354" t="n">
        <x:f>--(F354=$K354)</x:f>
        <x:v>1</x:v>
      </x:c>
      <x:c r="S354" t="n">
        <x:f>--(G354=$K354)</x:f>
        <x:v>0</x:v>
      </x:c>
      <x:c r="T354" t="n">
        <x:f>--(H354=$K354)</x:f>
        <x:v>0</x:v>
      </x:c>
      <x:c r="U354" t="n">
        <x:f>--(I354=$K354)</x:f>
        <x:v>0</x:v>
      </x:c>
      <x:c r="V354" t="n">
        <x:f>--(J354=$K354)</x:f>
        <x:v>0</x:v>
      </x:c>
    </x:row>
    <x:row r="355" ht="18" customHeight="1">
      <x:c r="A355" t="str">
        <x:v>bpps_d200n100m10w10_30s20_40f0_seed1</x:v>
      </x:c>
      <x:c r="B355" s="16" t="n">
        <x:v>100</x:v>
      </x:c>
      <x:c r="C355" s="16" t="n">
        <x:v>10</x:v>
      </x:c>
      <x:c r="D355" s="16" t="n">
        <x:v>200</x:v>
      </x:c>
      <x:c r="E355" s="16" t="n">
        <x:v>500</x:v>
      </x:c>
      <x:c r="F355" s="12" t="n">
        <x:v>15</x:v>
      </x:c>
      <x:c r="G355" s="12" t="n">
        <x:v>21</x:v>
      </x:c>
      <x:c r="H355" s="12" t="n">
        <x:v>21</x:v>
      </x:c>
      <x:c r="I355" s="12" t="n">
        <x:v>21</x:v>
      </x:c>
      <x:c r="J355" s="12" t="n">
        <x:v>16</x:v>
      </x:c>
      <x:c r="K355" s="12" t="n">
        <x:f>MIN(F355:J355)</x:f>
        <x:v>15</x:v>
      </x:c>
      <x:c r="L355" t="str">
        <x:f>TEXTJOIN(", ",TRUE,IF(F355=K355,"IG",""),IF(G355=K355,"FFD",""),IF(H355=K355,"BFD",""),IF(I355=K355,"WFD",""),IF(J355=K355,"CTP",""))</x:f>
        <x:v>IG</x:v>
      </x:c>
      <x:c r="M355" s="14" t="n">
        <x:f>IFERROR((F355-$K355)/$K355,"")</x:f>
        <x:v>0</x:v>
      </x:c>
      <x:c r="N355" s="14" t="n">
        <x:f>IFERROR((G355-$K355)/$K355,"")</x:f>
        <x:v>0.4</x:v>
      </x:c>
      <x:c r="O355" s="14" t="n">
        <x:f>IFERROR((H355-$K355)/$K355,"")</x:f>
        <x:v>0.4</x:v>
      </x:c>
      <x:c r="P355" s="14" t="n">
        <x:f>IFERROR((I355-$K355)/$K355,"")</x:f>
        <x:v>0.4</x:v>
      </x:c>
      <x:c r="Q355" s="14" t="n">
        <x:f>IFERROR((J355-$K355)/$K355,"")</x:f>
        <x:v>0.06666666666666667</x:v>
      </x:c>
      <x:c r="R355" t="n">
        <x:f>--(F355=$K355)</x:f>
        <x:v>1</x:v>
      </x:c>
      <x:c r="S355" t="n">
        <x:f>--(G355=$K355)</x:f>
        <x:v>0</x:v>
      </x:c>
      <x:c r="T355" t="n">
        <x:f>--(H355=$K355)</x:f>
        <x:v>0</x:v>
      </x:c>
      <x:c r="U355" t="n">
        <x:f>--(I355=$K355)</x:f>
        <x:v>0</x:v>
      </x:c>
      <x:c r="V355" t="n">
        <x:f>--(J355=$K355)</x:f>
        <x:v>0</x:v>
      </x:c>
    </x:row>
    <x:row r="356" ht="18" customHeight="1">
      <x:c r="A356" t="str">
        <x:v>bpps_d200n100m10w10_30s20_40f1_seed0</x:v>
      </x:c>
      <x:c r="B356" s="16" t="n">
        <x:v>100</x:v>
      </x:c>
      <x:c r="C356" s="16" t="n">
        <x:v>10</x:v>
      </x:c>
      <x:c r="D356" s="16" t="n">
        <x:v>200</x:v>
      </x:c>
      <x:c r="E356" s="16" t="n">
        <x:v>488</x:v>
      </x:c>
      <x:c r="F356" s="12" t="n">
        <x:v>201</x:v>
      </x:c>
      <x:c r="G356" s="12" t="n">
        <x:v>370</x:v>
      </x:c>
      <x:c r="H356" s="12" t="n">
        <x:v>374</x:v>
      </x:c>
      <x:c r="I356" s="12" t="n">
        <x:v>367</x:v>
      </x:c>
      <x:c r="J356" s="12" t="n">
        <x:v>214</x:v>
      </x:c>
      <x:c r="K356" s="12" t="n">
        <x:f>MIN(F356:J356)</x:f>
        <x:v>201</x:v>
      </x:c>
      <x:c r="L356" t="str">
        <x:f>TEXTJOIN(", ",TRUE,IF(F356=K356,"IG",""),IF(G356=K356,"FFD",""),IF(H356=K356,"BFD",""),IF(I356=K356,"WFD",""),IF(J356=K356,"CTP",""))</x:f>
        <x:v>IG</x:v>
      </x:c>
      <x:c r="M356" s="14" t="n">
        <x:f>IFERROR((F356-$K356)/$K356,"")</x:f>
        <x:v>0</x:v>
      </x:c>
      <x:c r="N356" s="14" t="n">
        <x:f>IFERROR((G356-$K356)/$K356,"")</x:f>
        <x:v>0.8407960199004975</x:v>
      </x:c>
      <x:c r="O356" s="14" t="n">
        <x:f>IFERROR((H356-$K356)/$K356,"")</x:f>
        <x:v>0.8606965174129353</x:v>
      </x:c>
      <x:c r="P356" s="14" t="n">
        <x:f>IFERROR((I356-$K356)/$K356,"")</x:f>
        <x:v>0.8258706467661692</x:v>
      </x:c>
      <x:c r="Q356" s="14" t="n">
        <x:f>IFERROR((J356-$K356)/$K356,"")</x:f>
        <x:v>0.06467661691542288</x:v>
      </x:c>
      <x:c r="R356" t="n">
        <x:f>--(F356=$K356)</x:f>
        <x:v>1</x:v>
      </x:c>
      <x:c r="S356" t="n">
        <x:f>--(G356=$K356)</x:f>
        <x:v>0</x:v>
      </x:c>
      <x:c r="T356" t="n">
        <x:f>--(H356=$K356)</x:f>
        <x:v>0</x:v>
      </x:c>
      <x:c r="U356" t="n">
        <x:f>--(I356=$K356)</x:f>
        <x:v>0</x:v>
      </x:c>
      <x:c r="V356" t="n">
        <x:f>--(J356=$K356)</x:f>
        <x:v>0</x:v>
      </x:c>
    </x:row>
    <x:row r="357" ht="18" customHeight="1">
      <x:c r="A357" t="str">
        <x:v>bpps_d200n100m10w10_30s20_40f1_seed1</x:v>
      </x:c>
      <x:c r="B357" s="16" t="n">
        <x:v>100</x:v>
      </x:c>
      <x:c r="C357" s="16" t="n">
        <x:v>10</x:v>
      </x:c>
      <x:c r="D357" s="16" t="n">
        <x:v>200</x:v>
      </x:c>
      <x:c r="E357" s="16" t="n">
        <x:v>461</x:v>
      </x:c>
      <x:c r="F357" s="12" t="n">
        <x:v>199</x:v>
      </x:c>
      <x:c r="G357" s="12" t="n">
        <x:v>347</x:v>
      </x:c>
      <x:c r="H357" s="12" t="n">
        <x:v>369</x:v>
      </x:c>
      <x:c r="I357" s="12" t="n">
        <x:v>345</x:v>
      </x:c>
      <x:c r="J357" s="12" t="n">
        <x:v>211</x:v>
      </x:c>
      <x:c r="K357" s="12" t="n">
        <x:f>MIN(F357:J357)</x:f>
        <x:v>199</x:v>
      </x:c>
      <x:c r="L357" t="str">
        <x:f>TEXTJOIN(", ",TRUE,IF(F357=K357,"IG",""),IF(G357=K357,"FFD",""),IF(H357=K357,"BFD",""),IF(I357=K357,"WFD",""),IF(J357=K357,"CTP",""))</x:f>
        <x:v>IG</x:v>
      </x:c>
      <x:c r="M357" s="14" t="n">
        <x:f>IFERROR((F357-$K357)/$K357,"")</x:f>
        <x:v>0</x:v>
      </x:c>
      <x:c r="N357" s="14" t="n">
        <x:f>IFERROR((G357-$K357)/$K357,"")</x:f>
        <x:v>0.7437185929648241</x:v>
      </x:c>
      <x:c r="O357" s="14" t="n">
        <x:f>IFERROR((H357-$K357)/$K357,"")</x:f>
        <x:v>0.8542713567839196</x:v>
      </x:c>
      <x:c r="P357" s="14" t="n">
        <x:f>IFERROR((I357-$K357)/$K357,"")</x:f>
        <x:v>0.7336683417085427</x:v>
      </x:c>
      <x:c r="Q357" s="14" t="n">
        <x:f>IFERROR((J357-$K357)/$K357,"")</x:f>
        <x:v>0.06030150753768844</x:v>
      </x:c>
      <x:c r="R357" t="n">
        <x:f>--(F357=$K357)</x:f>
        <x:v>1</x:v>
      </x:c>
      <x:c r="S357" t="n">
        <x:f>--(G357=$K357)</x:f>
        <x:v>0</x:v>
      </x:c>
      <x:c r="T357" t="n">
        <x:f>--(H357=$K357)</x:f>
        <x:v>0</x:v>
      </x:c>
      <x:c r="U357" t="n">
        <x:f>--(I357=$K357)</x:f>
        <x:v>0</x:v>
      </x:c>
      <x:c r="V357" t="n">
        <x:f>--(J357=$K357)</x:f>
        <x:v>0</x:v>
      </x:c>
    </x:row>
    <x:row r="358" ht="18" customHeight="1">
      <x:c r="A358" t="str">
        <x:v>bpps_d200n100m10w10_30s2_20f0_seed0</x:v>
      </x:c>
      <x:c r="B358" s="16" t="n">
        <x:v>100</x:v>
      </x:c>
      <x:c r="C358" s="16" t="n">
        <x:v>10</x:v>
      </x:c>
      <x:c r="D358" s="16" t="n">
        <x:v>200</x:v>
      </x:c>
      <x:c r="E358" s="16" t="n">
        <x:v>496</x:v>
      </x:c>
      <x:c r="F358" s="12" t="n">
        <x:v>12</x:v>
      </x:c>
      <x:c r="G358" s="12" t="n">
        <x:v>15</x:v>
      </x:c>
      <x:c r="H358" s="12" t="n">
        <x:v>15</x:v>
      </x:c>
      <x:c r="I358" s="12" t="n">
        <x:v>15</x:v>
      </x:c>
      <x:c r="J358" s="12" t="n">
        <x:v>13</x:v>
      </x:c>
      <x:c r="K358" s="12" t="n">
        <x:f>MIN(F358:J358)</x:f>
        <x:v>12</x:v>
      </x:c>
      <x:c r="L358" t="str">
        <x:f>TEXTJOIN(", ",TRUE,IF(F358=K358,"IG",""),IF(G358=K358,"FFD",""),IF(H358=K358,"BFD",""),IF(I358=K358,"WFD",""),IF(J358=K358,"CTP",""))</x:f>
        <x:v>IG</x:v>
      </x:c>
      <x:c r="M358" s="14" t="n">
        <x:f>IFERROR((F358-$K358)/$K358,"")</x:f>
        <x:v>0</x:v>
      </x:c>
      <x:c r="N358" s="14" t="n">
        <x:f>IFERROR((G358-$K358)/$K358,"")</x:f>
        <x:v>0.25</x:v>
      </x:c>
      <x:c r="O358" s="14" t="n">
        <x:f>IFERROR((H358-$K358)/$K358,"")</x:f>
        <x:v>0.25</x:v>
      </x:c>
      <x:c r="P358" s="14" t="n">
        <x:f>IFERROR((I358-$K358)/$K358,"")</x:f>
        <x:v>0.25</x:v>
      </x:c>
      <x:c r="Q358" s="14" t="n">
        <x:f>IFERROR((J358-$K358)/$K358,"")</x:f>
        <x:v>0.08333333333333333</x:v>
      </x:c>
      <x:c r="R358" t="n">
        <x:f>--(F358=$K358)</x:f>
        <x:v>1</x:v>
      </x:c>
      <x:c r="S358" t="n">
        <x:f>--(G358=$K358)</x:f>
        <x:v>0</x:v>
      </x:c>
      <x:c r="T358" t="n">
        <x:f>--(H358=$K358)</x:f>
        <x:v>0</x:v>
      </x:c>
      <x:c r="U358" t="n">
        <x:f>--(I358=$K358)</x:f>
        <x:v>0</x:v>
      </x:c>
      <x:c r="V358" t="n">
        <x:f>--(J358=$K358)</x:f>
        <x:v>0</x:v>
      </x:c>
    </x:row>
    <x:row r="359" ht="18" customHeight="1">
      <x:c r="A359" t="str">
        <x:v>bpps_d200n100m10w10_30s2_20f0_seed1</x:v>
      </x:c>
      <x:c r="B359" s="16" t="n">
        <x:v>100</x:v>
      </x:c>
      <x:c r="C359" s="16" t="n">
        <x:v>10</x:v>
      </x:c>
      <x:c r="D359" s="16" t="n">
        <x:v>200</x:v>
      </x:c>
      <x:c r="E359" s="16" t="n">
        <x:v>485</x:v>
      </x:c>
      <x:c r="F359" s="12" t="n">
        <x:v>12</x:v>
      </x:c>
      <x:c r="G359" s="12" t="n">
        <x:v>15</x:v>
      </x:c>
      <x:c r="H359" s="12" t="n">
        <x:v>15</x:v>
      </x:c>
      <x:c r="I359" s="12" t="n">
        <x:v>14</x:v>
      </x:c>
      <x:c r="J359" s="12" t="n">
        <x:v>15</x:v>
      </x:c>
      <x:c r="K359" s="12" t="n">
        <x:f>MIN(F359:J359)</x:f>
        <x:v>12</x:v>
      </x:c>
      <x:c r="L359" t="str">
        <x:f>TEXTJOIN(", ",TRUE,IF(F359=K359,"IG",""),IF(G359=K359,"FFD",""),IF(H359=K359,"BFD",""),IF(I359=K359,"WFD",""),IF(J359=K359,"CTP",""))</x:f>
        <x:v>IG</x:v>
      </x:c>
      <x:c r="M359" s="14" t="n">
        <x:f>IFERROR((F359-$K359)/$K359,"")</x:f>
        <x:v>0</x:v>
      </x:c>
      <x:c r="N359" s="14" t="n">
        <x:f>IFERROR((G359-$K359)/$K359,"")</x:f>
        <x:v>0.25</x:v>
      </x:c>
      <x:c r="O359" s="14" t="n">
        <x:f>IFERROR((H359-$K359)/$K359,"")</x:f>
        <x:v>0.25</x:v>
      </x:c>
      <x:c r="P359" s="14" t="n">
        <x:f>IFERROR((I359-$K359)/$K359,"")</x:f>
        <x:v>0.16666666666666666</x:v>
      </x:c>
      <x:c r="Q359" s="14" t="n">
        <x:f>IFERROR((J359-$K359)/$K359,"")</x:f>
        <x:v>0.25</x:v>
      </x:c>
      <x:c r="R359" t="n">
        <x:f>--(F359=$K359)</x:f>
        <x:v>1</x:v>
      </x:c>
      <x:c r="S359" t="n">
        <x:f>--(G359=$K359)</x:f>
        <x:v>0</x:v>
      </x:c>
      <x:c r="T359" t="n">
        <x:f>--(H359=$K359)</x:f>
        <x:v>0</x:v>
      </x:c>
      <x:c r="U359" t="n">
        <x:f>--(I359=$K359)</x:f>
        <x:v>0</x:v>
      </x:c>
      <x:c r="V359" t="n">
        <x:f>--(J359=$K359)</x:f>
        <x:v>0</x:v>
      </x:c>
    </x:row>
    <x:row r="360" ht="18" customHeight="1">
      <x:c r="A360" t="str">
        <x:v>bpps_d200n100m10w10_30s2_20f1_seed0</x:v>
      </x:c>
      <x:c r="B360" s="16" t="n">
        <x:v>100</x:v>
      </x:c>
      <x:c r="C360" s="16" t="n">
        <x:v>10</x:v>
      </x:c>
      <x:c r="D360" s="16" t="n">
        <x:v>200</x:v>
      </x:c>
      <x:c r="E360" s="16" t="n">
        <x:v>487</x:v>
      </x:c>
      <x:c r="F360" s="12" t="n">
        <x:v>186</x:v>
      </x:c>
      <x:c r="G360" s="12" t="n">
        <x:v>347</x:v>
      </x:c>
      <x:c r="H360" s="12" t="n">
        <x:v>360</x:v>
      </x:c>
      <x:c r="I360" s="12" t="n">
        <x:v>339</x:v>
      </x:c>
      <x:c r="J360" s="12" t="n">
        <x:v>207</x:v>
      </x:c>
      <x:c r="K360" s="12" t="n">
        <x:f>MIN(F360:J360)</x:f>
        <x:v>186</x:v>
      </x:c>
      <x:c r="L360" t="str">
        <x:f>TEXTJOIN(", ",TRUE,IF(F360=K360,"IG",""),IF(G360=K360,"FFD",""),IF(H360=K360,"BFD",""),IF(I360=K360,"WFD",""),IF(J360=K360,"CTP",""))</x:f>
        <x:v>IG</x:v>
      </x:c>
      <x:c r="M360" s="14" t="n">
        <x:f>IFERROR((F360-$K360)/$K360,"")</x:f>
        <x:v>0</x:v>
      </x:c>
      <x:c r="N360" s="14" t="n">
        <x:f>IFERROR((G360-$K360)/$K360,"")</x:f>
        <x:v>0.8655913978494624</x:v>
      </x:c>
      <x:c r="O360" s="14" t="n">
        <x:f>IFERROR((H360-$K360)/$K360,"")</x:f>
        <x:v>0.9354838709677419</x:v>
      </x:c>
      <x:c r="P360" s="14" t="n">
        <x:f>IFERROR((I360-$K360)/$K360,"")</x:f>
        <x:v>0.8225806451612904</x:v>
      </x:c>
      <x:c r="Q360" s="14" t="n">
        <x:f>IFERROR((J360-$K360)/$K360,"")</x:f>
        <x:v>0.11290322580645161</x:v>
      </x:c>
      <x:c r="R360" t="n">
        <x:f>--(F360=$K360)</x:f>
        <x:v>1</x:v>
      </x:c>
      <x:c r="S360" t="n">
        <x:f>--(G360=$K360)</x:f>
        <x:v>0</x:v>
      </x:c>
      <x:c r="T360" t="n">
        <x:f>--(H360=$K360)</x:f>
        <x:v>0</x:v>
      </x:c>
      <x:c r="U360" t="n">
        <x:f>--(I360=$K360)</x:f>
        <x:v>0</x:v>
      </x:c>
      <x:c r="V360" t="n">
        <x:f>--(J360=$K360)</x:f>
        <x:v>0</x:v>
      </x:c>
    </x:row>
    <x:row r="361" ht="18" customHeight="1">
      <x:c r="A361" t="str">
        <x:v>bpps_d200n100m10w10_30s2_20f1_seed1</x:v>
      </x:c>
      <x:c r="B361" s="16" t="n">
        <x:v>100</x:v>
      </x:c>
      <x:c r="C361" s="16" t="n">
        <x:v>10</x:v>
      </x:c>
      <x:c r="D361" s="16" t="n">
        <x:v>200</x:v>
      </x:c>
      <x:c r="E361" s="16" t="n">
        <x:v>520</x:v>
      </x:c>
      <x:c r="F361" s="12" t="n">
        <x:v>186</x:v>
      </x:c>
      <x:c r="G361" s="12" t="n">
        <x:v>321</x:v>
      </x:c>
      <x:c r="H361" s="12" t="n">
        <x:v>325</x:v>
      </x:c>
      <x:c r="I361" s="12" t="n">
        <x:v>330</x:v>
      </x:c>
      <x:c r="J361" s="12" t="n">
        <x:v>207</x:v>
      </x:c>
      <x:c r="K361" s="12" t="n">
        <x:f>MIN(F361:J361)</x:f>
        <x:v>186</x:v>
      </x:c>
      <x:c r="L361" t="str">
        <x:f>TEXTJOIN(", ",TRUE,IF(F361=K361,"IG",""),IF(G361=K361,"FFD",""),IF(H361=K361,"BFD",""),IF(I361=K361,"WFD",""),IF(J361=K361,"CTP",""))</x:f>
        <x:v>IG</x:v>
      </x:c>
      <x:c r="M361" s="14" t="n">
        <x:f>IFERROR((F361-$K361)/$K361,"")</x:f>
        <x:v>0</x:v>
      </x:c>
      <x:c r="N361" s="14" t="n">
        <x:f>IFERROR((G361-$K361)/$K361,"")</x:f>
        <x:v>0.7258064516129032</x:v>
      </x:c>
      <x:c r="O361" s="14" t="n">
        <x:f>IFERROR((H361-$K361)/$K361,"")</x:f>
        <x:v>0.7473118279569892</x:v>
      </x:c>
      <x:c r="P361" s="14" t="n">
        <x:f>IFERROR((I361-$K361)/$K361,"")</x:f>
        <x:v>0.7741935483870968</x:v>
      </x:c>
      <x:c r="Q361" s="14" t="n">
        <x:f>IFERROR((J361-$K361)/$K361,"")</x:f>
        <x:v>0.11290322580645161</x:v>
      </x:c>
      <x:c r="R361" t="n">
        <x:f>--(F361=$K361)</x:f>
        <x:v>1</x:v>
      </x:c>
      <x:c r="S361" t="n">
        <x:f>--(G361=$K361)</x:f>
        <x:v>0</x:v>
      </x:c>
      <x:c r="T361" t="n">
        <x:f>--(H361=$K361)</x:f>
        <x:v>0</x:v>
      </x:c>
      <x:c r="U361" t="n">
        <x:f>--(I361=$K361)</x:f>
        <x:v>0</x:v>
      </x:c>
      <x:c r="V361" t="n">
        <x:f>--(J361=$K361)</x:f>
        <x:v>0</x:v>
      </x:c>
    </x:row>
    <x:row r="362" ht="18" customHeight="1">
      <x:c r="A362" t="str">
        <x:v>bpps_d200n100m10w30_60s20_40f0_seed0</x:v>
      </x:c>
      <x:c r="B362" s="16" t="n">
        <x:v>100</x:v>
      </x:c>
      <x:c r="C362" s="16" t="n">
        <x:v>10</x:v>
      </x:c>
      <x:c r="D362" s="16" t="n">
        <x:v>200</x:v>
      </x:c>
      <x:c r="E362" s="16" t="n">
        <x:v>487</x:v>
      </x:c>
      <x:c r="F362" s="12" t="n">
        <x:v>31</x:v>
      </x:c>
      <x:c r="G362" s="12" t="n">
        <x:v>35</x:v>
      </x:c>
      <x:c r="H362" s="12" t="n">
        <x:v>36</x:v>
      </x:c>
      <x:c r="I362" s="12" t="n">
        <x:v>37</x:v>
      </x:c>
      <x:c r="J362" s="12" t="n">
        <x:v>32</x:v>
      </x:c>
      <x:c r="K362" s="12" t="n">
        <x:f>MIN(F362:J362)</x:f>
        <x:v>31</x:v>
      </x:c>
      <x:c r="L362" t="str">
        <x:f>TEXTJOIN(", ",TRUE,IF(F362=K362,"IG",""),IF(G362=K362,"FFD",""),IF(H362=K362,"BFD",""),IF(I362=K362,"WFD",""),IF(J362=K362,"CTP",""))</x:f>
        <x:v>IG</x:v>
      </x:c>
      <x:c r="M362" s="14" t="n">
        <x:f>IFERROR((F362-$K362)/$K362,"")</x:f>
        <x:v>0</x:v>
      </x:c>
      <x:c r="N362" s="14" t="n">
        <x:f>IFERROR((G362-$K362)/$K362,"")</x:f>
        <x:v>0.12903225806451613</x:v>
      </x:c>
      <x:c r="O362" s="14" t="n">
        <x:f>IFERROR((H362-$K362)/$K362,"")</x:f>
        <x:v>0.16129032258064516</x:v>
      </x:c>
      <x:c r="P362" s="14" t="n">
        <x:f>IFERROR((I362-$K362)/$K362,"")</x:f>
        <x:v>0.1935483870967742</x:v>
      </x:c>
      <x:c r="Q362" s="14" t="n">
        <x:f>IFERROR((J362-$K362)/$K362,"")</x:f>
        <x:v>0.03225806451612903</x:v>
      </x:c>
      <x:c r="R362" t="n">
        <x:f>--(F362=$K362)</x:f>
        <x:v>1</x:v>
      </x:c>
      <x:c r="S362" t="n">
        <x:f>--(G362=$K362)</x:f>
        <x:v>0</x:v>
      </x:c>
      <x:c r="T362" t="n">
        <x:f>--(H362=$K362)</x:f>
        <x:v>0</x:v>
      </x:c>
      <x:c r="U362" t="n">
        <x:f>--(I362=$K362)</x:f>
        <x:v>0</x:v>
      </x:c>
      <x:c r="V362" t="n">
        <x:f>--(J362=$K362)</x:f>
        <x:v>0</x:v>
      </x:c>
    </x:row>
    <x:row r="363" ht="18" customHeight="1">
      <x:c r="A363" t="str">
        <x:v>bpps_d200n100m10w30_60s20_40f0_seed1</x:v>
      </x:c>
      <x:c r="B363" s="16" t="n">
        <x:v>100</x:v>
      </x:c>
      <x:c r="C363" s="16" t="n">
        <x:v>10</x:v>
      </x:c>
      <x:c r="D363" s="16" t="n">
        <x:v>200</x:v>
      </x:c>
      <x:c r="E363" s="16" t="n">
        <x:v>526</x:v>
      </x:c>
      <x:c r="F363" s="12" t="n">
        <x:v>30</x:v>
      </x:c>
      <x:c r="G363" s="12" t="n">
        <x:v>36</x:v>
      </x:c>
      <x:c r="H363" s="12" t="n">
        <x:v>36</x:v>
      </x:c>
      <x:c r="I363" s="12" t="n">
        <x:v>38</x:v>
      </x:c>
      <x:c r="J363" s="12" t="n">
        <x:v>31</x:v>
      </x:c>
      <x:c r="K363" s="12" t="n">
        <x:f>MIN(F363:J363)</x:f>
        <x:v>30</x:v>
      </x:c>
      <x:c r="L363" t="str">
        <x:f>TEXTJOIN(", ",TRUE,IF(F363=K363,"IG",""),IF(G363=K363,"FFD",""),IF(H363=K363,"BFD",""),IF(I363=K363,"WFD",""),IF(J363=K363,"CTP",""))</x:f>
        <x:v>IG</x:v>
      </x:c>
      <x:c r="M363" s="14" t="n">
        <x:f>IFERROR((F363-$K363)/$K363,"")</x:f>
        <x:v>0</x:v>
      </x:c>
      <x:c r="N363" s="14" t="n">
        <x:f>IFERROR((G363-$K363)/$K363,"")</x:f>
        <x:v>0.2</x:v>
      </x:c>
      <x:c r="O363" s="14" t="n">
        <x:f>IFERROR((H363-$K363)/$K363,"")</x:f>
        <x:v>0.2</x:v>
      </x:c>
      <x:c r="P363" s="14" t="n">
        <x:f>IFERROR((I363-$K363)/$K363,"")</x:f>
        <x:v>0.26666666666666666</x:v>
      </x:c>
      <x:c r="Q363" s="14" t="n">
        <x:f>IFERROR((J363-$K363)/$K363,"")</x:f>
        <x:v>0.03333333333333333</x:v>
      </x:c>
      <x:c r="R363" t="n">
        <x:f>--(F363=$K363)</x:f>
        <x:v>1</x:v>
      </x:c>
      <x:c r="S363" t="n">
        <x:f>--(G363=$K363)</x:f>
        <x:v>0</x:v>
      </x:c>
      <x:c r="T363" t="n">
        <x:f>--(H363=$K363)</x:f>
        <x:v>0</x:v>
      </x:c>
      <x:c r="U363" t="n">
        <x:f>--(I363=$K363)</x:f>
        <x:v>0</x:v>
      </x:c>
      <x:c r="V363" t="n">
        <x:f>--(J363=$K363)</x:f>
        <x:v>0</x:v>
      </x:c>
    </x:row>
    <x:row r="364" ht="18" customHeight="1">
      <x:c r="A364" t="str">
        <x:v>bpps_d200n100m10w30_60s20_40f1_seed0</x:v>
      </x:c>
      <x:c r="B364" s="16" t="n">
        <x:v>100</x:v>
      </x:c>
      <x:c r="C364" s="16" t="n">
        <x:v>10</x:v>
      </x:c>
      <x:c r="D364" s="16" t="n">
        <x:v>200</x:v>
      </x:c>
      <x:c r="E364" s="16" t="n">
        <x:v>472</x:v>
      </x:c>
      <x:c r="F364" s="12" t="n">
        <x:v>392</x:v>
      </x:c>
      <x:c r="G364" s="12" t="n">
        <x:v>535</x:v>
      </x:c>
      <x:c r="H364" s="12" t="n">
        <x:v>561</x:v>
      </x:c>
      <x:c r="I364" s="12" t="n">
        <x:v>569</x:v>
      </x:c>
      <x:c r="J364" s="12" t="n">
        <x:v>424</x:v>
      </x:c>
      <x:c r="K364" s="12" t="n">
        <x:f>MIN(F364:J364)</x:f>
        <x:v>392</x:v>
      </x:c>
      <x:c r="L364" t="str">
        <x:f>TEXTJOIN(", ",TRUE,IF(F364=K364,"IG",""),IF(G364=K364,"FFD",""),IF(H364=K364,"BFD",""),IF(I364=K364,"WFD",""),IF(J364=K364,"CTP",""))</x:f>
        <x:v>IG</x:v>
      </x:c>
      <x:c r="M364" s="14" t="n">
        <x:f>IFERROR((F364-$K364)/$K364,"")</x:f>
        <x:v>0</x:v>
      </x:c>
      <x:c r="N364" s="14" t="n">
        <x:f>IFERROR((G364-$K364)/$K364,"")</x:f>
        <x:v>0.3647959183673469</x:v>
      </x:c>
      <x:c r="O364" s="14" t="n">
        <x:f>IFERROR((H364-$K364)/$K364,"")</x:f>
        <x:v>0.43112244897959184</x:v>
      </x:c>
      <x:c r="P364" s="14" t="n">
        <x:f>IFERROR((I364-$K364)/$K364,"")</x:f>
        <x:v>0.45153061224489793</x:v>
      </x:c>
      <x:c r="Q364" s="14" t="n">
        <x:f>IFERROR((J364-$K364)/$K364,"")</x:f>
        <x:v>0.08163265306122448</x:v>
      </x:c>
      <x:c r="R364" t="n">
        <x:f>--(F364=$K364)</x:f>
        <x:v>1</x:v>
      </x:c>
      <x:c r="S364" t="n">
        <x:f>--(G364=$K364)</x:f>
        <x:v>0</x:v>
      </x:c>
      <x:c r="T364" t="n">
        <x:f>--(H364=$K364)</x:f>
        <x:v>0</x:v>
      </x:c>
      <x:c r="U364" t="n">
        <x:f>--(I364=$K364)</x:f>
        <x:v>0</x:v>
      </x:c>
      <x:c r="V364" t="n">
        <x:f>--(J364=$K364)</x:f>
        <x:v>0</x:v>
      </x:c>
    </x:row>
    <x:row r="365" ht="18" customHeight="1">
      <x:c r="A365" t="str">
        <x:v>bpps_d200n100m10w30_60s20_40f1_seed1</x:v>
      </x:c>
      <x:c r="B365" s="16" t="n">
        <x:v>100</x:v>
      </x:c>
      <x:c r="C365" s="16" t="n">
        <x:v>10</x:v>
      </x:c>
      <x:c r="D365" s="16" t="n">
        <x:v>200</x:v>
      </x:c>
      <x:c r="E365" s="16" t="n">
        <x:v>486</x:v>
      </x:c>
      <x:c r="F365" s="12" t="n">
        <x:v>410</x:v>
      </x:c>
      <x:c r="G365" s="12" t="n">
        <x:v>585</x:v>
      </x:c>
      <x:c r="H365" s="12" t="n">
        <x:v>603</x:v>
      </x:c>
      <x:c r="I365" s="12" t="n">
        <x:v>612</x:v>
      </x:c>
      <x:c r="J365" s="12" t="n">
        <x:v>441</x:v>
      </x:c>
      <x:c r="K365" s="12" t="n">
        <x:f>MIN(F365:J365)</x:f>
        <x:v>410</x:v>
      </x:c>
      <x:c r="L365" t="str">
        <x:f>TEXTJOIN(", ",TRUE,IF(F365=K365,"IG",""),IF(G365=K365,"FFD",""),IF(H365=K365,"BFD",""),IF(I365=K365,"WFD",""),IF(J365=K365,"CTP",""))</x:f>
        <x:v>IG</x:v>
      </x:c>
      <x:c r="M365" s="14" t="n">
        <x:f>IFERROR((F365-$K365)/$K365,"")</x:f>
        <x:v>0</x:v>
      </x:c>
      <x:c r="N365" s="14" t="n">
        <x:f>IFERROR((G365-$K365)/$K365,"")</x:f>
        <x:v>0.4268292682926829</x:v>
      </x:c>
      <x:c r="O365" s="14" t="n">
        <x:f>IFERROR((H365-$K365)/$K365,"")</x:f>
        <x:v>0.47073170731707314</x:v>
      </x:c>
      <x:c r="P365" s="14" t="n">
        <x:f>IFERROR((I365-$K365)/$K365,"")</x:f>
        <x:v>0.4926829268292683</x:v>
      </x:c>
      <x:c r="Q365" s="14" t="n">
        <x:f>IFERROR((J365-$K365)/$K365,"")</x:f>
        <x:v>0.07560975609756097</x:v>
      </x:c>
      <x:c r="R365" t="n">
        <x:f>--(F365=$K365)</x:f>
        <x:v>1</x:v>
      </x:c>
      <x:c r="S365" t="n">
        <x:f>--(G365=$K365)</x:f>
        <x:v>0</x:v>
      </x:c>
      <x:c r="T365" t="n">
        <x:f>--(H365=$K365)</x:f>
        <x:v>0</x:v>
      </x:c>
      <x:c r="U365" t="n">
        <x:f>--(I365=$K365)</x:f>
        <x:v>0</x:v>
      </x:c>
      <x:c r="V365" t="n">
        <x:f>--(J365=$K365)</x:f>
        <x:v>0</x:v>
      </x:c>
    </x:row>
    <x:row r="366" ht="18" customHeight="1">
      <x:c r="A366" t="str">
        <x:v>bpps_d200n100m10w30_60s2_20f0_seed0</x:v>
      </x:c>
      <x:c r="B366" s="16" t="n">
        <x:v>100</x:v>
      </x:c>
      <x:c r="C366" s="16" t="n">
        <x:v>10</x:v>
      </x:c>
      <x:c r="D366" s="16" t="n">
        <x:v>200</x:v>
      </x:c>
      <x:c r="E366" s="16" t="n">
        <x:v>493</x:v>
      </x:c>
      <x:c r="F366" s="12" t="n">
        <x:v>27</x:v>
      </x:c>
      <x:c r="G366" s="12" t="n">
        <x:v>29</x:v>
      </x:c>
      <x:c r="H366" s="12" t="n">
        <x:v>29</x:v>
      </x:c>
      <x:c r="I366" s="12" t="n">
        <x:v>29</x:v>
      </x:c>
      <x:c r="J366" s="12" t="n">
        <x:v>28</x:v>
      </x:c>
      <x:c r="K366" s="12" t="n">
        <x:f>MIN(F366:J366)</x:f>
        <x:v>27</x:v>
      </x:c>
      <x:c r="L366" t="str">
        <x:f>TEXTJOIN(", ",TRUE,IF(F366=K366,"IG",""),IF(G366=K366,"FFD",""),IF(H366=K366,"BFD",""),IF(I366=K366,"WFD",""),IF(J366=K366,"CTP",""))</x:f>
        <x:v>IG</x:v>
      </x:c>
      <x:c r="M366" s="14" t="n">
        <x:f>IFERROR((F366-$K366)/$K366,"")</x:f>
        <x:v>0</x:v>
      </x:c>
      <x:c r="N366" s="14" t="n">
        <x:f>IFERROR((G366-$K366)/$K366,"")</x:f>
        <x:v>0.07407407407407407</x:v>
      </x:c>
      <x:c r="O366" s="14" t="n">
        <x:f>IFERROR((H366-$K366)/$K366,"")</x:f>
        <x:v>0.07407407407407407</x:v>
      </x:c>
      <x:c r="P366" s="14" t="n">
        <x:f>IFERROR((I366-$K366)/$K366,"")</x:f>
        <x:v>0.07407407407407407</x:v>
      </x:c>
      <x:c r="Q366" s="14" t="n">
        <x:f>IFERROR((J366-$K366)/$K366,"")</x:f>
        <x:v>0.037037037037037035</x:v>
      </x:c>
      <x:c r="R366" t="n">
        <x:f>--(F366=$K366)</x:f>
        <x:v>1</x:v>
      </x:c>
      <x:c r="S366" t="n">
        <x:f>--(G366=$K366)</x:f>
        <x:v>0</x:v>
      </x:c>
      <x:c r="T366" t="n">
        <x:f>--(H366=$K366)</x:f>
        <x:v>0</x:v>
      </x:c>
      <x:c r="U366" t="n">
        <x:f>--(I366=$K366)</x:f>
        <x:v>0</x:v>
      </x:c>
      <x:c r="V366" t="n">
        <x:f>--(J366=$K366)</x:f>
        <x:v>0</x:v>
      </x:c>
    </x:row>
    <x:row r="367" ht="18" customHeight="1">
      <x:c r="A367" t="str">
        <x:v>bpps_d200n100m10w30_60s2_20f0_seed1</x:v>
      </x:c>
      <x:c r="B367" s="16" t="n">
        <x:v>100</x:v>
      </x:c>
      <x:c r="C367" s="16" t="n">
        <x:v>10</x:v>
      </x:c>
      <x:c r="D367" s="16" t="n">
        <x:v>200</x:v>
      </x:c>
      <x:c r="E367" s="16" t="n">
        <x:v>483</x:v>
      </x:c>
      <x:c r="F367" s="12" t="n">
        <x:v>27</x:v>
      </x:c>
      <x:c r="G367" s="12" t="n">
        <x:v>29</x:v>
      </x:c>
      <x:c r="H367" s="12" t="n">
        <x:v>29</x:v>
      </x:c>
      <x:c r="I367" s="12" t="n">
        <x:v>29</x:v>
      </x:c>
      <x:c r="J367" s="12" t="n">
        <x:v>29</x:v>
      </x:c>
      <x:c r="K367" s="12" t="n">
        <x:f>MIN(F367:J367)</x:f>
        <x:v>27</x:v>
      </x:c>
      <x:c r="L367" t="str">
        <x:f>TEXTJOIN(", ",TRUE,IF(F367=K367,"IG",""),IF(G367=K367,"FFD",""),IF(H367=K367,"BFD",""),IF(I367=K367,"WFD",""),IF(J367=K367,"CTP",""))</x:f>
        <x:v>IG</x:v>
      </x:c>
      <x:c r="M367" s="14" t="n">
        <x:f>IFERROR((F367-$K367)/$K367,"")</x:f>
        <x:v>0</x:v>
      </x:c>
      <x:c r="N367" s="14" t="n">
        <x:f>IFERROR((G367-$K367)/$K367,"")</x:f>
        <x:v>0.07407407407407407</x:v>
      </x:c>
      <x:c r="O367" s="14" t="n">
        <x:f>IFERROR((H367-$K367)/$K367,"")</x:f>
        <x:v>0.07407407407407407</x:v>
      </x:c>
      <x:c r="P367" s="14" t="n">
        <x:f>IFERROR((I367-$K367)/$K367,"")</x:f>
        <x:v>0.07407407407407407</x:v>
      </x:c>
      <x:c r="Q367" s="14" t="n">
        <x:f>IFERROR((J367-$K367)/$K367,"")</x:f>
        <x:v>0.07407407407407407</x:v>
      </x:c>
      <x:c r="R367" t="n">
        <x:f>--(F367=$K367)</x:f>
        <x:v>1</x:v>
      </x:c>
      <x:c r="S367" t="n">
        <x:f>--(G367=$K367)</x:f>
        <x:v>0</x:v>
      </x:c>
      <x:c r="T367" t="n">
        <x:f>--(H367=$K367)</x:f>
        <x:v>0</x:v>
      </x:c>
      <x:c r="U367" t="n">
        <x:f>--(I367=$K367)</x:f>
        <x:v>0</x:v>
      </x:c>
      <x:c r="V367" t="n">
        <x:f>--(J367=$K367)</x:f>
        <x:v>0</x:v>
      </x:c>
    </x:row>
    <x:row r="368" ht="18" customHeight="1">
      <x:c r="A368" t="str">
        <x:v>bpps_d200n100m10w30_60s2_20f1_seed0</x:v>
      </x:c>
      <x:c r="B368" s="16" t="n">
        <x:v>100</x:v>
      </x:c>
      <x:c r="C368" s="16" t="n">
        <x:v>10</x:v>
      </x:c>
      <x:c r="D368" s="16" t="n">
        <x:v>200</x:v>
      </x:c>
      <x:c r="E368" s="16" t="n">
        <x:v>504</x:v>
      </x:c>
      <x:c r="F368" s="12" t="n">
        <x:v>337</x:v>
      </x:c>
      <x:c r="G368" s="12" t="n">
        <x:v>492</x:v>
      </x:c>
      <x:c r="H368" s="12" t="n">
        <x:v>491</x:v>
      </x:c>
      <x:c r="I368" s="12" t="n">
        <x:v>493</x:v>
      </x:c>
      <x:c r="J368" s="12" t="n">
        <x:v>358</x:v>
      </x:c>
      <x:c r="K368" s="12" t="n">
        <x:f>MIN(F368:J368)</x:f>
        <x:v>337</x:v>
      </x:c>
      <x:c r="L368" t="str">
        <x:f>TEXTJOIN(", ",TRUE,IF(F368=K368,"IG",""),IF(G368=K368,"FFD",""),IF(H368=K368,"BFD",""),IF(I368=K368,"WFD",""),IF(J368=K368,"CTP",""))</x:f>
        <x:v>IG</x:v>
      </x:c>
      <x:c r="M368" s="14" t="n">
        <x:f>IFERROR((F368-$K368)/$K368,"")</x:f>
        <x:v>0</x:v>
      </x:c>
      <x:c r="N368" s="14" t="n">
        <x:f>IFERROR((G368-$K368)/$K368,"")</x:f>
        <x:v>0.4599406528189911</x:v>
      </x:c>
      <x:c r="O368" s="14" t="n">
        <x:f>IFERROR((H368-$K368)/$K368,"")</x:f>
        <x:v>0.456973293768546</x:v>
      </x:c>
      <x:c r="P368" s="14" t="n">
        <x:f>IFERROR((I368-$K368)/$K368,"")</x:f>
        <x:v>0.4629080118694362</x:v>
      </x:c>
      <x:c r="Q368" s="14" t="n">
        <x:f>IFERROR((J368-$K368)/$K368,"")</x:f>
        <x:v>0.06231454005934718</x:v>
      </x:c>
      <x:c r="R368" t="n">
        <x:f>--(F368=$K368)</x:f>
        <x:v>1</x:v>
      </x:c>
      <x:c r="S368" t="n">
        <x:f>--(G368=$K368)</x:f>
        <x:v>0</x:v>
      </x:c>
      <x:c r="T368" t="n">
        <x:f>--(H368=$K368)</x:f>
        <x:v>0</x:v>
      </x:c>
      <x:c r="U368" t="n">
        <x:f>--(I368=$K368)</x:f>
        <x:v>0</x:v>
      </x:c>
      <x:c r="V368" t="n">
        <x:f>--(J368=$K368)</x:f>
        <x:v>0</x:v>
      </x:c>
    </x:row>
    <x:row r="369" ht="18" customHeight="1">
      <x:c r="A369" t="str">
        <x:v>bpps_d200n100m10w30_60s2_20f1_seed1</x:v>
      </x:c>
      <x:c r="B369" s="16" t="n">
        <x:v>100</x:v>
      </x:c>
      <x:c r="C369" s="16" t="n">
        <x:v>10</x:v>
      </x:c>
      <x:c r="D369" s="16" t="n">
        <x:v>200</x:v>
      </x:c>
      <x:c r="E369" s="16" t="n">
        <x:v>503</x:v>
      </x:c>
      <x:c r="F369" s="12" t="n">
        <x:v>350</x:v>
      </x:c>
      <x:c r="G369" s="12" t="n">
        <x:v>532</x:v>
      </x:c>
      <x:c r="H369" s="12" t="n">
        <x:v>528</x:v>
      </x:c>
      <x:c r="I369" s="12" t="n">
        <x:v>541</x:v>
      </x:c>
      <x:c r="J369" s="12" t="n">
        <x:v>379</x:v>
      </x:c>
      <x:c r="K369" s="12" t="n">
        <x:f>MIN(F369:J369)</x:f>
        <x:v>350</x:v>
      </x:c>
      <x:c r="L369" t="str">
        <x:f>TEXTJOIN(", ",TRUE,IF(F369=K369,"IG",""),IF(G369=K369,"FFD",""),IF(H369=K369,"BFD",""),IF(I369=K369,"WFD",""),IF(J369=K369,"CTP",""))</x:f>
        <x:v>IG</x:v>
      </x:c>
      <x:c r="M369" s="14" t="n">
        <x:f>IFERROR((F369-$K369)/$K369,"")</x:f>
        <x:v>0</x:v>
      </x:c>
      <x:c r="N369" s="14" t="n">
        <x:f>IFERROR((G369-$K369)/$K369,"")</x:f>
        <x:v>0.52</x:v>
      </x:c>
      <x:c r="O369" s="14" t="n">
        <x:f>IFERROR((H369-$K369)/$K369,"")</x:f>
        <x:v>0.5085714285714286</x:v>
      </x:c>
      <x:c r="P369" s="14" t="n">
        <x:f>IFERROR((I369-$K369)/$K369,"")</x:f>
        <x:v>0.5457142857142857</x:v>
      </x:c>
      <x:c r="Q369" s="14" t="n">
        <x:f>IFERROR((J369-$K369)/$K369,"")</x:f>
        <x:v>0.08285714285714285</x:v>
      </x:c>
      <x:c r="R369" t="n">
        <x:f>--(F369=$K369)</x:f>
        <x:v>1</x:v>
      </x:c>
      <x:c r="S369" t="n">
        <x:f>--(G369=$K369)</x:f>
        <x:v>0</x:v>
      </x:c>
      <x:c r="T369" t="n">
        <x:f>--(H369=$K369)</x:f>
        <x:v>0</x:v>
      </x:c>
      <x:c r="U369" t="n">
        <x:f>--(I369=$K369)</x:f>
        <x:v>0</x:v>
      </x:c>
      <x:c r="V369" t="n">
        <x:f>--(J369=$K369)</x:f>
        <x:v>0</x:v>
      </x:c>
    </x:row>
    <x:row r="370" ht="18" customHeight="1">
      <x:c r="A370" t="str">
        <x:v>bpps_d200n100m5w10_30s20_40f0_seed0</x:v>
      </x:c>
      <x:c r="B370" s="16" t="n">
        <x:v>100</x:v>
      </x:c>
      <x:c r="C370" s="16" t="n">
        <x:v>5</x:v>
      </x:c>
      <x:c r="D370" s="16" t="n">
        <x:v>200</x:v>
      </x:c>
      <x:c r="E370" s="16" t="n">
        <x:v>533</x:v>
      </x:c>
      <x:c r="F370" s="12" t="n">
        <x:v>14</x:v>
      </x:c>
      <x:c r="G370" s="12" t="n">
        <x:v>20</x:v>
      </x:c>
      <x:c r="H370" s="12" t="n">
        <x:v>20</x:v>
      </x:c>
      <x:c r="I370" s="12" t="n">
        <x:v>18</x:v>
      </x:c>
      <x:c r="J370" s="12" t="n">
        <x:v>15</x:v>
      </x:c>
      <x:c r="K370" s="12" t="n">
        <x:f>MIN(F370:J370)</x:f>
        <x:v>14</x:v>
      </x:c>
      <x:c r="L370" t="str">
        <x:f>TEXTJOIN(", ",TRUE,IF(F370=K370,"IG",""),IF(G370=K370,"FFD",""),IF(H370=K370,"BFD",""),IF(I370=K370,"WFD",""),IF(J370=K370,"CTP",""))</x:f>
        <x:v>IG</x:v>
      </x:c>
      <x:c r="M370" s="14" t="n">
        <x:f>IFERROR((F370-$K370)/$K370,"")</x:f>
        <x:v>0</x:v>
      </x:c>
      <x:c r="N370" s="14" t="n">
        <x:f>IFERROR((G370-$K370)/$K370,"")</x:f>
        <x:v>0.42857142857142855</x:v>
      </x:c>
      <x:c r="O370" s="14" t="n">
        <x:f>IFERROR((H370-$K370)/$K370,"")</x:f>
        <x:v>0.42857142857142855</x:v>
      </x:c>
      <x:c r="P370" s="14" t="n">
        <x:f>IFERROR((I370-$K370)/$K370,"")</x:f>
        <x:v>0.2857142857142857</x:v>
      </x:c>
      <x:c r="Q370" s="14" t="n">
        <x:f>IFERROR((J370-$K370)/$K370,"")</x:f>
        <x:v>0.07142857142857142</x:v>
      </x:c>
      <x:c r="R370" t="n">
        <x:f>--(F370=$K370)</x:f>
        <x:v>1</x:v>
      </x:c>
      <x:c r="S370" t="n">
        <x:f>--(G370=$K370)</x:f>
        <x:v>0</x:v>
      </x:c>
      <x:c r="T370" t="n">
        <x:f>--(H370=$K370)</x:f>
        <x:v>0</x:v>
      </x:c>
      <x:c r="U370" t="n">
        <x:f>--(I370=$K370)</x:f>
        <x:v>0</x:v>
      </x:c>
      <x:c r="V370" t="n">
        <x:f>--(J370=$K370)</x:f>
        <x:v>0</x:v>
      </x:c>
    </x:row>
    <x:row r="371" ht="18" customHeight="1">
      <x:c r="A371" t="str">
        <x:v>bpps_d200n100m5w10_30s20_40f0_seed1</x:v>
      </x:c>
      <x:c r="B371" s="16" t="n">
        <x:v>100</x:v>
      </x:c>
      <x:c r="C371" s="16" t="n">
        <x:v>5</x:v>
      </x:c>
      <x:c r="D371" s="16" t="n">
        <x:v>200</x:v>
      </x:c>
      <x:c r="E371" s="16" t="n">
        <x:v>491</x:v>
      </x:c>
      <x:c r="F371" s="12" t="n">
        <x:v>15</x:v>
      </x:c>
      <x:c r="G371" s="12" t="n">
        <x:v>19</x:v>
      </x:c>
      <x:c r="H371" s="12" t="n">
        <x:v>20</x:v>
      </x:c>
      <x:c r="I371" s="12" t="n">
        <x:v>19</x:v>
      </x:c>
      <x:c r="J371" s="12" t="n">
        <x:v>15</x:v>
      </x:c>
      <x:c r="K371" s="12" t="n">
        <x:f>MIN(F371:J371)</x:f>
        <x:v>15</x:v>
      </x:c>
      <x:c r="L371" t="str">
        <x:f>TEXTJOIN(", ",TRUE,IF(F371=K371,"IG",""),IF(G371=K371,"FFD",""),IF(H371=K371,"BFD",""),IF(I371=K371,"WFD",""),IF(J371=K371,"CTP",""))</x:f>
        <x:v>IG, CTP</x:v>
      </x:c>
      <x:c r="M371" s="14" t="n">
        <x:f>IFERROR((F371-$K371)/$K371,"")</x:f>
        <x:v>0</x:v>
      </x:c>
      <x:c r="N371" s="14" t="n">
        <x:f>IFERROR((G371-$K371)/$K371,"")</x:f>
        <x:v>0.26666666666666666</x:v>
      </x:c>
      <x:c r="O371" s="14" t="n">
        <x:f>IFERROR((H371-$K371)/$K371,"")</x:f>
        <x:v>0.3333333333333333</x:v>
      </x:c>
      <x:c r="P371" s="14" t="n">
        <x:f>IFERROR((I371-$K371)/$K371,"")</x:f>
        <x:v>0.26666666666666666</x:v>
      </x:c>
      <x:c r="Q371" s="14" t="n">
        <x:f>IFERROR((J371-$K371)/$K371,"")</x:f>
        <x:v>0</x:v>
      </x:c>
      <x:c r="R371" t="n">
        <x:f>--(F371=$K371)</x:f>
        <x:v>1</x:v>
      </x:c>
      <x:c r="S371" t="n">
        <x:f>--(G371=$K371)</x:f>
        <x:v>0</x:v>
      </x:c>
      <x:c r="T371" t="n">
        <x:f>--(H371=$K371)</x:f>
        <x:v>0</x:v>
      </x:c>
      <x:c r="U371" t="n">
        <x:f>--(I371=$K371)</x:f>
        <x:v>0</x:v>
      </x:c>
      <x:c r="V371" t="n">
        <x:f>--(J371=$K371)</x:f>
        <x:v>1</x:v>
      </x:c>
    </x:row>
    <x:row r="372" ht="18" customHeight="1">
      <x:c r="A372" t="str">
        <x:v>bpps_d200n100m5w10_30s20_40f1_seed0</x:v>
      </x:c>
      <x:c r="B372" s="16" t="n">
        <x:v>100</x:v>
      </x:c>
      <x:c r="C372" s="16" t="n">
        <x:v>5</x:v>
      </x:c>
      <x:c r="D372" s="16" t="n">
        <x:v>200</x:v>
      </x:c>
      <x:c r="E372" s="16" t="n">
        <x:v>445</x:v>
      </x:c>
      <x:c r="F372" s="12" t="n">
        <x:v>175</x:v>
      </x:c>
      <x:c r="G372" s="12" t="n">
        <x:v>360</x:v>
      </x:c>
      <x:c r="H372" s="12" t="n">
        <x:v>342</x:v>
      </x:c>
      <x:c r="I372" s="12" t="n">
        <x:v>365</x:v>
      </x:c>
      <x:c r="J372" s="12" t="n">
        <x:v>204</x:v>
      </x:c>
      <x:c r="K372" s="12" t="n">
        <x:f>MIN(F372:J372)</x:f>
        <x:v>175</x:v>
      </x:c>
      <x:c r="L372" t="str">
        <x:f>TEXTJOIN(", ",TRUE,IF(F372=K372,"IG",""),IF(G372=K372,"FFD",""),IF(H372=K372,"BFD",""),IF(I372=K372,"WFD",""),IF(J372=K372,"CTP",""))</x:f>
        <x:v>IG</x:v>
      </x:c>
      <x:c r="M372" s="14" t="n">
        <x:f>IFERROR((F372-$K372)/$K372,"")</x:f>
        <x:v>0</x:v>
      </x:c>
      <x:c r="N372" s="14" t="n">
        <x:f>IFERROR((G372-$K372)/$K372,"")</x:f>
        <x:v>1.0571428571428572</x:v>
      </x:c>
      <x:c r="O372" s="14" t="n">
        <x:f>IFERROR((H372-$K372)/$K372,"")</x:f>
        <x:v>0.9542857142857143</x:v>
      </x:c>
      <x:c r="P372" s="14" t="n">
        <x:f>IFERROR((I372-$K372)/$K372,"")</x:f>
        <x:v>1.0857142857142856</x:v>
      </x:c>
      <x:c r="Q372" s="14" t="n">
        <x:f>IFERROR((J372-$K372)/$K372,"")</x:f>
        <x:v>0.1657142857142857</x:v>
      </x:c>
      <x:c r="R372" t="n">
        <x:f>--(F372=$K372)</x:f>
        <x:v>1</x:v>
      </x:c>
      <x:c r="S372" t="n">
        <x:f>--(G372=$K372)</x:f>
        <x:v>0</x:v>
      </x:c>
      <x:c r="T372" t="n">
        <x:f>--(H372=$K372)</x:f>
        <x:v>0</x:v>
      </x:c>
      <x:c r="U372" t="n">
        <x:f>--(I372=$K372)</x:f>
        <x:v>0</x:v>
      </x:c>
      <x:c r="V372" t="n">
        <x:f>--(J372=$K372)</x:f>
        <x:v>0</x:v>
      </x:c>
    </x:row>
    <x:row r="373" ht="18" customHeight="1">
      <x:c r="A373" t="str">
        <x:v>bpps_d200n100m5w10_30s20_40f1_seed1</x:v>
      </x:c>
      <x:c r="B373" s="16" t="n">
        <x:v>100</x:v>
      </x:c>
      <x:c r="C373" s="16" t="n">
        <x:v>5</x:v>
      </x:c>
      <x:c r="D373" s="16" t="n">
        <x:v>200</x:v>
      </x:c>
      <x:c r="E373" s="16" t="n">
        <x:v>502</x:v>
      </x:c>
      <x:c r="F373" s="12" t="n">
        <x:v>179</x:v>
      </x:c>
      <x:c r="G373" s="12" t="n">
        <x:v>339</x:v>
      </x:c>
      <x:c r="H373" s="12" t="n">
        <x:v>337</x:v>
      </x:c>
      <x:c r="I373" s="12" t="n">
        <x:v>312</x:v>
      </x:c>
      <x:c r="J373" s="12" t="n">
        <x:v>200</x:v>
      </x:c>
      <x:c r="K373" s="12" t="n">
        <x:f>MIN(F373:J373)</x:f>
        <x:v>179</x:v>
      </x:c>
      <x:c r="L373" t="str">
        <x:f>TEXTJOIN(", ",TRUE,IF(F373=K373,"IG",""),IF(G373=K373,"FFD",""),IF(H373=K373,"BFD",""),IF(I373=K373,"WFD",""),IF(J373=K373,"CTP",""))</x:f>
        <x:v>IG</x:v>
      </x:c>
      <x:c r="M373" s="14" t="n">
        <x:f>IFERROR((F373-$K373)/$K373,"")</x:f>
        <x:v>0</x:v>
      </x:c>
      <x:c r="N373" s="14" t="n">
        <x:f>IFERROR((G373-$K373)/$K373,"")</x:f>
        <x:v>0.8938547486033519</x:v>
      </x:c>
      <x:c r="O373" s="14" t="n">
        <x:f>IFERROR((H373-$K373)/$K373,"")</x:f>
        <x:v>0.88268156424581</x:v>
      </x:c>
      <x:c r="P373" s="14" t="n">
        <x:f>IFERROR((I373-$K373)/$K373,"")</x:f>
        <x:v>0.7430167597765364</x:v>
      </x:c>
      <x:c r="Q373" s="14" t="n">
        <x:f>IFERROR((J373-$K373)/$K373,"")</x:f>
        <x:v>0.11731843575418995</x:v>
      </x:c>
      <x:c r="R373" t="n">
        <x:f>--(F373=$K373)</x:f>
        <x:v>1</x:v>
      </x:c>
      <x:c r="S373" t="n">
        <x:f>--(G373=$K373)</x:f>
        <x:v>0</x:v>
      </x:c>
      <x:c r="T373" t="n">
        <x:f>--(H373=$K373)</x:f>
        <x:v>0</x:v>
      </x:c>
      <x:c r="U373" t="n">
        <x:f>--(I373=$K373)</x:f>
        <x:v>0</x:v>
      </x:c>
      <x:c r="V373" t="n">
        <x:f>--(J373=$K373)</x:f>
        <x:v>0</x:v>
      </x:c>
    </x:row>
    <x:row r="374" ht="18" customHeight="1">
      <x:c r="A374" t="str">
        <x:v>bpps_d200n100m5w10_30s2_20f0_seed0</x:v>
      </x:c>
      <x:c r="B374" s="16" t="n">
        <x:v>100</x:v>
      </x:c>
      <x:c r="C374" s="16" t="n">
        <x:v>5</x:v>
      </x:c>
      <x:c r="D374" s="16" t="n">
        <x:v>200</x:v>
      </x:c>
      <x:c r="E374" s="16" t="n">
        <x:v>499</x:v>
      </x:c>
      <x:c r="F374" s="12" t="n">
        <x:v>12</x:v>
      </x:c>
      <x:c r="G374" s="12" t="n">
        <x:v>14</x:v>
      </x:c>
      <x:c r="H374" s="12" t="n">
        <x:v>14</x:v>
      </x:c>
      <x:c r="I374" s="12" t="n">
        <x:v>14</x:v>
      </x:c>
      <x:c r="J374" s="12" t="n">
        <x:v>13</x:v>
      </x:c>
      <x:c r="K374" s="12" t="n">
        <x:f>MIN(F374:J374)</x:f>
        <x:v>12</x:v>
      </x:c>
      <x:c r="L374" t="str">
        <x:f>TEXTJOIN(", ",TRUE,IF(F374=K374,"IG",""),IF(G374=K374,"FFD",""),IF(H374=K374,"BFD",""),IF(I374=K374,"WFD",""),IF(J374=K374,"CTP",""))</x:f>
        <x:v>IG</x:v>
      </x:c>
      <x:c r="M374" s="14" t="n">
        <x:f>IFERROR((F374-$K374)/$K374,"")</x:f>
        <x:v>0</x:v>
      </x:c>
      <x:c r="N374" s="14" t="n">
        <x:f>IFERROR((G374-$K374)/$K374,"")</x:f>
        <x:v>0.16666666666666666</x:v>
      </x:c>
      <x:c r="O374" s="14" t="n">
        <x:f>IFERROR((H374-$K374)/$K374,"")</x:f>
        <x:v>0.16666666666666666</x:v>
      </x:c>
      <x:c r="P374" s="14" t="n">
        <x:f>IFERROR((I374-$K374)/$K374,"")</x:f>
        <x:v>0.16666666666666666</x:v>
      </x:c>
      <x:c r="Q374" s="14" t="n">
        <x:f>IFERROR((J374-$K374)/$K374,"")</x:f>
        <x:v>0.08333333333333333</x:v>
      </x:c>
      <x:c r="R374" t="n">
        <x:f>--(F374=$K374)</x:f>
        <x:v>1</x:v>
      </x:c>
      <x:c r="S374" t="n">
        <x:f>--(G374=$K374)</x:f>
        <x:v>0</x:v>
      </x:c>
      <x:c r="T374" t="n">
        <x:f>--(H374=$K374)</x:f>
        <x:v>0</x:v>
      </x:c>
      <x:c r="U374" t="n">
        <x:f>--(I374=$K374)</x:f>
        <x:v>0</x:v>
      </x:c>
      <x:c r="V374" t="n">
        <x:f>--(J374=$K374)</x:f>
        <x:v>0</x:v>
      </x:c>
    </x:row>
    <x:row r="375" ht="18" customHeight="1">
      <x:c r="A375" t="str">
        <x:v>bpps_d200n100m5w10_30s2_20f0_seed1</x:v>
      </x:c>
      <x:c r="B375" s="16" t="n">
        <x:v>100</x:v>
      </x:c>
      <x:c r="C375" s="16" t="n">
        <x:v>5</x:v>
      </x:c>
      <x:c r="D375" s="16" t="n">
        <x:v>200</x:v>
      </x:c>
      <x:c r="E375" s="16" t="n">
        <x:v>477</x:v>
      </x:c>
      <x:c r="F375" s="12" t="n">
        <x:v>12</x:v>
      </x:c>
      <x:c r="G375" s="12" t="n">
        <x:v>14</x:v>
      </x:c>
      <x:c r="H375" s="12" t="n">
        <x:v>14</x:v>
      </x:c>
      <x:c r="I375" s="12" t="n">
        <x:v>14</x:v>
      </x:c>
      <x:c r="J375" s="12" t="n">
        <x:v>14</x:v>
      </x:c>
      <x:c r="K375" s="12" t="n">
        <x:f>MIN(F375:J375)</x:f>
        <x:v>12</x:v>
      </x:c>
      <x:c r="L375" t="str">
        <x:f>TEXTJOIN(", ",TRUE,IF(F375=K375,"IG",""),IF(G375=K375,"FFD",""),IF(H375=K375,"BFD",""),IF(I375=K375,"WFD",""),IF(J375=K375,"CTP",""))</x:f>
        <x:v>IG</x:v>
      </x:c>
      <x:c r="M375" s="14" t="n">
        <x:f>IFERROR((F375-$K375)/$K375,"")</x:f>
        <x:v>0</x:v>
      </x:c>
      <x:c r="N375" s="14" t="n">
        <x:f>IFERROR((G375-$K375)/$K375,"")</x:f>
        <x:v>0.16666666666666666</x:v>
      </x:c>
      <x:c r="O375" s="14" t="n">
        <x:f>IFERROR((H375-$K375)/$K375,"")</x:f>
        <x:v>0.16666666666666666</x:v>
      </x:c>
      <x:c r="P375" s="14" t="n">
        <x:f>IFERROR((I375-$K375)/$K375,"")</x:f>
        <x:v>0.16666666666666666</x:v>
      </x:c>
      <x:c r="Q375" s="14" t="n">
        <x:f>IFERROR((J375-$K375)/$K375,"")</x:f>
        <x:v>0.16666666666666666</x:v>
      </x:c>
      <x:c r="R375" t="n">
        <x:f>--(F375=$K375)</x:f>
        <x:v>1</x:v>
      </x:c>
      <x:c r="S375" t="n">
        <x:f>--(G375=$K375)</x:f>
        <x:v>0</x:v>
      </x:c>
      <x:c r="T375" t="n">
        <x:f>--(H375=$K375)</x:f>
        <x:v>0</x:v>
      </x:c>
      <x:c r="U375" t="n">
        <x:f>--(I375=$K375)</x:f>
        <x:v>0</x:v>
      </x:c>
      <x:c r="V375" t="n">
        <x:f>--(J375=$K375)</x:f>
        <x:v>0</x:v>
      </x:c>
    </x:row>
    <x:row r="376" ht="18" customHeight="1">
      <x:c r="A376" t="str">
        <x:v>bpps_d200n100m5w10_30s2_20f1_seed0</x:v>
      </x:c>
      <x:c r="B376" s="16" t="n">
        <x:v>100</x:v>
      </x:c>
      <x:c r="C376" s="16" t="n">
        <x:v>5</x:v>
      </x:c>
      <x:c r="D376" s="16" t="n">
        <x:v>200</x:v>
      </x:c>
      <x:c r="E376" s="16" t="n">
        <x:v>511</x:v>
      </x:c>
      <x:c r="F376" s="12" t="n">
        <x:v>165</x:v>
      </x:c>
      <x:c r="G376" s="12" t="n">
        <x:v>292</x:v>
      </x:c>
      <x:c r="H376" s="12" t="n">
        <x:v>296</x:v>
      </x:c>
      <x:c r="I376" s="12" t="n">
        <x:v>284</x:v>
      </x:c>
      <x:c r="J376" s="12" t="n">
        <x:v>200</x:v>
      </x:c>
      <x:c r="K376" s="12" t="n">
        <x:f>MIN(F376:J376)</x:f>
        <x:v>165</x:v>
      </x:c>
      <x:c r="L376" t="str">
        <x:f>TEXTJOIN(", ",TRUE,IF(F376=K376,"IG",""),IF(G376=K376,"FFD",""),IF(H376=K376,"BFD",""),IF(I376=K376,"WFD",""),IF(J376=K376,"CTP",""))</x:f>
        <x:v>IG</x:v>
      </x:c>
      <x:c r="M376" s="14" t="n">
        <x:f>IFERROR((F376-$K376)/$K376,"")</x:f>
        <x:v>0</x:v>
      </x:c>
      <x:c r="N376" s="14" t="n">
        <x:f>IFERROR((G376-$K376)/$K376,"")</x:f>
        <x:v>0.7696969696969697</x:v>
      </x:c>
      <x:c r="O376" s="14" t="n">
        <x:f>IFERROR((H376-$K376)/$K376,"")</x:f>
        <x:v>0.793939393939394</x:v>
      </x:c>
      <x:c r="P376" s="14" t="n">
        <x:f>IFERROR((I376-$K376)/$K376,"")</x:f>
        <x:v>0.7212121212121212</x:v>
      </x:c>
      <x:c r="Q376" s="14" t="n">
        <x:f>IFERROR((J376-$K376)/$K376,"")</x:f>
        <x:v>0.21212121212121213</x:v>
      </x:c>
      <x:c r="R376" t="n">
        <x:f>--(F376=$K376)</x:f>
        <x:v>1</x:v>
      </x:c>
      <x:c r="S376" t="n">
        <x:f>--(G376=$K376)</x:f>
        <x:v>0</x:v>
      </x:c>
      <x:c r="T376" t="n">
        <x:f>--(H376=$K376)</x:f>
        <x:v>0</x:v>
      </x:c>
      <x:c r="U376" t="n">
        <x:f>--(I376=$K376)</x:f>
        <x:v>0</x:v>
      </x:c>
      <x:c r="V376" t="n">
        <x:f>--(J376=$K376)</x:f>
        <x:v>0</x:v>
      </x:c>
    </x:row>
    <x:row r="377" ht="18" customHeight="1">
      <x:c r="A377" t="str">
        <x:v>bpps_d200n100m5w10_30s2_20f1_seed1</x:v>
      </x:c>
      <x:c r="B377" s="16" t="n">
        <x:v>100</x:v>
      </x:c>
      <x:c r="C377" s="16" t="n">
        <x:v>5</x:v>
      </x:c>
      <x:c r="D377" s="16" t="n">
        <x:v>200</x:v>
      </x:c>
      <x:c r="E377" s="16" t="n">
        <x:v>479</x:v>
      </x:c>
      <x:c r="F377" s="12" t="n">
        <x:v>156</x:v>
      </x:c>
      <x:c r="G377" s="12" t="n">
        <x:v>252</x:v>
      </x:c>
      <x:c r="H377" s="12" t="n">
        <x:v>256</x:v>
      </x:c>
      <x:c r="I377" s="12" t="n">
        <x:v>257</x:v>
      </x:c>
      <x:c r="J377" s="12" t="n">
        <x:v>172</x:v>
      </x:c>
      <x:c r="K377" s="12" t="n">
        <x:f>MIN(F377:J377)</x:f>
        <x:v>156</x:v>
      </x:c>
      <x:c r="L377" t="str">
        <x:f>TEXTJOIN(", ",TRUE,IF(F377=K377,"IG",""),IF(G377=K377,"FFD",""),IF(H377=K377,"BFD",""),IF(I377=K377,"WFD",""),IF(J377=K377,"CTP",""))</x:f>
        <x:v>IG</x:v>
      </x:c>
      <x:c r="M377" s="14" t="n">
        <x:f>IFERROR((F377-$K377)/$K377,"")</x:f>
        <x:v>0</x:v>
      </x:c>
      <x:c r="N377" s="14" t="n">
        <x:f>IFERROR((G377-$K377)/$K377,"")</x:f>
        <x:v>0.6153846153846154</x:v>
      </x:c>
      <x:c r="O377" s="14" t="n">
        <x:f>IFERROR((H377-$K377)/$K377,"")</x:f>
        <x:v>0.6410256410256411</x:v>
      </x:c>
      <x:c r="P377" s="14" t="n">
        <x:f>IFERROR((I377-$K377)/$K377,"")</x:f>
        <x:v>0.6474358974358975</x:v>
      </x:c>
      <x:c r="Q377" s="14" t="n">
        <x:f>IFERROR((J377-$K377)/$K377,"")</x:f>
        <x:v>0.10256410256410256</x:v>
      </x:c>
      <x:c r="R377" t="n">
        <x:f>--(F377=$K377)</x:f>
        <x:v>1</x:v>
      </x:c>
      <x:c r="S377" t="n">
        <x:f>--(G377=$K377)</x:f>
        <x:v>0</x:v>
      </x:c>
      <x:c r="T377" t="n">
        <x:f>--(H377=$K377)</x:f>
        <x:v>0</x:v>
      </x:c>
      <x:c r="U377" t="n">
        <x:f>--(I377=$K377)</x:f>
        <x:v>0</x:v>
      </x:c>
      <x:c r="V377" t="n">
        <x:f>--(J377=$K377)</x:f>
        <x:v>0</x:v>
      </x:c>
    </x:row>
    <x:row r="378" ht="18" customHeight="1">
      <x:c r="A378" t="str">
        <x:v>bpps_d200n100m5w30_60s20_40f0_seed0</x:v>
      </x:c>
      <x:c r="B378" s="16" t="n">
        <x:v>100</x:v>
      </x:c>
      <x:c r="C378" s="16" t="n">
        <x:v>5</x:v>
      </x:c>
      <x:c r="D378" s="16" t="n">
        <x:v>200</x:v>
      </x:c>
      <x:c r="E378" s="16" t="n">
        <x:v>498</x:v>
      </x:c>
      <x:c r="F378" s="12" t="n">
        <x:v>30</x:v>
      </x:c>
      <x:c r="G378" s="12" t="n">
        <x:v>33</x:v>
      </x:c>
      <x:c r="H378" s="12" t="n">
        <x:v>33</x:v>
      </x:c>
      <x:c r="I378" s="12" t="n">
        <x:v>34</x:v>
      </x:c>
      <x:c r="J378" s="12" t="n">
        <x:v>30</x:v>
      </x:c>
      <x:c r="K378" s="12" t="n">
        <x:f>MIN(F378:J378)</x:f>
        <x:v>30</x:v>
      </x:c>
      <x:c r="L378" t="str">
        <x:f>TEXTJOIN(", ",TRUE,IF(F378=K378,"IG",""),IF(G378=K378,"FFD",""),IF(H378=K378,"BFD",""),IF(I378=K378,"WFD",""),IF(J378=K378,"CTP",""))</x:f>
        <x:v>IG, CTP</x:v>
      </x:c>
      <x:c r="M378" s="14" t="n">
        <x:f>IFERROR((F378-$K378)/$K378,"")</x:f>
        <x:v>0</x:v>
      </x:c>
      <x:c r="N378" s="14" t="n">
        <x:f>IFERROR((G378-$K378)/$K378,"")</x:f>
        <x:v>0.1</x:v>
      </x:c>
      <x:c r="O378" s="14" t="n">
        <x:f>IFERROR((H378-$K378)/$K378,"")</x:f>
        <x:v>0.1</x:v>
      </x:c>
      <x:c r="P378" s="14" t="n">
        <x:f>IFERROR((I378-$K378)/$K378,"")</x:f>
        <x:v>0.13333333333333333</x:v>
      </x:c>
      <x:c r="Q378" s="14" t="n">
        <x:f>IFERROR((J378-$K378)/$K378,"")</x:f>
        <x:v>0</x:v>
      </x:c>
      <x:c r="R378" t="n">
        <x:f>--(F378=$K378)</x:f>
        <x:v>1</x:v>
      </x:c>
      <x:c r="S378" t="n">
        <x:f>--(G378=$K378)</x:f>
        <x:v>0</x:v>
      </x:c>
      <x:c r="T378" t="n">
        <x:f>--(H378=$K378)</x:f>
        <x:v>0</x:v>
      </x:c>
      <x:c r="U378" t="n">
        <x:f>--(I378=$K378)</x:f>
        <x:v>0</x:v>
      </x:c>
      <x:c r="V378" t="n">
        <x:f>--(J378=$K378)</x:f>
        <x:v>1</x:v>
      </x:c>
    </x:row>
    <x:row r="379" ht="18" customHeight="1">
      <x:c r="A379" t="str">
        <x:v>bpps_d200n100m5w30_60s20_40f0_seed1</x:v>
      </x:c>
      <x:c r="B379" s="16" t="n">
        <x:v>100</x:v>
      </x:c>
      <x:c r="C379" s="16" t="n">
        <x:v>5</x:v>
      </x:c>
      <x:c r="D379" s="16" t="n">
        <x:v>200</x:v>
      </x:c>
      <x:c r="E379" s="16" t="n">
        <x:v>524</x:v>
      </x:c>
      <x:c r="F379" s="12" t="n">
        <x:v>30</x:v>
      </x:c>
      <x:c r="G379" s="12" t="n">
        <x:v>37</x:v>
      </x:c>
      <x:c r="H379" s="12" t="n">
        <x:v>37</x:v>
      </x:c>
      <x:c r="I379" s="12" t="n">
        <x:v>37</x:v>
      </x:c>
      <x:c r="J379" s="12" t="n">
        <x:v>31</x:v>
      </x:c>
      <x:c r="K379" s="12" t="n">
        <x:f>MIN(F379:J379)</x:f>
        <x:v>30</x:v>
      </x:c>
      <x:c r="L379" t="str">
        <x:f>TEXTJOIN(", ",TRUE,IF(F379=K379,"IG",""),IF(G379=K379,"FFD",""),IF(H379=K379,"BFD",""),IF(I379=K379,"WFD",""),IF(J379=K379,"CTP",""))</x:f>
        <x:v>IG</x:v>
      </x:c>
      <x:c r="M379" s="14" t="n">
        <x:f>IFERROR((F379-$K379)/$K379,"")</x:f>
        <x:v>0</x:v>
      </x:c>
      <x:c r="N379" s="14" t="n">
        <x:f>IFERROR((G379-$K379)/$K379,"")</x:f>
        <x:v>0.23333333333333334</x:v>
      </x:c>
      <x:c r="O379" s="14" t="n">
        <x:f>IFERROR((H379-$K379)/$K379,"")</x:f>
        <x:v>0.23333333333333334</x:v>
      </x:c>
      <x:c r="P379" s="14" t="n">
        <x:f>IFERROR((I379-$K379)/$K379,"")</x:f>
        <x:v>0.23333333333333334</x:v>
      </x:c>
      <x:c r="Q379" s="14" t="n">
        <x:f>IFERROR((J379-$K379)/$K379,"")</x:f>
        <x:v>0.03333333333333333</x:v>
      </x:c>
      <x:c r="R379" t="n">
        <x:f>--(F379=$K379)</x:f>
        <x:v>1</x:v>
      </x:c>
      <x:c r="S379" t="n">
        <x:f>--(G379=$K379)</x:f>
        <x:v>0</x:v>
      </x:c>
      <x:c r="T379" t="n">
        <x:f>--(H379=$K379)</x:f>
        <x:v>0</x:v>
      </x:c>
      <x:c r="U379" t="n">
        <x:f>--(I379=$K379)</x:f>
        <x:v>0</x:v>
      </x:c>
      <x:c r="V379" t="n">
        <x:f>--(J379=$K379)</x:f>
        <x:v>0</x:v>
      </x:c>
    </x:row>
    <x:row r="380" ht="18" customHeight="1">
      <x:c r="A380" t="str">
        <x:v>bpps_d200n100m5w30_60s20_40f1_seed0</x:v>
      </x:c>
      <x:c r="B380" s="16" t="n">
        <x:v>100</x:v>
      </x:c>
      <x:c r="C380" s="16" t="n">
        <x:v>5</x:v>
      </x:c>
      <x:c r="D380" s="16" t="n">
        <x:v>200</x:v>
      </x:c>
      <x:c r="E380" s="16" t="n">
        <x:v>532</x:v>
      </x:c>
      <x:c r="F380" s="12" t="n">
        <x:v>404</x:v>
      </x:c>
      <x:c r="G380" s="12" t="n">
        <x:v>560</x:v>
      </x:c>
      <x:c r="H380" s="12" t="n">
        <x:v>554</x:v>
      </x:c>
      <x:c r="I380" s="12" t="n">
        <x:v>553</x:v>
      </x:c>
      <x:c r="J380" s="12" t="n">
        <x:v>417</x:v>
      </x:c>
      <x:c r="K380" s="12" t="n">
        <x:f>MIN(F380:J380)</x:f>
        <x:v>404</x:v>
      </x:c>
      <x:c r="L380" t="str">
        <x:f>TEXTJOIN(", ",TRUE,IF(F380=K380,"IG",""),IF(G380=K380,"FFD",""),IF(H380=K380,"BFD",""),IF(I380=K380,"WFD",""),IF(J380=K380,"CTP",""))</x:f>
        <x:v>IG</x:v>
      </x:c>
      <x:c r="M380" s="14" t="n">
        <x:f>IFERROR((F380-$K380)/$K380,"")</x:f>
        <x:v>0</x:v>
      </x:c>
      <x:c r="N380" s="14" t="n">
        <x:f>IFERROR((G380-$K380)/$K380,"")</x:f>
        <x:v>0.38613861386138615</x:v>
      </x:c>
      <x:c r="O380" s="14" t="n">
        <x:f>IFERROR((H380-$K380)/$K380,"")</x:f>
        <x:v>0.3712871287128713</x:v>
      </x:c>
      <x:c r="P380" s="14" t="n">
        <x:f>IFERROR((I380-$K380)/$K380,"")</x:f>
        <x:v>0.3688118811881188</x:v>
      </x:c>
      <x:c r="Q380" s="14" t="n">
        <x:f>IFERROR((J380-$K380)/$K380,"")</x:f>
        <x:v>0.03217821782178218</x:v>
      </x:c>
      <x:c r="R380" t="n">
        <x:f>--(F380=$K380)</x:f>
        <x:v>1</x:v>
      </x:c>
      <x:c r="S380" t="n">
        <x:f>--(G380=$K380)</x:f>
        <x:v>0</x:v>
      </x:c>
      <x:c r="T380" t="n">
        <x:f>--(H380=$K380)</x:f>
        <x:v>0</x:v>
      </x:c>
      <x:c r="U380" t="n">
        <x:f>--(I380=$K380)</x:f>
        <x:v>0</x:v>
      </x:c>
      <x:c r="V380" t="n">
        <x:f>--(J380=$K380)</x:f>
        <x:v>0</x:v>
      </x:c>
    </x:row>
    <x:row r="381" ht="18" customHeight="1">
      <x:c r="A381" t="str">
        <x:v>bpps_d200n100m5w30_60s20_40f1_seed1</x:v>
      </x:c>
      <x:c r="B381" s="16" t="n">
        <x:v>100</x:v>
      </x:c>
      <x:c r="C381" s="16" t="n">
        <x:v>5</x:v>
      </x:c>
      <x:c r="D381" s="16" t="n">
        <x:v>200</x:v>
      </x:c>
      <x:c r="E381" s="16" t="n">
        <x:v>524</x:v>
      </x:c>
      <x:c r="F381" s="12" t="n">
        <x:v>375</x:v>
      </x:c>
      <x:c r="G381" s="12" t="n">
        <x:v>528</x:v>
      </x:c>
      <x:c r="H381" s="12" t="n">
        <x:v>526</x:v>
      </x:c>
      <x:c r="I381" s="12" t="n">
        <x:v>541</x:v>
      </x:c>
      <x:c r="J381" s="12" t="n">
        <x:v>386</x:v>
      </x:c>
      <x:c r="K381" s="12" t="n">
        <x:f>MIN(F381:J381)</x:f>
        <x:v>375</x:v>
      </x:c>
      <x:c r="L381" t="str">
        <x:f>TEXTJOIN(", ",TRUE,IF(F381=K381,"IG",""),IF(G381=K381,"FFD",""),IF(H381=K381,"BFD",""),IF(I381=K381,"WFD",""),IF(J381=K381,"CTP",""))</x:f>
        <x:v>IG</x:v>
      </x:c>
      <x:c r="M381" s="14" t="n">
        <x:f>IFERROR((F381-$K381)/$K381,"")</x:f>
        <x:v>0</x:v>
      </x:c>
      <x:c r="N381" s="14" t="n">
        <x:f>IFERROR((G381-$K381)/$K381,"")</x:f>
        <x:v>0.408</x:v>
      </x:c>
      <x:c r="O381" s="14" t="n">
        <x:f>IFERROR((H381-$K381)/$K381,"")</x:f>
        <x:v>0.4026666666666667</x:v>
      </x:c>
      <x:c r="P381" s="14" t="n">
        <x:f>IFERROR((I381-$K381)/$K381,"")</x:f>
        <x:v>0.44266666666666665</x:v>
      </x:c>
      <x:c r="Q381" s="14" t="n">
        <x:f>IFERROR((J381-$K381)/$K381,"")</x:f>
        <x:v>0.029333333333333333</x:v>
      </x:c>
      <x:c r="R381" t="n">
        <x:f>--(F381=$K381)</x:f>
        <x:v>1</x:v>
      </x:c>
      <x:c r="S381" t="n">
        <x:f>--(G381=$K381)</x:f>
        <x:v>0</x:v>
      </x:c>
      <x:c r="T381" t="n">
        <x:f>--(H381=$K381)</x:f>
        <x:v>0</x:v>
      </x:c>
      <x:c r="U381" t="n">
        <x:f>--(I381=$K381)</x:f>
        <x:v>0</x:v>
      </x:c>
      <x:c r="V381" t="n">
        <x:f>--(J381=$K381)</x:f>
        <x:v>0</x:v>
      </x:c>
    </x:row>
    <x:row r="382" ht="18" customHeight="1">
      <x:c r="A382" t="str">
        <x:v>bpps_d200n100m5w30_60s2_20f0_seed0</x:v>
      </x:c>
      <x:c r="B382" s="16" t="n">
        <x:v>100</x:v>
      </x:c>
      <x:c r="C382" s="16" t="n">
        <x:v>5</x:v>
      </x:c>
      <x:c r="D382" s="16" t="n">
        <x:v>200</x:v>
      </x:c>
      <x:c r="E382" s="16" t="n">
        <x:v>501</x:v>
      </x:c>
      <x:c r="F382" s="12" t="n">
        <x:v>27</x:v>
      </x:c>
      <x:c r="G382" s="12" t="n">
        <x:v>28</x:v>
      </x:c>
      <x:c r="H382" s="12" t="n">
        <x:v>28</x:v>
      </x:c>
      <x:c r="I382" s="12" t="n">
        <x:v>28</x:v>
      </x:c>
      <x:c r="J382" s="12" t="n">
        <x:v>27</x:v>
      </x:c>
      <x:c r="K382" s="12" t="n">
        <x:f>MIN(F382:J382)</x:f>
        <x:v>27</x:v>
      </x:c>
      <x:c r="L382" t="str">
        <x:f>TEXTJOIN(", ",TRUE,IF(F382=K382,"IG",""),IF(G382=K382,"FFD",""),IF(H382=K382,"BFD",""),IF(I382=K382,"WFD",""),IF(J382=K382,"CTP",""))</x:f>
        <x:v>IG, CTP</x:v>
      </x:c>
      <x:c r="M382" s="14" t="n">
        <x:f>IFERROR((F382-$K382)/$K382,"")</x:f>
        <x:v>0</x:v>
      </x:c>
      <x:c r="N382" s="14" t="n">
        <x:f>IFERROR((G382-$K382)/$K382,"")</x:f>
        <x:v>0.037037037037037035</x:v>
      </x:c>
      <x:c r="O382" s="14" t="n">
        <x:f>IFERROR((H382-$K382)/$K382,"")</x:f>
        <x:v>0.037037037037037035</x:v>
      </x:c>
      <x:c r="P382" s="14" t="n">
        <x:f>IFERROR((I382-$K382)/$K382,"")</x:f>
        <x:v>0.037037037037037035</x:v>
      </x:c>
      <x:c r="Q382" s="14" t="n">
        <x:f>IFERROR((J382-$K382)/$K382,"")</x:f>
        <x:v>0</x:v>
      </x:c>
      <x:c r="R382" t="n">
        <x:f>--(F382=$K382)</x:f>
        <x:v>1</x:v>
      </x:c>
      <x:c r="S382" t="n">
        <x:f>--(G382=$K382)</x:f>
        <x:v>0</x:v>
      </x:c>
      <x:c r="T382" t="n">
        <x:f>--(H382=$K382)</x:f>
        <x:v>0</x:v>
      </x:c>
      <x:c r="U382" t="n">
        <x:f>--(I382=$K382)</x:f>
        <x:v>0</x:v>
      </x:c>
      <x:c r="V382" t="n">
        <x:f>--(J382=$K382)</x:f>
        <x:v>1</x:v>
      </x:c>
    </x:row>
    <x:row r="383" ht="18" customHeight="1">
      <x:c r="A383" t="str">
        <x:v>bpps_d200n100m5w30_60s2_20f0_seed1</x:v>
      </x:c>
      <x:c r="B383" s="16" t="n">
        <x:v>100</x:v>
      </x:c>
      <x:c r="C383" s="16" t="n">
        <x:v>5</x:v>
      </x:c>
      <x:c r="D383" s="16" t="n">
        <x:v>200</x:v>
      </x:c>
      <x:c r="E383" s="16" t="n">
        <x:v>533</x:v>
      </x:c>
      <x:c r="F383" s="12" t="n">
        <x:v>27</x:v>
      </x:c>
      <x:c r="G383" s="12" t="n">
        <x:v>29</x:v>
      </x:c>
      <x:c r="H383" s="12" t="n">
        <x:v>29</x:v>
      </x:c>
      <x:c r="I383" s="12" t="n">
        <x:v>29</x:v>
      </x:c>
      <x:c r="J383" s="12" t="n">
        <x:v>27</x:v>
      </x:c>
      <x:c r="K383" s="12" t="n">
        <x:f>MIN(F383:J383)</x:f>
        <x:v>27</x:v>
      </x:c>
      <x:c r="L383" t="str">
        <x:f>TEXTJOIN(", ",TRUE,IF(F383=K383,"IG",""),IF(G383=K383,"FFD",""),IF(H383=K383,"BFD",""),IF(I383=K383,"WFD",""),IF(J383=K383,"CTP",""))</x:f>
        <x:v>IG, CTP</x:v>
      </x:c>
      <x:c r="M383" s="14" t="n">
        <x:f>IFERROR((F383-$K383)/$K383,"")</x:f>
        <x:v>0</x:v>
      </x:c>
      <x:c r="N383" s="14" t="n">
        <x:f>IFERROR((G383-$K383)/$K383,"")</x:f>
        <x:v>0.07407407407407407</x:v>
      </x:c>
      <x:c r="O383" s="14" t="n">
        <x:f>IFERROR((H383-$K383)/$K383,"")</x:f>
        <x:v>0.07407407407407407</x:v>
      </x:c>
      <x:c r="P383" s="14" t="n">
        <x:f>IFERROR((I383-$K383)/$K383,"")</x:f>
        <x:v>0.07407407407407407</x:v>
      </x:c>
      <x:c r="Q383" s="14" t="n">
        <x:f>IFERROR((J383-$K383)/$K383,"")</x:f>
        <x:v>0</x:v>
      </x:c>
      <x:c r="R383" t="n">
        <x:f>--(F383=$K383)</x:f>
        <x:v>1</x:v>
      </x:c>
      <x:c r="S383" t="n">
        <x:f>--(G383=$K383)</x:f>
        <x:v>0</x:v>
      </x:c>
      <x:c r="T383" t="n">
        <x:f>--(H383=$K383)</x:f>
        <x:v>0</x:v>
      </x:c>
      <x:c r="U383" t="n">
        <x:f>--(I383=$K383)</x:f>
        <x:v>0</x:v>
      </x:c>
      <x:c r="V383" t="n">
        <x:f>--(J383=$K383)</x:f>
        <x:v>1</x:v>
      </x:c>
    </x:row>
    <x:row r="384" ht="18" customHeight="1">
      <x:c r="A384" t="str">
        <x:v>bpps_d200n100m5w30_60s2_20f1_seed0</x:v>
      </x:c>
      <x:c r="B384" s="16" t="n">
        <x:v>100</x:v>
      </x:c>
      <x:c r="C384" s="16" t="n">
        <x:v>5</x:v>
      </x:c>
      <x:c r="D384" s="16" t="n">
        <x:v>200</x:v>
      </x:c>
      <x:c r="E384" s="16" t="n">
        <x:v>486</x:v>
      </x:c>
      <x:c r="F384" s="12" t="n">
        <x:v>350</x:v>
      </x:c>
      <x:c r="G384" s="12" t="n">
        <x:v>527</x:v>
      </x:c>
      <x:c r="H384" s="12" t="n">
        <x:v>538</x:v>
      </x:c>
      <x:c r="I384" s="12" t="n">
        <x:v>531</x:v>
      </x:c>
      <x:c r="J384" s="12" t="n">
        <x:v>378</x:v>
      </x:c>
      <x:c r="K384" s="12" t="n">
        <x:f>MIN(F384:J384)</x:f>
        <x:v>350</x:v>
      </x:c>
      <x:c r="L384" t="str">
        <x:f>TEXTJOIN(", ",TRUE,IF(F384=K384,"IG",""),IF(G384=K384,"FFD",""),IF(H384=K384,"BFD",""),IF(I384=K384,"WFD",""),IF(J384=K384,"CTP",""))</x:f>
        <x:v>IG</x:v>
      </x:c>
      <x:c r="M384" s="14" t="n">
        <x:f>IFERROR((F384-$K384)/$K384,"")</x:f>
        <x:v>0</x:v>
      </x:c>
      <x:c r="N384" s="14" t="n">
        <x:f>IFERROR((G384-$K384)/$K384,"")</x:f>
        <x:v>0.5057142857142857</x:v>
      </x:c>
      <x:c r="O384" s="14" t="n">
        <x:f>IFERROR((H384-$K384)/$K384,"")</x:f>
        <x:v>0.5371428571428571</x:v>
      </x:c>
      <x:c r="P384" s="14" t="n">
        <x:f>IFERROR((I384-$K384)/$K384,"")</x:f>
        <x:v>0.5171428571428571</x:v>
      </x:c>
      <x:c r="Q384" s="14" t="n">
        <x:f>IFERROR((J384-$K384)/$K384,"")</x:f>
        <x:v>0.08</x:v>
      </x:c>
      <x:c r="R384" t="n">
        <x:f>--(F384=$K384)</x:f>
        <x:v>1</x:v>
      </x:c>
      <x:c r="S384" t="n">
        <x:f>--(G384=$K384)</x:f>
        <x:v>0</x:v>
      </x:c>
      <x:c r="T384" t="n">
        <x:f>--(H384=$K384)</x:f>
        <x:v>0</x:v>
      </x:c>
      <x:c r="U384" t="n">
        <x:f>--(I384=$K384)</x:f>
        <x:v>0</x:v>
      </x:c>
      <x:c r="V384" t="n">
        <x:f>--(J384=$K384)</x:f>
        <x:v>0</x:v>
      </x:c>
    </x:row>
    <x:row r="385" ht="18" customHeight="1">
      <x:c r="A385" t="str">
        <x:v>bpps_d200n100m5w30_60s2_20f1_seed1</x:v>
      </x:c>
      <x:c r="B385" s="16" t="n">
        <x:v>100</x:v>
      </x:c>
      <x:c r="C385" s="16" t="n">
        <x:v>5</x:v>
      </x:c>
      <x:c r="D385" s="16" t="n">
        <x:v>200</x:v>
      </x:c>
      <x:c r="E385" s="16" t="n">
        <x:v>469</x:v>
      </x:c>
      <x:c r="F385" s="12" t="n">
        <x:v>326</x:v>
      </x:c>
      <x:c r="G385" s="12" t="n">
        <x:v>439</x:v>
      </x:c>
      <x:c r="H385" s="12" t="n">
        <x:v>429</x:v>
      </x:c>
      <x:c r="I385" s="12" t="n">
        <x:v>466</x:v>
      </x:c>
      <x:c r="J385" s="12" t="n">
        <x:v>341</x:v>
      </x:c>
      <x:c r="K385" s="12" t="n">
        <x:f>MIN(F385:J385)</x:f>
        <x:v>326</x:v>
      </x:c>
      <x:c r="L385" t="str">
        <x:f>TEXTJOIN(", ",TRUE,IF(F385=K385,"IG",""),IF(G385=K385,"FFD",""),IF(H385=K385,"BFD",""),IF(I385=K385,"WFD",""),IF(J385=K385,"CTP",""))</x:f>
        <x:v>IG</x:v>
      </x:c>
      <x:c r="M385" s="14" t="n">
        <x:f>IFERROR((F385-$K385)/$K385,"")</x:f>
        <x:v>0</x:v>
      </x:c>
      <x:c r="N385" s="14" t="n">
        <x:f>IFERROR((G385-$K385)/$K385,"")</x:f>
        <x:v>0.34662576687116564</x:v>
      </x:c>
      <x:c r="O385" s="14" t="n">
        <x:f>IFERROR((H385-$K385)/$K385,"")</x:f>
        <x:v>0.3159509202453988</x:v>
      </x:c>
      <x:c r="P385" s="14" t="n">
        <x:f>IFERROR((I385-$K385)/$K385,"")</x:f>
        <x:v>0.4294478527607362</x:v>
      </x:c>
      <x:c r="Q385" s="14" t="n">
        <x:f>IFERROR((J385-$K385)/$K385,"")</x:f>
        <x:v>0.046012269938650305</x:v>
      </x:c>
      <x:c r="R385" t="n">
        <x:f>--(F385=$K385)</x:f>
        <x:v>1</x:v>
      </x:c>
      <x:c r="S385" t="n">
        <x:f>--(G385=$K385)</x:f>
        <x:v>0</x:v>
      </x:c>
      <x:c r="T385" t="n">
        <x:f>--(H385=$K385)</x:f>
        <x:v>0</x:v>
      </x:c>
      <x:c r="U385" t="n">
        <x:f>--(I385=$K385)</x:f>
        <x:v>0</x:v>
      </x:c>
      <x:c r="V385" t="n">
        <x:f>--(J385=$K385)</x:f>
        <x:v>0</x:v>
      </x:c>
    </x:row>
    <x:row r="386" ht="18" customHeight="1">
      <x:c r="A386" t="str">
        <x:v>bpps_d10000n200m10w1500_3000s1000_2000f0_seed0</x:v>
      </x:c>
      <x:c r="B386" s="16" t="n">
        <x:v>200</x:v>
      </x:c>
      <x:c r="C386" s="16" t="n">
        <x:v>10</x:v>
      </x:c>
      <x:c r="D386" s="16" t="n">
        <x:v>10000</x:v>
      </x:c>
      <x:c r="E386" s="16" t="n">
        <x:v>2058</x:v>
      </x:c>
      <x:c r="F386" s="12" t="n">
        <x:v>59</x:v>
      </x:c>
      <x:c r="G386" s="12" t="n">
        <x:v>72</x:v>
      </x:c>
      <x:c r="H386" s="12" t="n">
        <x:v>72</x:v>
      </x:c>
      <x:c r="I386" s="12" t="n">
        <x:v>73</x:v>
      </x:c>
      <x:c r="J386" s="12" t="n">
        <x:v>59</x:v>
      </x:c>
      <x:c r="K386" s="12" t="n">
        <x:f>MIN(F386:J386)</x:f>
        <x:v>59</x:v>
      </x:c>
      <x:c r="L386" t="str">
        <x:f>TEXTJOIN(", ",TRUE,IF(F386=K386,"IG",""),IF(G386=K386,"FFD",""),IF(H386=K386,"BFD",""),IF(I386=K386,"WFD",""),IF(J386=K386,"CTP",""))</x:f>
        <x:v>IG, CTP</x:v>
      </x:c>
      <x:c r="M386" s="14" t="n">
        <x:f>IFERROR((F386-$K386)/$K386,"")</x:f>
        <x:v>0</x:v>
      </x:c>
      <x:c r="N386" s="14" t="n">
        <x:f>IFERROR((G386-$K386)/$K386,"")</x:f>
        <x:v>0.22033898305084745</x:v>
      </x:c>
      <x:c r="O386" s="14" t="n">
        <x:f>IFERROR((H386-$K386)/$K386,"")</x:f>
        <x:v>0.22033898305084745</x:v>
      </x:c>
      <x:c r="P386" s="14" t="n">
        <x:f>IFERROR((I386-$K386)/$K386,"")</x:f>
        <x:v>0.23728813559322035</x:v>
      </x:c>
      <x:c r="Q386" s="14" t="n">
        <x:f>IFERROR((J386-$K386)/$K386,"")</x:f>
        <x:v>0</x:v>
      </x:c>
      <x:c r="R386" t="n">
        <x:f>--(F386=$K386)</x:f>
        <x:v>1</x:v>
      </x:c>
      <x:c r="S386" t="n">
        <x:f>--(G386=$K386)</x:f>
        <x:v>0</x:v>
      </x:c>
      <x:c r="T386" t="n">
        <x:f>--(H386=$K386)</x:f>
        <x:v>0</x:v>
      </x:c>
      <x:c r="U386" t="n">
        <x:f>--(I386=$K386)</x:f>
        <x:v>0</x:v>
      </x:c>
      <x:c r="V386" t="n">
        <x:f>--(J386=$K386)</x:f>
        <x:v>1</x:v>
      </x:c>
    </x:row>
    <x:row r="387" ht="18" customHeight="1">
      <x:c r="A387" t="str">
        <x:v>bpps_d10000n200m10w1500_3000s1000_2000f0_seed1</x:v>
      </x:c>
      <x:c r="B387" s="16" t="n">
        <x:v>200</x:v>
      </x:c>
      <x:c r="C387" s="16" t="n">
        <x:v>10</x:v>
      </x:c>
      <x:c r="D387" s="16" t="n">
        <x:v>10000</x:v>
      </x:c>
      <x:c r="E387" s="16" t="n">
        <x:v>1964</x:v>
      </x:c>
      <x:c r="F387" s="12" t="n">
        <x:v>59</x:v>
      </x:c>
      <x:c r="G387" s="12" t="n">
        <x:v>67</x:v>
      </x:c>
      <x:c r="H387" s="12" t="n">
        <x:v>67</x:v>
      </x:c>
      <x:c r="I387" s="12" t="n">
        <x:v>68</x:v>
      </x:c>
      <x:c r="J387" s="12" t="n">
        <x:v>59</x:v>
      </x:c>
      <x:c r="K387" s="12" t="n">
        <x:f>MIN(F387:J387)</x:f>
        <x:v>59</x:v>
      </x:c>
      <x:c r="L387" t="str">
        <x:f>TEXTJOIN(", ",TRUE,IF(F387=K387,"IG",""),IF(G387=K387,"FFD",""),IF(H387=K387,"BFD",""),IF(I387=K387,"WFD",""),IF(J387=K387,"CTP",""))</x:f>
        <x:v>IG, CTP</x:v>
      </x:c>
      <x:c r="M387" s="14" t="n">
        <x:f>IFERROR((F387-$K387)/$K387,"")</x:f>
        <x:v>0</x:v>
      </x:c>
      <x:c r="N387" s="14" t="n">
        <x:f>IFERROR((G387-$K387)/$K387,"")</x:f>
        <x:v>0.13559322033898305</x:v>
      </x:c>
      <x:c r="O387" s="14" t="n">
        <x:f>IFERROR((H387-$K387)/$K387,"")</x:f>
        <x:v>0.13559322033898305</x:v>
      </x:c>
      <x:c r="P387" s="14" t="n">
        <x:f>IFERROR((I387-$K387)/$K387,"")</x:f>
        <x:v>0.15254237288135594</x:v>
      </x:c>
      <x:c r="Q387" s="14" t="n">
        <x:f>IFERROR((J387-$K387)/$K387,"")</x:f>
        <x:v>0</x:v>
      </x:c>
      <x:c r="R387" t="n">
        <x:f>--(F387=$K387)</x:f>
        <x:v>1</x:v>
      </x:c>
      <x:c r="S387" t="n">
        <x:f>--(G387=$K387)</x:f>
        <x:v>0</x:v>
      </x:c>
      <x:c r="T387" t="n">
        <x:f>--(H387=$K387)</x:f>
        <x:v>0</x:v>
      </x:c>
      <x:c r="U387" t="n">
        <x:f>--(I387=$K387)</x:f>
        <x:v>0</x:v>
      </x:c>
      <x:c r="V387" t="n">
        <x:f>--(J387=$K387)</x:f>
        <x:v>1</x:v>
      </x:c>
    </x:row>
    <x:row r="388" ht="18" customHeight="1">
      <x:c r="A388" t="str">
        <x:v>bpps_d10000n200m10w1500_3000s1000_2000f1_seed0</x:v>
      </x:c>
      <x:c r="B388" s="16" t="n">
        <x:v>200</x:v>
      </x:c>
      <x:c r="C388" s="16" t="n">
        <x:v>10</x:v>
      </x:c>
      <x:c r="D388" s="16" t="n">
        <x:v>10000</x:v>
      </x:c>
      <x:c r="E388" s="16" t="n">
        <x:v>2075</x:v>
      </x:c>
      <x:c r="F388" s="12" t="n">
        <x:v>679</x:v>
      </x:c>
      <x:c r="G388" s="12" t="n">
        <x:v>954</x:v>
      </x:c>
      <x:c r="H388" s="12" t="n">
        <x:v>983</x:v>
      </x:c>
      <x:c r="I388" s="12" t="n">
        <x:v>964</x:v>
      </x:c>
      <x:c r="J388" s="12" t="n">
        <x:v>708</x:v>
      </x:c>
      <x:c r="K388" s="12" t="n">
        <x:f>MIN(F388:J388)</x:f>
        <x:v>679</x:v>
      </x:c>
      <x:c r="L388" t="str">
        <x:f>TEXTJOIN(", ",TRUE,IF(F388=K388,"IG",""),IF(G388=K388,"FFD",""),IF(H388=K388,"BFD",""),IF(I388=K388,"WFD",""),IF(J388=K388,"CTP",""))</x:f>
        <x:v>IG</x:v>
      </x:c>
      <x:c r="M388" s="14" t="n">
        <x:f>IFERROR((F388-$K388)/$K388,"")</x:f>
        <x:v>0</x:v>
      </x:c>
      <x:c r="N388" s="14" t="n">
        <x:f>IFERROR((G388-$K388)/$K388,"")</x:f>
        <x:v>0.4050073637702504</x:v>
      </x:c>
      <x:c r="O388" s="14" t="n">
        <x:f>IFERROR((H388-$K388)/$K388,"")</x:f>
        <x:v>0.4477172312223859</x:v>
      </x:c>
      <x:c r="P388" s="14" t="n">
        <x:f>IFERROR((I388-$K388)/$K388,"")</x:f>
        <x:v>0.41973490427098675</x:v>
      </x:c>
      <x:c r="Q388" s="14" t="n">
        <x:f>IFERROR((J388-$K388)/$K388,"")</x:f>
        <x:v>0.042709867452135494</x:v>
      </x:c>
      <x:c r="R388" t="n">
        <x:f>--(F388=$K388)</x:f>
        <x:v>1</x:v>
      </x:c>
      <x:c r="S388" t="n">
        <x:f>--(G388=$K388)</x:f>
        <x:v>0</x:v>
      </x:c>
      <x:c r="T388" t="n">
        <x:f>--(H388=$K388)</x:f>
        <x:v>0</x:v>
      </x:c>
      <x:c r="U388" t="n">
        <x:f>--(I388=$K388)</x:f>
        <x:v>0</x:v>
      </x:c>
      <x:c r="V388" t="n">
        <x:f>--(J388=$K388)</x:f>
        <x:v>0</x:v>
      </x:c>
    </x:row>
    <x:row r="389" ht="18" customHeight="1">
      <x:c r="A389" t="str">
        <x:v>bpps_d10000n200m10w1500_3000s1000_2000f1_seed1</x:v>
      </x:c>
      <x:c r="B389" s="16" t="n">
        <x:v>200</x:v>
      </x:c>
      <x:c r="C389" s="16" t="n">
        <x:v>10</x:v>
      </x:c>
      <x:c r="D389" s="16" t="n">
        <x:v>10000</x:v>
      </x:c>
      <x:c r="E389" s="16" t="n">
        <x:v>2056</x:v>
      </x:c>
      <x:c r="F389" s="12" t="n">
        <x:v>725</x:v>
      </x:c>
      <x:c r="G389" s="12" t="n">
        <x:v>1056</x:v>
      </x:c>
      <x:c r="H389" s="12" t="n">
        <x:v>1049</x:v>
      </x:c>
      <x:c r="I389" s="12" t="n">
        <x:v>1089</x:v>
      </x:c>
      <x:c r="J389" s="12" t="n">
        <x:v>767</x:v>
      </x:c>
      <x:c r="K389" s="12" t="n">
        <x:f>MIN(F389:J389)</x:f>
        <x:v>725</x:v>
      </x:c>
      <x:c r="L389" t="str">
        <x:f>TEXTJOIN(", ",TRUE,IF(F389=K389,"IG",""),IF(G389=K389,"FFD",""),IF(H389=K389,"BFD",""),IF(I389=K389,"WFD",""),IF(J389=K389,"CTP",""))</x:f>
        <x:v>IG</x:v>
      </x:c>
      <x:c r="M389" s="14" t="n">
        <x:f>IFERROR((F389-$K389)/$K389,"")</x:f>
        <x:v>0</x:v>
      </x:c>
      <x:c r="N389" s="14" t="n">
        <x:f>IFERROR((G389-$K389)/$K389,"")</x:f>
        <x:v>0.45655172413793105</x:v>
      </x:c>
      <x:c r="O389" s="14" t="n">
        <x:f>IFERROR((H389-$K389)/$K389,"")</x:f>
        <x:v>0.44689655172413795</x:v>
      </x:c>
      <x:c r="P389" s="14" t="n">
        <x:f>IFERROR((I389-$K389)/$K389,"")</x:f>
        <x:v>0.5020689655172413</x:v>
      </x:c>
      <x:c r="Q389" s="14" t="n">
        <x:f>IFERROR((J389-$K389)/$K389,"")</x:f>
        <x:v>0.057931034482758624</x:v>
      </x:c>
      <x:c r="R389" t="n">
        <x:f>--(F389=$K389)</x:f>
        <x:v>1</x:v>
      </x:c>
      <x:c r="S389" t="n">
        <x:f>--(G389=$K389)</x:f>
        <x:v>0</x:v>
      </x:c>
      <x:c r="T389" t="n">
        <x:f>--(H389=$K389)</x:f>
        <x:v>0</x:v>
      </x:c>
      <x:c r="U389" t="n">
        <x:f>--(I389=$K389)</x:f>
        <x:v>0</x:v>
      </x:c>
      <x:c r="V389" t="n">
        <x:f>--(J389=$K389)</x:f>
        <x:v>0</x:v>
      </x:c>
    </x:row>
    <x:row r="390" ht="18" customHeight="1">
      <x:c r="A390" t="str">
        <x:v>bpps_d10000n200m10w1500_3000s100_1000f0_seed0</x:v>
      </x:c>
      <x:c r="B390" s="16" t="n">
        <x:v>200</x:v>
      </x:c>
      <x:c r="C390" s="16" t="n">
        <x:v>10</x:v>
      </x:c>
      <x:c r="D390" s="16" t="n">
        <x:v>10000</x:v>
      </x:c>
      <x:c r="E390" s="16" t="n">
        <x:v>2020</x:v>
      </x:c>
      <x:c r="F390" s="12" t="n">
        <x:v>52</x:v>
      </x:c>
      <x:c r="G390" s="12" t="n">
        <x:v>57</x:v>
      </x:c>
      <x:c r="H390" s="12" t="n">
        <x:v>57</x:v>
      </x:c>
      <x:c r="I390" s="12" t="n">
        <x:v>58</x:v>
      </x:c>
      <x:c r="J390" s="12" t="n">
        <x:v>54</x:v>
      </x:c>
      <x:c r="K390" s="12" t="n">
        <x:f>MIN(F390:J390)</x:f>
        <x:v>52</x:v>
      </x:c>
      <x:c r="L390" t="str">
        <x:f>TEXTJOIN(", ",TRUE,IF(F390=K390,"IG",""),IF(G390=K390,"FFD",""),IF(H390=K390,"BFD",""),IF(I390=K390,"WFD",""),IF(J390=K390,"CTP",""))</x:f>
        <x:v>IG</x:v>
      </x:c>
      <x:c r="M390" s="14" t="n">
        <x:f>IFERROR((F390-$K390)/$K390,"")</x:f>
        <x:v>0</x:v>
      </x:c>
      <x:c r="N390" s="14" t="n">
        <x:f>IFERROR((G390-$K390)/$K390,"")</x:f>
        <x:v>0.09615384615384616</x:v>
      </x:c>
      <x:c r="O390" s="14" t="n">
        <x:f>IFERROR((H390-$K390)/$K390,"")</x:f>
        <x:v>0.09615384615384616</x:v>
      </x:c>
      <x:c r="P390" s="14" t="n">
        <x:f>IFERROR((I390-$K390)/$K390,"")</x:f>
        <x:v>0.11538461538461539</x:v>
      </x:c>
      <x:c r="Q390" s="14" t="n">
        <x:f>IFERROR((J390-$K390)/$K390,"")</x:f>
        <x:v>0.038461538461538464</x:v>
      </x:c>
      <x:c r="R390" t="n">
        <x:f>--(F390=$K390)</x:f>
        <x:v>1</x:v>
      </x:c>
      <x:c r="S390" t="n">
        <x:f>--(G390=$K390)</x:f>
        <x:v>0</x:v>
      </x:c>
      <x:c r="T390" t="n">
        <x:f>--(H390=$K390)</x:f>
        <x:v>0</x:v>
      </x:c>
      <x:c r="U390" t="n">
        <x:f>--(I390=$K390)</x:f>
        <x:v>0</x:v>
      </x:c>
      <x:c r="V390" t="n">
        <x:f>--(J390=$K390)</x:f>
        <x:v>0</x:v>
      </x:c>
    </x:row>
    <x:row r="391" ht="18" customHeight="1">
      <x:c r="A391" t="str">
        <x:v>bpps_d10000n200m10w1500_3000s100_1000f0_seed1</x:v>
      </x:c>
      <x:c r="B391" s="16" t="n">
        <x:v>200</x:v>
      </x:c>
      <x:c r="C391" s="16" t="n">
        <x:v>10</x:v>
      </x:c>
      <x:c r="D391" s="16" t="n">
        <x:v>10000</x:v>
      </x:c>
      <x:c r="E391" s="16" t="n">
        <x:v>1982</x:v>
      </x:c>
      <x:c r="F391" s="12" t="n">
        <x:v>52</x:v>
      </x:c>
      <x:c r="G391" s="12" t="n">
        <x:v>56</x:v>
      </x:c>
      <x:c r="H391" s="12" t="n">
        <x:v>56</x:v>
      </x:c>
      <x:c r="I391" s="12" t="n">
        <x:v>56</x:v>
      </x:c>
      <x:c r="J391" s="12" t="n">
        <x:v>52</x:v>
      </x:c>
      <x:c r="K391" s="12" t="n">
        <x:f>MIN(F391:J391)</x:f>
        <x:v>52</x:v>
      </x:c>
      <x:c r="L391" t="str">
        <x:f>TEXTJOIN(", ",TRUE,IF(F391=K391,"IG",""),IF(G391=K391,"FFD",""),IF(H391=K391,"BFD",""),IF(I391=K391,"WFD",""),IF(J391=K391,"CTP",""))</x:f>
        <x:v>IG, CTP</x:v>
      </x:c>
      <x:c r="M391" s="14" t="n">
        <x:f>IFERROR((F391-$K391)/$K391,"")</x:f>
        <x:v>0</x:v>
      </x:c>
      <x:c r="N391" s="14" t="n">
        <x:f>IFERROR((G391-$K391)/$K391,"")</x:f>
        <x:v>0.07692307692307693</x:v>
      </x:c>
      <x:c r="O391" s="14" t="n">
        <x:f>IFERROR((H391-$K391)/$K391,"")</x:f>
        <x:v>0.07692307692307693</x:v>
      </x:c>
      <x:c r="P391" s="14" t="n">
        <x:f>IFERROR((I391-$K391)/$K391,"")</x:f>
        <x:v>0.07692307692307693</x:v>
      </x:c>
      <x:c r="Q391" s="14" t="n">
        <x:f>IFERROR((J391-$K391)/$K391,"")</x:f>
        <x:v>0</x:v>
      </x:c>
      <x:c r="R391" t="n">
        <x:f>--(F391=$K391)</x:f>
        <x:v>1</x:v>
      </x:c>
      <x:c r="S391" t="n">
        <x:f>--(G391=$K391)</x:f>
        <x:v>0</x:v>
      </x:c>
      <x:c r="T391" t="n">
        <x:f>--(H391=$K391)</x:f>
        <x:v>0</x:v>
      </x:c>
      <x:c r="U391" t="n">
        <x:f>--(I391=$K391)</x:f>
        <x:v>0</x:v>
      </x:c>
      <x:c r="V391" t="n">
        <x:f>--(J391=$K391)</x:f>
        <x:v>1</x:v>
      </x:c>
    </x:row>
    <x:row r="392" ht="18" customHeight="1">
      <x:c r="A392" t="str">
        <x:v>bpps_d10000n200m10w1500_3000s100_1000f1_seed0</x:v>
      </x:c>
      <x:c r="B392" s="16" t="n">
        <x:v>200</x:v>
      </x:c>
      <x:c r="C392" s="16" t="n">
        <x:v>10</x:v>
      </x:c>
      <x:c r="D392" s="16" t="n">
        <x:v>10000</x:v>
      </x:c>
      <x:c r="E392" s="16" t="n">
        <x:v>2025</x:v>
      </x:c>
      <x:c r="F392" s="12" t="n">
        <x:v>594</x:v>
      </x:c>
      <x:c r="G392" s="12" t="n">
        <x:v>838</x:v>
      </x:c>
      <x:c r="H392" s="12" t="n">
        <x:v>837</x:v>
      </x:c>
      <x:c r="I392" s="12" t="n">
        <x:v>852</x:v>
      </x:c>
      <x:c r="J392" s="12" t="n">
        <x:v>633</x:v>
      </x:c>
      <x:c r="K392" s="12" t="n">
        <x:f>MIN(F392:J392)</x:f>
        <x:v>594</x:v>
      </x:c>
      <x:c r="L392" t="str">
        <x:f>TEXTJOIN(", ",TRUE,IF(F392=K392,"IG",""),IF(G392=K392,"FFD",""),IF(H392=K392,"BFD",""),IF(I392=K392,"WFD",""),IF(J392=K392,"CTP",""))</x:f>
        <x:v>IG</x:v>
      </x:c>
      <x:c r="M392" s="14" t="n">
        <x:f>IFERROR((F392-$K392)/$K392,"")</x:f>
        <x:v>0</x:v>
      </x:c>
      <x:c r="N392" s="14" t="n">
        <x:f>IFERROR((G392-$K392)/$K392,"")</x:f>
        <x:v>0.4107744107744108</x:v>
      </x:c>
      <x:c r="O392" s="14" t="n">
        <x:f>IFERROR((H392-$K392)/$K392,"")</x:f>
        <x:v>0.4090909090909091</x:v>
      </x:c>
      <x:c r="P392" s="14" t="n">
        <x:f>IFERROR((I392-$K392)/$K392,"")</x:f>
        <x:v>0.43434343434343436</x:v>
      </x:c>
      <x:c r="Q392" s="14" t="n">
        <x:f>IFERROR((J392-$K392)/$K392,"")</x:f>
        <x:v>0.06565656565656566</x:v>
      </x:c>
      <x:c r="R392" t="n">
        <x:f>--(F392=$K392)</x:f>
        <x:v>1</x:v>
      </x:c>
      <x:c r="S392" t="n">
        <x:f>--(G392=$K392)</x:f>
        <x:v>0</x:v>
      </x:c>
      <x:c r="T392" t="n">
        <x:f>--(H392=$K392)</x:f>
        <x:v>0</x:v>
      </x:c>
      <x:c r="U392" t="n">
        <x:f>--(I392=$K392)</x:f>
        <x:v>0</x:v>
      </x:c>
      <x:c r="V392" t="n">
        <x:f>--(J392=$K392)</x:f>
        <x:v>0</x:v>
      </x:c>
    </x:row>
    <x:row r="393" ht="18" customHeight="1">
      <x:c r="A393" t="str">
        <x:v>bpps_d10000n200m10w1500_3000s100_1000f1_seed1</x:v>
      </x:c>
      <x:c r="B393" s="16" t="n">
        <x:v>200</x:v>
      </x:c>
      <x:c r="C393" s="16" t="n">
        <x:v>10</x:v>
      </x:c>
      <x:c r="D393" s="16" t="n">
        <x:v>10000</x:v>
      </x:c>
      <x:c r="E393" s="16" t="n">
        <x:v>2031</x:v>
      </x:c>
      <x:c r="F393" s="12" t="n">
        <x:v>650</x:v>
      </x:c>
      <x:c r="G393" s="12" t="n">
        <x:v>1003</x:v>
      </x:c>
      <x:c r="H393" s="12" t="n">
        <x:v>1011</x:v>
      </x:c>
      <x:c r="I393" s="12" t="n">
        <x:v>1002</x:v>
      </x:c>
      <x:c r="J393" s="12" t="n">
        <x:v>684</x:v>
      </x:c>
      <x:c r="K393" s="12" t="n">
        <x:f>MIN(F393:J393)</x:f>
        <x:v>650</x:v>
      </x:c>
      <x:c r="L393" t="str">
        <x:f>TEXTJOIN(", ",TRUE,IF(F393=K393,"IG",""),IF(G393=K393,"FFD",""),IF(H393=K393,"BFD",""),IF(I393=K393,"WFD",""),IF(J393=K393,"CTP",""))</x:f>
        <x:v>IG</x:v>
      </x:c>
      <x:c r="M393" s="14" t="n">
        <x:f>IFERROR((F393-$K393)/$K393,"")</x:f>
        <x:v>0</x:v>
      </x:c>
      <x:c r="N393" s="14" t="n">
        <x:f>IFERROR((G393-$K393)/$K393,"")</x:f>
        <x:v>0.5430769230769231</x:v>
      </x:c>
      <x:c r="O393" s="14" t="n">
        <x:f>IFERROR((H393-$K393)/$K393,"")</x:f>
        <x:v>0.5553846153846154</x:v>
      </x:c>
      <x:c r="P393" s="14" t="n">
        <x:f>IFERROR((I393-$K393)/$K393,"")</x:f>
        <x:v>0.5415384615384615</x:v>
      </x:c>
      <x:c r="Q393" s="14" t="n">
        <x:f>IFERROR((J393-$K393)/$K393,"")</x:f>
        <x:v>0.052307692307692305</x:v>
      </x:c>
      <x:c r="R393" t="n">
        <x:f>--(F393=$K393)</x:f>
        <x:v>1</x:v>
      </x:c>
      <x:c r="S393" t="n">
        <x:f>--(G393=$K393)</x:f>
        <x:v>0</x:v>
      </x:c>
      <x:c r="T393" t="n">
        <x:f>--(H393=$K393)</x:f>
        <x:v>0</x:v>
      </x:c>
      <x:c r="U393" t="n">
        <x:f>--(I393=$K393)</x:f>
        <x:v>0</x:v>
      </x:c>
      <x:c r="V393" t="n">
        <x:f>--(J393=$K393)</x:f>
        <x:v>0</x:v>
      </x:c>
    </x:row>
    <x:row r="394" ht="18" customHeight="1">
      <x:c r="A394" t="str">
        <x:v>bpps_d10000n200m10w500_1500s1000_2000f0_seed0</x:v>
      </x:c>
      <x:c r="B394" s="16" t="n">
        <x:v>200</x:v>
      </x:c>
      <x:c r="C394" s="16" t="n">
        <x:v>10</x:v>
      </x:c>
      <x:c r="D394" s="16" t="n">
        <x:v>10000</x:v>
      </x:c>
      <x:c r="E394" s="16" t="n">
        <x:v>2041</x:v>
      </x:c>
      <x:c r="F394" s="12" t="n">
        <x:v>28</x:v>
      </x:c>
      <x:c r="G394" s="12" t="n">
        <x:v>40</x:v>
      </x:c>
      <x:c r="H394" s="12" t="n">
        <x:v>40</x:v>
      </x:c>
      <x:c r="I394" s="12" t="n">
        <x:v>39</x:v>
      </x:c>
      <x:c r="J394" s="12" t="n">
        <x:v>30</x:v>
      </x:c>
      <x:c r="K394" s="12" t="n">
        <x:f>MIN(F394:J394)</x:f>
        <x:v>28</x:v>
      </x:c>
      <x:c r="L394" t="str">
        <x:f>TEXTJOIN(", ",TRUE,IF(F394=K394,"IG",""),IF(G394=K394,"FFD",""),IF(H394=K394,"BFD",""),IF(I394=K394,"WFD",""),IF(J394=K394,"CTP",""))</x:f>
        <x:v>IG</x:v>
      </x:c>
      <x:c r="M394" s="14" t="n">
        <x:f>IFERROR((F394-$K394)/$K394,"")</x:f>
        <x:v>0</x:v>
      </x:c>
      <x:c r="N394" s="14" t="n">
        <x:f>IFERROR((G394-$K394)/$K394,"")</x:f>
        <x:v>0.42857142857142855</x:v>
      </x:c>
      <x:c r="O394" s="14" t="n">
        <x:f>IFERROR((H394-$K394)/$K394,"")</x:f>
        <x:v>0.42857142857142855</x:v>
      </x:c>
      <x:c r="P394" s="14" t="n">
        <x:f>IFERROR((I394-$K394)/$K394,"")</x:f>
        <x:v>0.39285714285714285</x:v>
      </x:c>
      <x:c r="Q394" s="14" t="n">
        <x:f>IFERROR((J394-$K394)/$K394,"")</x:f>
        <x:v>0.07142857142857142</x:v>
      </x:c>
      <x:c r="R394" t="n">
        <x:f>--(F394=$K394)</x:f>
        <x:v>1</x:v>
      </x:c>
      <x:c r="S394" t="n">
        <x:f>--(G394=$K394)</x:f>
        <x:v>0</x:v>
      </x:c>
      <x:c r="T394" t="n">
        <x:f>--(H394=$K394)</x:f>
        <x:v>0</x:v>
      </x:c>
      <x:c r="U394" t="n">
        <x:f>--(I394=$K394)</x:f>
        <x:v>0</x:v>
      </x:c>
      <x:c r="V394" t="n">
        <x:f>--(J394=$K394)</x:f>
        <x:v>0</x:v>
      </x:c>
    </x:row>
    <x:row r="395" ht="18" customHeight="1">
      <x:c r="A395" t="str">
        <x:v>bpps_d10000n200m10w500_1500s1000_2000f0_seed1</x:v>
      </x:c>
      <x:c r="B395" s="16" t="n">
        <x:v>200</x:v>
      </x:c>
      <x:c r="C395" s="16" t="n">
        <x:v>10</x:v>
      </x:c>
      <x:c r="D395" s="16" t="n">
        <x:v>10000</x:v>
      </x:c>
      <x:c r="E395" s="16" t="n">
        <x:v>1877</x:v>
      </x:c>
      <x:c r="F395" s="12" t="n">
        <x:v>27</x:v>
      </x:c>
      <x:c r="G395" s="12" t="n">
        <x:v>40</x:v>
      </x:c>
      <x:c r="H395" s="12" t="n">
        <x:v>40</x:v>
      </x:c>
      <x:c r="I395" s="12" t="n">
        <x:v>40</x:v>
      </x:c>
      <x:c r="J395" s="12" t="n">
        <x:v>28</x:v>
      </x:c>
      <x:c r="K395" s="12" t="n">
        <x:f>MIN(F395:J395)</x:f>
        <x:v>27</x:v>
      </x:c>
      <x:c r="L395" t="str">
        <x:f>TEXTJOIN(", ",TRUE,IF(F395=K395,"IG",""),IF(G395=K395,"FFD",""),IF(H395=K395,"BFD",""),IF(I395=K395,"WFD",""),IF(J395=K395,"CTP",""))</x:f>
        <x:v>IG</x:v>
      </x:c>
      <x:c r="M395" s="14" t="n">
        <x:f>IFERROR((F395-$K395)/$K395,"")</x:f>
        <x:v>0</x:v>
      </x:c>
      <x:c r="N395" s="14" t="n">
        <x:f>IFERROR((G395-$K395)/$K395,"")</x:f>
        <x:v>0.48148148148148145</x:v>
      </x:c>
      <x:c r="O395" s="14" t="n">
        <x:f>IFERROR((H395-$K395)/$K395,"")</x:f>
        <x:v>0.48148148148148145</x:v>
      </x:c>
      <x:c r="P395" s="14" t="n">
        <x:f>IFERROR((I395-$K395)/$K395,"")</x:f>
        <x:v>0.48148148148148145</x:v>
      </x:c>
      <x:c r="Q395" s="14" t="n">
        <x:f>IFERROR((J395-$K395)/$K395,"")</x:f>
        <x:v>0.037037037037037035</x:v>
      </x:c>
      <x:c r="R395" t="n">
        <x:f>--(F395=$K395)</x:f>
        <x:v>1</x:v>
      </x:c>
      <x:c r="S395" t="n">
        <x:f>--(G395=$K395)</x:f>
        <x:v>0</x:v>
      </x:c>
      <x:c r="T395" t="n">
        <x:f>--(H395=$K395)</x:f>
        <x:v>0</x:v>
      </x:c>
      <x:c r="U395" t="n">
        <x:f>--(I395=$K395)</x:f>
        <x:v>0</x:v>
      </x:c>
      <x:c r="V395" t="n">
        <x:f>--(J395=$K395)</x:f>
        <x:v>0</x:v>
      </x:c>
    </x:row>
    <x:row r="396" ht="18" customHeight="1">
      <x:c r="A396" t="str">
        <x:v>bpps_d10000n200m10w500_1500s1000_2000f1_seed0</x:v>
      </x:c>
      <x:c r="B396" s="16" t="n">
        <x:v>200</x:v>
      </x:c>
      <x:c r="C396" s="16" t="n">
        <x:v>10</x:v>
      </x:c>
      <x:c r="D396" s="16" t="n">
        <x:v>10000</x:v>
      </x:c>
      <x:c r="E396" s="16" t="n">
        <x:v>2018</x:v>
      </x:c>
      <x:c r="F396" s="12" t="n">
        <x:v>350</x:v>
      </x:c>
      <x:c r="G396" s="12" t="n">
        <x:v>705</x:v>
      </x:c>
      <x:c r="H396" s="12" t="n">
        <x:v>719</x:v>
      </x:c>
      <x:c r="I396" s="12" t="n">
        <x:v>696</x:v>
      </x:c>
      <x:c r="J396" s="12" t="n">
        <x:v>375</x:v>
      </x:c>
      <x:c r="K396" s="12" t="n">
        <x:f>MIN(F396:J396)</x:f>
        <x:v>350</x:v>
      </x:c>
      <x:c r="L396" t="str">
        <x:f>TEXTJOIN(", ",TRUE,IF(F396=K396,"IG",""),IF(G396=K396,"FFD",""),IF(H396=K396,"BFD",""),IF(I396=K396,"WFD",""),IF(J396=K396,"CTP",""))</x:f>
        <x:v>IG</x:v>
      </x:c>
      <x:c r="M396" s="14" t="n">
        <x:f>IFERROR((F396-$K396)/$K396,"")</x:f>
        <x:v>0</x:v>
      </x:c>
      <x:c r="N396" s="14" t="n">
        <x:f>IFERROR((G396-$K396)/$K396,"")</x:f>
        <x:v>1.0142857142857142</x:v>
      </x:c>
      <x:c r="O396" s="14" t="n">
        <x:f>IFERROR((H396-$K396)/$K396,"")</x:f>
        <x:v>1.0542857142857143</x:v>
      </x:c>
      <x:c r="P396" s="14" t="n">
        <x:f>IFERROR((I396-$K396)/$K396,"")</x:f>
        <x:v>0.9885714285714285</x:v>
      </x:c>
      <x:c r="Q396" s="14" t="n">
        <x:f>IFERROR((J396-$K396)/$K396,"")</x:f>
        <x:v>0.07142857142857142</x:v>
      </x:c>
      <x:c r="R396" t="n">
        <x:f>--(F396=$K396)</x:f>
        <x:v>1</x:v>
      </x:c>
      <x:c r="S396" t="n">
        <x:f>--(G396=$K396)</x:f>
        <x:v>0</x:v>
      </x:c>
      <x:c r="T396" t="n">
        <x:f>--(H396=$K396)</x:f>
        <x:v>0</x:v>
      </x:c>
      <x:c r="U396" t="n">
        <x:f>--(I396=$K396)</x:f>
        <x:v>0</x:v>
      </x:c>
      <x:c r="V396" t="n">
        <x:f>--(J396=$K396)</x:f>
        <x:v>0</x:v>
      </x:c>
    </x:row>
    <x:row r="397" ht="18" customHeight="1">
      <x:c r="A397" t="str">
        <x:v>bpps_d10000n200m10w500_1500s1000_2000f1_seed1</x:v>
      </x:c>
      <x:c r="B397" s="16" t="n">
        <x:v>200</x:v>
      </x:c>
      <x:c r="C397" s="16" t="n">
        <x:v>10</x:v>
      </x:c>
      <x:c r="D397" s="16" t="n">
        <x:v>10000</x:v>
      </x:c>
      <x:c r="E397" s="16" t="n">
        <x:v>1955</x:v>
      </x:c>
      <x:c r="F397" s="12" t="n">
        <x:v>344</x:v>
      </x:c>
      <x:c r="G397" s="12" t="n">
        <x:v>741</x:v>
      </x:c>
      <x:c r="H397" s="12" t="n">
        <x:v>777</x:v>
      </x:c>
      <x:c r="I397" s="12" t="n">
        <x:v>748</x:v>
      </x:c>
      <x:c r="J397" s="12" t="n">
        <x:v>397</x:v>
      </x:c>
      <x:c r="K397" s="12" t="n">
        <x:f>MIN(F397:J397)</x:f>
        <x:v>344</x:v>
      </x:c>
      <x:c r="L397" t="str">
        <x:f>TEXTJOIN(", ",TRUE,IF(F397=K397,"IG",""),IF(G397=K397,"FFD",""),IF(H397=K397,"BFD",""),IF(I397=K397,"WFD",""),IF(J397=K397,"CTP",""))</x:f>
        <x:v>IG</x:v>
      </x:c>
      <x:c r="M397" s="14" t="n">
        <x:f>IFERROR((F397-$K397)/$K397,"")</x:f>
        <x:v>0</x:v>
      </x:c>
      <x:c r="N397" s="14" t="n">
        <x:f>IFERROR((G397-$K397)/$K397,"")</x:f>
        <x:v>1.1540697674418605</x:v>
      </x:c>
      <x:c r="O397" s="14" t="n">
        <x:f>IFERROR((H397-$K397)/$K397,"")</x:f>
        <x:v>1.2587209302325582</x:v>
      </x:c>
      <x:c r="P397" s="14" t="n">
        <x:f>IFERROR((I397-$K397)/$K397,"")</x:f>
        <x:v>1.1744186046511629</x:v>
      </x:c>
      <x:c r="Q397" s="14" t="n">
        <x:f>IFERROR((J397-$K397)/$K397,"")</x:f>
        <x:v>0.15406976744186046</x:v>
      </x:c>
      <x:c r="R397" t="n">
        <x:f>--(F397=$K397)</x:f>
        <x:v>1</x:v>
      </x:c>
      <x:c r="S397" t="n">
        <x:f>--(G397=$K397)</x:f>
        <x:v>0</x:v>
      </x:c>
      <x:c r="T397" t="n">
        <x:f>--(H397=$K397)</x:f>
        <x:v>0</x:v>
      </x:c>
      <x:c r="U397" t="n">
        <x:f>--(I397=$K397)</x:f>
        <x:v>0</x:v>
      </x:c>
      <x:c r="V397" t="n">
        <x:f>--(J397=$K397)</x:f>
        <x:v>0</x:v>
      </x:c>
    </x:row>
    <x:row r="398" ht="18" customHeight="1">
      <x:c r="A398" t="str">
        <x:v>bpps_d10000n200m10w500_1500s100_1000f0_seed0</x:v>
      </x:c>
      <x:c r="B398" s="16" t="n">
        <x:v>200</x:v>
      </x:c>
      <x:c r="C398" s="16" t="n">
        <x:v>10</x:v>
      </x:c>
      <x:c r="D398" s="16" t="n">
        <x:v>10000</x:v>
      </x:c>
      <x:c r="E398" s="16" t="n">
        <x:v>1978</x:v>
      </x:c>
      <x:c r="F398" s="12" t="n">
        <x:v>24</x:v>
      </x:c>
      <x:c r="G398" s="12" t="n">
        <x:v>28</x:v>
      </x:c>
      <x:c r="H398" s="12" t="n">
        <x:v>28</x:v>
      </x:c>
      <x:c r="I398" s="12" t="n">
        <x:v>28</x:v>
      </x:c>
      <x:c r="J398" s="12" t="n">
        <x:v>26</x:v>
      </x:c>
      <x:c r="K398" s="12" t="n">
        <x:f>MIN(F398:J398)</x:f>
        <x:v>24</x:v>
      </x:c>
      <x:c r="L398" t="str">
        <x:f>TEXTJOIN(", ",TRUE,IF(F398=K398,"IG",""),IF(G398=K398,"FFD",""),IF(H398=K398,"BFD",""),IF(I398=K398,"WFD",""),IF(J398=K398,"CTP",""))</x:f>
        <x:v>IG</x:v>
      </x:c>
      <x:c r="M398" s="14" t="n">
        <x:f>IFERROR((F398-$K398)/$K398,"")</x:f>
        <x:v>0</x:v>
      </x:c>
      <x:c r="N398" s="14" t="n">
        <x:f>IFERROR((G398-$K398)/$K398,"")</x:f>
        <x:v>0.16666666666666666</x:v>
      </x:c>
      <x:c r="O398" s="14" t="n">
        <x:f>IFERROR((H398-$K398)/$K398,"")</x:f>
        <x:v>0.16666666666666666</x:v>
      </x:c>
      <x:c r="P398" s="14" t="n">
        <x:f>IFERROR((I398-$K398)/$K398,"")</x:f>
        <x:v>0.16666666666666666</x:v>
      </x:c>
      <x:c r="Q398" s="14" t="n">
        <x:f>IFERROR((J398-$K398)/$K398,"")</x:f>
        <x:v>0.08333333333333333</x:v>
      </x:c>
      <x:c r="R398" t="n">
        <x:f>--(F398=$K398)</x:f>
        <x:v>1</x:v>
      </x:c>
      <x:c r="S398" t="n">
        <x:f>--(G398=$K398)</x:f>
        <x:v>0</x:v>
      </x:c>
      <x:c r="T398" t="n">
        <x:f>--(H398=$K398)</x:f>
        <x:v>0</x:v>
      </x:c>
      <x:c r="U398" t="n">
        <x:f>--(I398=$K398)</x:f>
        <x:v>0</x:v>
      </x:c>
      <x:c r="V398" t="n">
        <x:f>--(J398=$K398)</x:f>
        <x:v>0</x:v>
      </x:c>
    </x:row>
    <x:row r="399" ht="18" customHeight="1">
      <x:c r="A399" t="str">
        <x:v>bpps_d10000n200m10w500_1500s100_1000f0_seed1</x:v>
      </x:c>
      <x:c r="B399" s="16" t="n">
        <x:v>200</x:v>
      </x:c>
      <x:c r="C399" s="16" t="n">
        <x:v>10</x:v>
      </x:c>
      <x:c r="D399" s="16" t="n">
        <x:v>10000</x:v>
      </x:c>
      <x:c r="E399" s="16" t="n">
        <x:v>2022</x:v>
      </x:c>
      <x:c r="F399" s="12" t="n">
        <x:v>24</x:v>
      </x:c>
      <x:c r="G399" s="12" t="n">
        <x:v>29</x:v>
      </x:c>
      <x:c r="H399" s="12" t="n">
        <x:v>29</x:v>
      </x:c>
      <x:c r="I399" s="12" t="n">
        <x:v>28</x:v>
      </x:c>
      <x:c r="J399" s="12" t="n">
        <x:v>27</x:v>
      </x:c>
      <x:c r="K399" s="12" t="n">
        <x:f>MIN(F399:J399)</x:f>
        <x:v>24</x:v>
      </x:c>
      <x:c r="L399" t="str">
        <x:f>TEXTJOIN(", ",TRUE,IF(F399=K399,"IG",""),IF(G399=K399,"FFD",""),IF(H399=K399,"BFD",""),IF(I399=K399,"WFD",""),IF(J399=K399,"CTP",""))</x:f>
        <x:v>IG</x:v>
      </x:c>
      <x:c r="M399" s="14" t="n">
        <x:f>IFERROR((F399-$K399)/$K399,"")</x:f>
        <x:v>0</x:v>
      </x:c>
      <x:c r="N399" s="14" t="n">
        <x:f>IFERROR((G399-$K399)/$K399,"")</x:f>
        <x:v>0.20833333333333334</x:v>
      </x:c>
      <x:c r="O399" s="14" t="n">
        <x:f>IFERROR((H399-$K399)/$K399,"")</x:f>
        <x:v>0.20833333333333334</x:v>
      </x:c>
      <x:c r="P399" s="14" t="n">
        <x:f>IFERROR((I399-$K399)/$K399,"")</x:f>
        <x:v>0.16666666666666666</x:v>
      </x:c>
      <x:c r="Q399" s="14" t="n">
        <x:f>IFERROR((J399-$K399)/$K399,"")</x:f>
        <x:v>0.125</x:v>
      </x:c>
      <x:c r="R399" t="n">
        <x:f>--(F399=$K399)</x:f>
        <x:v>1</x:v>
      </x:c>
      <x:c r="S399" t="n">
        <x:f>--(G399=$K399)</x:f>
        <x:v>0</x:v>
      </x:c>
      <x:c r="T399" t="n">
        <x:f>--(H399=$K399)</x:f>
        <x:v>0</x:v>
      </x:c>
      <x:c r="U399" t="n">
        <x:f>--(I399=$K399)</x:f>
        <x:v>0</x:v>
      </x:c>
      <x:c r="V399" t="n">
        <x:f>--(J399=$K399)</x:f>
        <x:v>0</x:v>
      </x:c>
    </x:row>
    <x:row r="400" ht="18" customHeight="1">
      <x:c r="A400" t="str">
        <x:v>bpps_d10000n200m10w500_1500s100_1000f1_seed0</x:v>
      </x:c>
      <x:c r="B400" s="16" t="n">
        <x:v>200</x:v>
      </x:c>
      <x:c r="C400" s="16" t="n">
        <x:v>10</x:v>
      </x:c>
      <x:c r="D400" s="16" t="n">
        <x:v>10000</x:v>
      </x:c>
      <x:c r="E400" s="16" t="n">
        <x:v>1939</x:v>
      </x:c>
      <x:c r="F400" s="12" t="n">
        <x:v>314</x:v>
      </x:c>
      <x:c r="G400" s="12" t="n">
        <x:v>606</x:v>
      </x:c>
      <x:c r="H400" s="12" t="n">
        <x:v>607</x:v>
      </x:c>
      <x:c r="I400" s="12" t="n">
        <x:v>588</x:v>
      </x:c>
      <x:c r="J400" s="12" t="n">
        <x:v>346</x:v>
      </x:c>
      <x:c r="K400" s="12" t="n">
        <x:f>MIN(F400:J400)</x:f>
        <x:v>314</x:v>
      </x:c>
      <x:c r="L400" t="str">
        <x:f>TEXTJOIN(", ",TRUE,IF(F400=K400,"IG",""),IF(G400=K400,"FFD",""),IF(H400=K400,"BFD",""),IF(I400=K400,"WFD",""),IF(J400=K400,"CTP",""))</x:f>
        <x:v>IG</x:v>
      </x:c>
      <x:c r="M400" s="14" t="n">
        <x:f>IFERROR((F400-$K400)/$K400,"")</x:f>
        <x:v>0</x:v>
      </x:c>
      <x:c r="N400" s="14" t="n">
        <x:f>IFERROR((G400-$K400)/$K400,"")</x:f>
        <x:v>0.9299363057324841</x:v>
      </x:c>
      <x:c r="O400" s="14" t="n">
        <x:f>IFERROR((H400-$K400)/$K400,"")</x:f>
        <x:v>0.9331210191082803</x:v>
      </x:c>
      <x:c r="P400" s="14" t="n">
        <x:f>IFERROR((I400-$K400)/$K400,"")</x:f>
        <x:v>0.8726114649681529</x:v>
      </x:c>
      <x:c r="Q400" s="14" t="n">
        <x:f>IFERROR((J400-$K400)/$K400,"")</x:f>
        <x:v>0.10191082802547771</x:v>
      </x:c>
      <x:c r="R400" t="n">
        <x:f>--(F400=$K400)</x:f>
        <x:v>1</x:v>
      </x:c>
      <x:c r="S400" t="n">
        <x:f>--(G400=$K400)</x:f>
        <x:v>0</x:v>
      </x:c>
      <x:c r="T400" t="n">
        <x:f>--(H400=$K400)</x:f>
        <x:v>0</x:v>
      </x:c>
      <x:c r="U400" t="n">
        <x:f>--(I400=$K400)</x:f>
        <x:v>0</x:v>
      </x:c>
      <x:c r="V400" t="n">
        <x:f>--(J400=$K400)</x:f>
        <x:v>0</x:v>
      </x:c>
    </x:row>
    <x:row r="401" ht="18" customHeight="1">
      <x:c r="A401" t="str">
        <x:v>bpps_d10000n200m10w500_1500s100_1000f1_seed1</x:v>
      </x:c>
      <x:c r="B401" s="16" t="n">
        <x:v>200</x:v>
      </x:c>
      <x:c r="C401" s="16" t="n">
        <x:v>10</x:v>
      </x:c>
      <x:c r="D401" s="16" t="n">
        <x:v>10000</x:v>
      </x:c>
      <x:c r="E401" s="16" t="n">
        <x:v>2004</x:v>
      </x:c>
      <x:c r="F401" s="12" t="n">
        <x:v>322</x:v>
      </x:c>
      <x:c r="G401" s="12" t="n">
        <x:v>651</x:v>
      </x:c>
      <x:c r="H401" s="12" t="n">
        <x:v>665</x:v>
      </x:c>
      <x:c r="I401" s="12" t="n">
        <x:v>636</x:v>
      </x:c>
      <x:c r="J401" s="12" t="n">
        <x:v>359</x:v>
      </x:c>
      <x:c r="K401" s="12" t="n">
        <x:f>MIN(F401:J401)</x:f>
        <x:v>322</x:v>
      </x:c>
      <x:c r="L401" t="str">
        <x:f>TEXTJOIN(", ",TRUE,IF(F401=K401,"IG",""),IF(G401=K401,"FFD",""),IF(H401=K401,"BFD",""),IF(I401=K401,"WFD",""),IF(J401=K401,"CTP",""))</x:f>
        <x:v>IG</x:v>
      </x:c>
      <x:c r="M401" s="14" t="n">
        <x:f>IFERROR((F401-$K401)/$K401,"")</x:f>
        <x:v>0</x:v>
      </x:c>
      <x:c r="N401" s="14" t="n">
        <x:f>IFERROR((G401-$K401)/$K401,"")</x:f>
        <x:v>1.0217391304347827</x:v>
      </x:c>
      <x:c r="O401" s="14" t="n">
        <x:f>IFERROR((H401-$K401)/$K401,"")</x:f>
        <x:v>1.065217391304348</x:v>
      </x:c>
      <x:c r="P401" s="14" t="n">
        <x:f>IFERROR((I401-$K401)/$K401,"")</x:f>
        <x:v>0.9751552795031055</x:v>
      </x:c>
      <x:c r="Q401" s="14" t="n">
        <x:f>IFERROR((J401-$K401)/$K401,"")</x:f>
        <x:v>0.11490683229813664</x:v>
      </x:c>
      <x:c r="R401" t="n">
        <x:f>--(F401=$K401)</x:f>
        <x:v>1</x:v>
      </x:c>
      <x:c r="S401" t="n">
        <x:f>--(G401=$K401)</x:f>
        <x:v>0</x:v>
      </x:c>
      <x:c r="T401" t="n">
        <x:f>--(H401=$K401)</x:f>
        <x:v>0</x:v>
      </x:c>
      <x:c r="U401" t="n">
        <x:f>--(I401=$K401)</x:f>
        <x:v>0</x:v>
      </x:c>
      <x:c r="V401" t="n">
        <x:f>--(J401=$K401)</x:f>
        <x:v>0</x:v>
      </x:c>
    </x:row>
    <x:row r="402" ht="18" customHeight="1">
      <x:c r="A402" t="str">
        <x:v>bpps_d10000n200m5w1500_3000s1000_2000f0_seed0</x:v>
      </x:c>
      <x:c r="B402" s="16" t="n">
        <x:v>200</x:v>
      </x:c>
      <x:c r="C402" s="16" t="n">
        <x:v>5</x:v>
      </x:c>
      <x:c r="D402" s="16" t="n">
        <x:v>10000</x:v>
      </x:c>
      <x:c r="E402" s="16" t="n">
        <x:v>2013</x:v>
      </x:c>
      <x:c r="F402" s="12" t="n">
        <x:v>59</x:v>
      </x:c>
      <x:c r="G402" s="12" t="n">
        <x:v>69</x:v>
      </x:c>
      <x:c r="H402" s="12" t="n">
        <x:v>70</x:v>
      </x:c>
      <x:c r="I402" s="12" t="n">
        <x:v>71</x:v>
      </x:c>
      <x:c r="J402" s="12" t="n">
        <x:v>59</x:v>
      </x:c>
      <x:c r="K402" s="12" t="n">
        <x:f>MIN(F402:J402)</x:f>
        <x:v>59</x:v>
      </x:c>
      <x:c r="L402" t="str">
        <x:f>TEXTJOIN(", ",TRUE,IF(F402=K402,"IG",""),IF(G402=K402,"FFD",""),IF(H402=K402,"BFD",""),IF(I402=K402,"WFD",""),IF(J402=K402,"CTP",""))</x:f>
        <x:v>IG, CTP</x:v>
      </x:c>
      <x:c r="M402" s="14" t="n">
        <x:f>IFERROR((F402-$K402)/$K402,"")</x:f>
        <x:v>0</x:v>
      </x:c>
      <x:c r="N402" s="14" t="n">
        <x:f>IFERROR((G402-$K402)/$K402,"")</x:f>
        <x:v>0.1694915254237288</x:v>
      </x:c>
      <x:c r="O402" s="14" t="n">
        <x:f>IFERROR((H402-$K402)/$K402,"")</x:f>
        <x:v>0.1864406779661017</x:v>
      </x:c>
      <x:c r="P402" s="14" t="n">
        <x:f>IFERROR((I402-$K402)/$K402,"")</x:f>
        <x:v>0.2033898305084746</x:v>
      </x:c>
      <x:c r="Q402" s="14" t="n">
        <x:f>IFERROR((J402-$K402)/$K402,"")</x:f>
        <x:v>0</x:v>
      </x:c>
      <x:c r="R402" t="n">
        <x:f>--(F402=$K402)</x:f>
        <x:v>1</x:v>
      </x:c>
      <x:c r="S402" t="n">
        <x:f>--(G402=$K402)</x:f>
        <x:v>0</x:v>
      </x:c>
      <x:c r="T402" t="n">
        <x:f>--(H402=$K402)</x:f>
        <x:v>0</x:v>
      </x:c>
      <x:c r="U402" t="n">
        <x:f>--(I402=$K402)</x:f>
        <x:v>0</x:v>
      </x:c>
      <x:c r="V402" t="n">
        <x:f>--(J402=$K402)</x:f>
        <x:v>1</x:v>
      </x:c>
    </x:row>
    <x:row r="403" ht="18" customHeight="1">
      <x:c r="A403" t="str">
        <x:v>bpps_d10000n200m5w1500_3000s1000_2000f0_seed1</x:v>
      </x:c>
      <x:c r="B403" s="16" t="n">
        <x:v>200</x:v>
      </x:c>
      <x:c r="C403" s="16" t="n">
        <x:v>5</x:v>
      </x:c>
      <x:c r="D403" s="16" t="n">
        <x:v>10000</x:v>
      </x:c>
      <x:c r="E403" s="16" t="n">
        <x:v>2010</x:v>
      </x:c>
      <x:c r="F403" s="12" t="n">
        <x:v>57</x:v>
      </x:c>
      <x:c r="G403" s="12" t="n">
        <x:v>65</x:v>
      </x:c>
      <x:c r="H403" s="12" t="n">
        <x:v>65</x:v>
      </x:c>
      <x:c r="I403" s="12" t="n">
        <x:v>65</x:v>
      </x:c>
      <x:c r="J403" s="12" t="n">
        <x:v>57</x:v>
      </x:c>
      <x:c r="K403" s="12" t="n">
        <x:f>MIN(F403:J403)</x:f>
        <x:v>57</x:v>
      </x:c>
      <x:c r="L403" t="str">
        <x:f>TEXTJOIN(", ",TRUE,IF(F403=K403,"IG",""),IF(G403=K403,"FFD",""),IF(H403=K403,"BFD",""),IF(I403=K403,"WFD",""),IF(J403=K403,"CTP",""))</x:f>
        <x:v>IG, CTP</x:v>
      </x:c>
      <x:c r="M403" s="14" t="n">
        <x:f>IFERROR((F403-$K403)/$K403,"")</x:f>
        <x:v>0</x:v>
      </x:c>
      <x:c r="N403" s="14" t="n">
        <x:f>IFERROR((G403-$K403)/$K403,"")</x:f>
        <x:v>0.14035087719298245</x:v>
      </x:c>
      <x:c r="O403" s="14" t="n">
        <x:f>IFERROR((H403-$K403)/$K403,"")</x:f>
        <x:v>0.14035087719298245</x:v>
      </x:c>
      <x:c r="P403" s="14" t="n">
        <x:f>IFERROR((I403-$K403)/$K403,"")</x:f>
        <x:v>0.14035087719298245</x:v>
      </x:c>
      <x:c r="Q403" s="14" t="n">
        <x:f>IFERROR((J403-$K403)/$K403,"")</x:f>
        <x:v>0</x:v>
      </x:c>
      <x:c r="R403" t="n">
        <x:f>--(F403=$K403)</x:f>
        <x:v>1</x:v>
      </x:c>
      <x:c r="S403" t="n">
        <x:f>--(G403=$K403)</x:f>
        <x:v>0</x:v>
      </x:c>
      <x:c r="T403" t="n">
        <x:f>--(H403=$K403)</x:f>
        <x:v>0</x:v>
      </x:c>
      <x:c r="U403" t="n">
        <x:f>--(I403=$K403)</x:f>
        <x:v>0</x:v>
      </x:c>
      <x:c r="V403" t="n">
        <x:f>--(J403=$K403)</x:f>
        <x:v>1</x:v>
      </x:c>
    </x:row>
    <x:row r="404" ht="18" customHeight="1">
      <x:c r="A404" t="str">
        <x:v>bpps_d10000n200m5w1500_3000s1000_2000f1_seed0</x:v>
      </x:c>
      <x:c r="B404" s="16" t="n">
        <x:v>200</x:v>
      </x:c>
      <x:c r="C404" s="16" t="n">
        <x:v>5</x:v>
      </x:c>
      <x:c r="D404" s="16" t="n">
        <x:v>10000</x:v>
      </x:c>
      <x:c r="E404" s="16" t="n">
        <x:v>1941</x:v>
      </x:c>
      <x:c r="F404" s="12" t="n">
        <x:v>722</x:v>
      </x:c>
      <x:c r="G404" s="12" t="n">
        <x:v>1072</x:v>
      </x:c>
      <x:c r="H404" s="12" t="n">
        <x:v>1061</x:v>
      </x:c>
      <x:c r="I404" s="12" t="n">
        <x:v>1074</x:v>
      </x:c>
      <x:c r="J404" s="12" t="n">
        <x:v>755</x:v>
      </x:c>
      <x:c r="K404" s="12" t="n">
        <x:f>MIN(F404:J404)</x:f>
        <x:v>722</x:v>
      </x:c>
      <x:c r="L404" t="str">
        <x:f>TEXTJOIN(", ",TRUE,IF(F404=K404,"IG",""),IF(G404=K404,"FFD",""),IF(H404=K404,"BFD",""),IF(I404=K404,"WFD",""),IF(J404=K404,"CTP",""))</x:f>
        <x:v>IG</x:v>
      </x:c>
      <x:c r="M404" s="14" t="n">
        <x:f>IFERROR((F404-$K404)/$K404,"")</x:f>
        <x:v>0</x:v>
      </x:c>
      <x:c r="N404" s="14" t="n">
        <x:f>IFERROR((G404-$K404)/$K404,"")</x:f>
        <x:v>0.48476454293628807</x:v>
      </x:c>
      <x:c r="O404" s="14" t="n">
        <x:f>IFERROR((H404-$K404)/$K404,"")</x:f>
        <x:v>0.4695290858725762</x:v>
      </x:c>
      <x:c r="P404" s="14" t="n">
        <x:f>IFERROR((I404-$K404)/$K404,"")</x:f>
        <x:v>0.48753462603878117</x:v>
      </x:c>
      <x:c r="Q404" s="14" t="n">
        <x:f>IFERROR((J404-$K404)/$K404,"")</x:f>
        <x:v>0.045706371191135735</x:v>
      </x:c>
      <x:c r="R404" t="n">
        <x:f>--(F404=$K404)</x:f>
        <x:v>1</x:v>
      </x:c>
      <x:c r="S404" t="n">
        <x:f>--(G404=$K404)</x:f>
        <x:v>0</x:v>
      </x:c>
      <x:c r="T404" t="n">
        <x:f>--(H404=$K404)</x:f>
        <x:v>0</x:v>
      </x:c>
      <x:c r="U404" t="n">
        <x:f>--(I404=$K404)</x:f>
        <x:v>0</x:v>
      </x:c>
      <x:c r="V404" t="n">
        <x:f>--(J404=$K404)</x:f>
        <x:v>0</x:v>
      </x:c>
    </x:row>
    <x:row r="405" ht="18" customHeight="1">
      <x:c r="A405" t="str">
        <x:v>bpps_d10000n200m5w1500_3000s1000_2000f1_seed1</x:v>
      </x:c>
      <x:c r="B405" s="16" t="n">
        <x:v>200</x:v>
      </x:c>
      <x:c r="C405" s="16" t="n">
        <x:v>5</x:v>
      </x:c>
      <x:c r="D405" s="16" t="n">
        <x:v>10000</x:v>
      </x:c>
      <x:c r="E405" s="16" t="n">
        <x:v>1983</x:v>
      </x:c>
      <x:c r="F405" s="12" t="n">
        <x:v>688</x:v>
      </x:c>
      <x:c r="G405" s="12" t="n">
        <x:v>948</x:v>
      </x:c>
      <x:c r="H405" s="12" t="n">
        <x:v>949</x:v>
      </x:c>
      <x:c r="I405" s="12" t="n">
        <x:v>967</x:v>
      </x:c>
      <x:c r="J405" s="12" t="n">
        <x:v>726</x:v>
      </x:c>
      <x:c r="K405" s="12" t="n">
        <x:f>MIN(F405:J405)</x:f>
        <x:v>688</x:v>
      </x:c>
      <x:c r="L405" t="str">
        <x:f>TEXTJOIN(", ",TRUE,IF(F405=K405,"IG",""),IF(G405=K405,"FFD",""),IF(H405=K405,"BFD",""),IF(I405=K405,"WFD",""),IF(J405=K405,"CTP",""))</x:f>
        <x:v>IG</x:v>
      </x:c>
      <x:c r="M405" s="14" t="n">
        <x:f>IFERROR((F405-$K405)/$K405,"")</x:f>
        <x:v>0</x:v>
      </x:c>
      <x:c r="N405" s="14" t="n">
        <x:f>IFERROR((G405-$K405)/$K405,"")</x:f>
        <x:v>0.37790697674418605</x:v>
      </x:c>
      <x:c r="O405" s="14" t="n">
        <x:f>IFERROR((H405-$K405)/$K405,"")</x:f>
        <x:v>0.3793604651162791</x:v>
      </x:c>
      <x:c r="P405" s="14" t="n">
        <x:f>IFERROR((I405-$K405)/$K405,"")</x:f>
        <x:v>0.4055232558139535</x:v>
      </x:c>
      <x:c r="Q405" s="14" t="n">
        <x:f>IFERROR((J405-$K405)/$K405,"")</x:f>
        <x:v>0.055232558139534885</x:v>
      </x:c>
      <x:c r="R405" t="n">
        <x:f>--(F405=$K405)</x:f>
        <x:v>1</x:v>
      </x:c>
      <x:c r="S405" t="n">
        <x:f>--(G405=$K405)</x:f>
        <x:v>0</x:v>
      </x:c>
      <x:c r="T405" t="n">
        <x:f>--(H405=$K405)</x:f>
        <x:v>0</x:v>
      </x:c>
      <x:c r="U405" t="n">
        <x:f>--(I405=$K405)</x:f>
        <x:v>0</x:v>
      </x:c>
      <x:c r="V405" t="n">
        <x:f>--(J405=$K405)</x:f>
        <x:v>0</x:v>
      </x:c>
    </x:row>
    <x:row r="406" ht="18" customHeight="1">
      <x:c r="A406" t="str">
        <x:v>bpps_d10000n200m5w1500_3000s100_1000f0_seed0</x:v>
      </x:c>
      <x:c r="B406" s="16" t="n">
        <x:v>200</x:v>
      </x:c>
      <x:c r="C406" s="16" t="n">
        <x:v>5</x:v>
      </x:c>
      <x:c r="D406" s="16" t="n">
        <x:v>10000</x:v>
      </x:c>
      <x:c r="E406" s="16" t="n">
        <x:v>2014</x:v>
      </x:c>
      <x:c r="F406" s="12" t="n">
        <x:v>52</x:v>
      </x:c>
      <x:c r="G406" s="12" t="n">
        <x:v>56</x:v>
      </x:c>
      <x:c r="H406" s="12" t="n">
        <x:v>56</x:v>
      </x:c>
      <x:c r="I406" s="12" t="n">
        <x:v>56</x:v>
      </x:c>
      <x:c r="J406" s="12" t="n">
        <x:v>53</x:v>
      </x:c>
      <x:c r="K406" s="12" t="n">
        <x:f>MIN(F406:J406)</x:f>
        <x:v>52</x:v>
      </x:c>
      <x:c r="L406" t="str">
        <x:f>TEXTJOIN(", ",TRUE,IF(F406=K406,"IG",""),IF(G406=K406,"FFD",""),IF(H406=K406,"BFD",""),IF(I406=K406,"WFD",""),IF(J406=K406,"CTP",""))</x:f>
        <x:v>IG</x:v>
      </x:c>
      <x:c r="M406" s="14" t="n">
        <x:f>IFERROR((F406-$K406)/$K406,"")</x:f>
        <x:v>0</x:v>
      </x:c>
      <x:c r="N406" s="14" t="n">
        <x:f>IFERROR((G406-$K406)/$K406,"")</x:f>
        <x:v>0.07692307692307693</x:v>
      </x:c>
      <x:c r="O406" s="14" t="n">
        <x:f>IFERROR((H406-$K406)/$K406,"")</x:f>
        <x:v>0.07692307692307693</x:v>
      </x:c>
      <x:c r="P406" s="14" t="n">
        <x:f>IFERROR((I406-$K406)/$K406,"")</x:f>
        <x:v>0.07692307692307693</x:v>
      </x:c>
      <x:c r="Q406" s="14" t="n">
        <x:f>IFERROR((J406-$K406)/$K406,"")</x:f>
        <x:v>0.019230769230769232</x:v>
      </x:c>
      <x:c r="R406" t="n">
        <x:f>--(F406=$K406)</x:f>
        <x:v>1</x:v>
      </x:c>
      <x:c r="S406" t="n">
        <x:f>--(G406=$K406)</x:f>
        <x:v>0</x:v>
      </x:c>
      <x:c r="T406" t="n">
        <x:f>--(H406=$K406)</x:f>
        <x:v>0</x:v>
      </x:c>
      <x:c r="U406" t="n">
        <x:f>--(I406=$K406)</x:f>
        <x:v>0</x:v>
      </x:c>
      <x:c r="V406" t="n">
        <x:f>--(J406=$K406)</x:f>
        <x:v>0</x:v>
      </x:c>
    </x:row>
    <x:row r="407" ht="18" customHeight="1">
      <x:c r="A407" t="str">
        <x:v>bpps_d10000n200m5w1500_3000s100_1000f0_seed1</x:v>
      </x:c>
      <x:c r="B407" s="16" t="n">
        <x:v>200</x:v>
      </x:c>
      <x:c r="C407" s="16" t="n">
        <x:v>5</x:v>
      </x:c>
      <x:c r="D407" s="16" t="n">
        <x:v>10000</x:v>
      </x:c>
      <x:c r="E407" s="16" t="n">
        <x:v>1979</x:v>
      </x:c>
      <x:c r="F407" s="12" t="n">
        <x:v>51</x:v>
      </x:c>
      <x:c r="G407" s="12" t="n">
        <x:v>54</x:v>
      </x:c>
      <x:c r="H407" s="12" t="n">
        <x:v>55</x:v>
      </x:c>
      <x:c r="I407" s="12" t="n">
        <x:v>55</x:v>
      </x:c>
      <x:c r="J407" s="12" t="n">
        <x:v>53</x:v>
      </x:c>
      <x:c r="K407" s="12" t="n">
        <x:f>MIN(F407:J407)</x:f>
        <x:v>51</x:v>
      </x:c>
      <x:c r="L407" t="str">
        <x:f>TEXTJOIN(", ",TRUE,IF(F407=K407,"IG",""),IF(G407=K407,"FFD",""),IF(H407=K407,"BFD",""),IF(I407=K407,"WFD",""),IF(J407=K407,"CTP",""))</x:f>
        <x:v>IG</x:v>
      </x:c>
      <x:c r="M407" s="14" t="n">
        <x:f>IFERROR((F407-$K407)/$K407,"")</x:f>
        <x:v>0</x:v>
      </x:c>
      <x:c r="N407" s="14" t="n">
        <x:f>IFERROR((G407-$K407)/$K407,"")</x:f>
        <x:v>0.058823529411764705</x:v>
      </x:c>
      <x:c r="O407" s="14" t="n">
        <x:f>IFERROR((H407-$K407)/$K407,"")</x:f>
        <x:v>0.0784313725490196</x:v>
      </x:c>
      <x:c r="P407" s="14" t="n">
        <x:f>IFERROR((I407-$K407)/$K407,"")</x:f>
        <x:v>0.0784313725490196</x:v>
      </x:c>
      <x:c r="Q407" s="14" t="n">
        <x:f>IFERROR((J407-$K407)/$K407,"")</x:f>
        <x:v>0.0392156862745098</x:v>
      </x:c>
      <x:c r="R407" t="n">
        <x:f>--(F407=$K407)</x:f>
        <x:v>1</x:v>
      </x:c>
      <x:c r="S407" t="n">
        <x:f>--(G407=$K407)</x:f>
        <x:v>0</x:v>
      </x:c>
      <x:c r="T407" t="n">
        <x:f>--(H407=$K407)</x:f>
        <x:v>0</x:v>
      </x:c>
      <x:c r="U407" t="n">
        <x:f>--(I407=$K407)</x:f>
        <x:v>0</x:v>
      </x:c>
      <x:c r="V407" t="n">
        <x:f>--(J407=$K407)</x:f>
        <x:v>0</x:v>
      </x:c>
    </x:row>
    <x:row r="408" ht="18" customHeight="1">
      <x:c r="A408" t="str">
        <x:v>bpps_d10000n200m5w1500_3000s100_1000f1_seed0</x:v>
      </x:c>
      <x:c r="B408" s="16" t="n">
        <x:v>200</x:v>
      </x:c>
      <x:c r="C408" s="16" t="n">
        <x:v>5</x:v>
      </x:c>
      <x:c r="D408" s="16" t="n">
        <x:v>10000</x:v>
      </x:c>
      <x:c r="E408" s="16" t="n">
        <x:v>1966</x:v>
      </x:c>
      <x:c r="F408" s="12" t="n">
        <x:v>638</x:v>
      </x:c>
      <x:c r="G408" s="12" t="n">
        <x:v>903</x:v>
      </x:c>
      <x:c r="H408" s="12" t="n">
        <x:v>920</x:v>
      </x:c>
      <x:c r="I408" s="12" t="n">
        <x:v>922</x:v>
      </x:c>
      <x:c r="J408" s="12" t="n">
        <x:v>663</x:v>
      </x:c>
      <x:c r="K408" s="12" t="n">
        <x:f>MIN(F408:J408)</x:f>
        <x:v>638</x:v>
      </x:c>
      <x:c r="L408" t="str">
        <x:f>TEXTJOIN(", ",TRUE,IF(F408=K408,"IG",""),IF(G408=K408,"FFD",""),IF(H408=K408,"BFD",""),IF(I408=K408,"WFD",""),IF(J408=K408,"CTP",""))</x:f>
        <x:v>IG</x:v>
      </x:c>
      <x:c r="M408" s="14" t="n">
        <x:f>IFERROR((F408-$K408)/$K408,"")</x:f>
        <x:v>0</x:v>
      </x:c>
      <x:c r="N408" s="14" t="n">
        <x:f>IFERROR((G408-$K408)/$K408,"")</x:f>
        <x:v>0.4153605015673981</x:v>
      </x:c>
      <x:c r="O408" s="14" t="n">
        <x:f>IFERROR((H408-$K408)/$K408,"")</x:f>
        <x:v>0.44200626959247646</x:v>
      </x:c>
      <x:c r="P408" s="14" t="n">
        <x:f>IFERROR((I408-$K408)/$K408,"")</x:f>
        <x:v>0.445141065830721</x:v>
      </x:c>
      <x:c r="Q408" s="14" t="n">
        <x:f>IFERROR((J408-$K408)/$K408,"")</x:f>
        <x:v>0.03918495297805643</x:v>
      </x:c>
      <x:c r="R408" t="n">
        <x:f>--(F408=$K408)</x:f>
        <x:v>1</x:v>
      </x:c>
      <x:c r="S408" t="n">
        <x:f>--(G408=$K408)</x:f>
        <x:v>0</x:v>
      </x:c>
      <x:c r="T408" t="n">
        <x:f>--(H408=$K408)</x:f>
        <x:v>0</x:v>
      </x:c>
      <x:c r="U408" t="n">
        <x:f>--(I408=$K408)</x:f>
        <x:v>0</x:v>
      </x:c>
      <x:c r="V408" t="n">
        <x:f>--(J408=$K408)</x:f>
        <x:v>0</x:v>
      </x:c>
    </x:row>
    <x:row r="409" ht="18" customHeight="1">
      <x:c r="A409" t="str">
        <x:v>bpps_d10000n200m5w1500_3000s100_1000f1_seed1</x:v>
      </x:c>
      <x:c r="B409" s="16" t="n">
        <x:v>200</x:v>
      </x:c>
      <x:c r="C409" s="16" t="n">
        <x:v>5</x:v>
      </x:c>
      <x:c r="D409" s="16" t="n">
        <x:v>10000</x:v>
      </x:c>
      <x:c r="E409" s="16" t="n">
        <x:v>1983</x:v>
      </x:c>
      <x:c r="F409" s="12" t="n">
        <x:v>613</x:v>
      </x:c>
      <x:c r="G409" s="12" t="n">
        <x:v>870</x:v>
      </x:c>
      <x:c r="H409" s="12" t="n">
        <x:v>874</x:v>
      </x:c>
      <x:c r="I409" s="12" t="n">
        <x:v>895</x:v>
      </x:c>
      <x:c r="J409" s="12" t="n">
        <x:v>654</x:v>
      </x:c>
      <x:c r="K409" s="12" t="n">
        <x:f>MIN(F409:J409)</x:f>
        <x:v>613</x:v>
      </x:c>
      <x:c r="L409" t="str">
        <x:f>TEXTJOIN(", ",TRUE,IF(F409=K409,"IG",""),IF(G409=K409,"FFD",""),IF(H409=K409,"BFD",""),IF(I409=K409,"WFD",""),IF(J409=K409,"CTP",""))</x:f>
        <x:v>IG</x:v>
      </x:c>
      <x:c r="M409" s="14" t="n">
        <x:f>IFERROR((F409-$K409)/$K409,"")</x:f>
        <x:v>0</x:v>
      </x:c>
      <x:c r="N409" s="14" t="n">
        <x:f>IFERROR((G409-$K409)/$K409,"")</x:f>
        <x:v>0.4192495921696574</x:v>
      </x:c>
      <x:c r="O409" s="14" t="n">
        <x:f>IFERROR((H409-$K409)/$K409,"")</x:f>
        <x:v>0.4257748776508972</x:v>
      </x:c>
      <x:c r="P409" s="14" t="n">
        <x:f>IFERROR((I409-$K409)/$K409,"")</x:f>
        <x:v>0.4600326264274062</x:v>
      </x:c>
      <x:c r="Q409" s="14" t="n">
        <x:f>IFERROR((J409-$K409)/$K409,"")</x:f>
        <x:v>0.06688417618270799</x:v>
      </x:c>
      <x:c r="R409" t="n">
        <x:f>--(F409=$K409)</x:f>
        <x:v>1</x:v>
      </x:c>
      <x:c r="S409" t="n">
        <x:f>--(G409=$K409)</x:f>
        <x:v>0</x:v>
      </x:c>
      <x:c r="T409" t="n">
        <x:f>--(H409=$K409)</x:f>
        <x:v>0</x:v>
      </x:c>
      <x:c r="U409" t="n">
        <x:f>--(I409=$K409)</x:f>
        <x:v>0</x:v>
      </x:c>
      <x:c r="V409" t="n">
        <x:f>--(J409=$K409)</x:f>
        <x:v>0</x:v>
      </x:c>
    </x:row>
    <x:row r="410" ht="18" customHeight="1">
      <x:c r="A410" t="str">
        <x:v>bpps_d10000n200m5w500_1500s1000_2000f0_seed0</x:v>
      </x:c>
      <x:c r="B410" s="16" t="n">
        <x:v>200</x:v>
      </x:c>
      <x:c r="C410" s="16" t="n">
        <x:v>5</x:v>
      </x:c>
      <x:c r="D410" s="16" t="n">
        <x:v>10000</x:v>
      </x:c>
      <x:c r="E410" s="16" t="n">
        <x:v>1971</x:v>
      </x:c>
      <x:c r="F410" s="12" t="n">
        <x:v>26</x:v>
      </x:c>
      <x:c r="G410" s="12" t="n">
        <x:v>37</x:v>
      </x:c>
      <x:c r="H410" s="12" t="n">
        <x:v>37</x:v>
      </x:c>
      <x:c r="I410" s="12" t="n">
        <x:v>35</x:v>
      </x:c>
      <x:c r="J410" s="12" t="n">
        <x:v>27</x:v>
      </x:c>
      <x:c r="K410" s="12" t="n">
        <x:f>MIN(F410:J410)</x:f>
        <x:v>26</x:v>
      </x:c>
      <x:c r="L410" t="str">
        <x:f>TEXTJOIN(", ",TRUE,IF(F410=K410,"IG",""),IF(G410=K410,"FFD",""),IF(H410=K410,"BFD",""),IF(I410=K410,"WFD",""),IF(J410=K410,"CTP",""))</x:f>
        <x:v>IG</x:v>
      </x:c>
      <x:c r="M410" s="14" t="n">
        <x:f>IFERROR((F410-$K410)/$K410,"")</x:f>
        <x:v>0</x:v>
      </x:c>
      <x:c r="N410" s="14" t="n">
        <x:f>IFERROR((G410-$K410)/$K410,"")</x:f>
        <x:v>0.4230769230769231</x:v>
      </x:c>
      <x:c r="O410" s="14" t="n">
        <x:f>IFERROR((H410-$K410)/$K410,"")</x:f>
        <x:v>0.4230769230769231</x:v>
      </x:c>
      <x:c r="P410" s="14" t="n">
        <x:f>IFERROR((I410-$K410)/$K410,"")</x:f>
        <x:v>0.34615384615384615</x:v>
      </x:c>
      <x:c r="Q410" s="14" t="n">
        <x:f>IFERROR((J410-$K410)/$K410,"")</x:f>
        <x:v>0.038461538461538464</x:v>
      </x:c>
      <x:c r="R410" t="n">
        <x:f>--(F410=$K410)</x:f>
        <x:v>1</x:v>
      </x:c>
      <x:c r="S410" t="n">
        <x:f>--(G410=$K410)</x:f>
        <x:v>0</x:v>
      </x:c>
      <x:c r="T410" t="n">
        <x:f>--(H410=$K410)</x:f>
        <x:v>0</x:v>
      </x:c>
      <x:c r="U410" t="n">
        <x:f>--(I410=$K410)</x:f>
        <x:v>0</x:v>
      </x:c>
      <x:c r="V410" t="n">
        <x:f>--(J410=$K410)</x:f>
        <x:v>0</x:v>
      </x:c>
    </x:row>
    <x:row r="411" ht="18" customHeight="1">
      <x:c r="A411" t="str">
        <x:v>bpps_d10000n200m5w500_1500s1000_2000f0_seed1</x:v>
      </x:c>
      <x:c r="B411" s="16" t="n">
        <x:v>200</x:v>
      </x:c>
      <x:c r="C411" s="16" t="n">
        <x:v>5</x:v>
      </x:c>
      <x:c r="D411" s="16" t="n">
        <x:v>10000</x:v>
      </x:c>
      <x:c r="E411" s="16" t="n">
        <x:v>1993</x:v>
      </x:c>
      <x:c r="F411" s="12" t="n">
        <x:v>26</x:v>
      </x:c>
      <x:c r="G411" s="12" t="n">
        <x:v>37</x:v>
      </x:c>
      <x:c r="H411" s="12" t="n">
        <x:v>38</x:v>
      </x:c>
      <x:c r="I411" s="12" t="n">
        <x:v>37</x:v>
      </x:c>
      <x:c r="J411" s="12" t="n">
        <x:v>29</x:v>
      </x:c>
      <x:c r="K411" s="12" t="n">
        <x:f>MIN(F411:J411)</x:f>
        <x:v>26</x:v>
      </x:c>
      <x:c r="L411" t="str">
        <x:f>TEXTJOIN(", ",TRUE,IF(F411=K411,"IG",""),IF(G411=K411,"FFD",""),IF(H411=K411,"BFD",""),IF(I411=K411,"WFD",""),IF(J411=K411,"CTP",""))</x:f>
        <x:v>IG</x:v>
      </x:c>
      <x:c r="M411" s="14" t="n">
        <x:f>IFERROR((F411-$K411)/$K411,"")</x:f>
        <x:v>0</x:v>
      </x:c>
      <x:c r="N411" s="14" t="n">
        <x:f>IFERROR((G411-$K411)/$K411,"")</x:f>
        <x:v>0.4230769230769231</x:v>
      </x:c>
      <x:c r="O411" s="14" t="n">
        <x:f>IFERROR((H411-$K411)/$K411,"")</x:f>
        <x:v>0.46153846153846156</x:v>
      </x:c>
      <x:c r="P411" s="14" t="n">
        <x:f>IFERROR((I411-$K411)/$K411,"")</x:f>
        <x:v>0.4230769230769231</x:v>
      </x:c>
      <x:c r="Q411" s="14" t="n">
        <x:f>IFERROR((J411-$K411)/$K411,"")</x:f>
        <x:v>0.11538461538461539</x:v>
      </x:c>
      <x:c r="R411" t="n">
        <x:f>--(F411=$K411)</x:f>
        <x:v>1</x:v>
      </x:c>
      <x:c r="S411" t="n">
        <x:f>--(G411=$K411)</x:f>
        <x:v>0</x:v>
      </x:c>
      <x:c r="T411" t="n">
        <x:f>--(H411=$K411)</x:f>
        <x:v>0</x:v>
      </x:c>
      <x:c r="U411" t="n">
        <x:f>--(I411=$K411)</x:f>
        <x:v>0</x:v>
      </x:c>
      <x:c r="V411" t="n">
        <x:f>--(J411=$K411)</x:f>
        <x:v>0</x:v>
      </x:c>
    </x:row>
    <x:row r="412" ht="18" customHeight="1">
      <x:c r="A412" t="str">
        <x:v>bpps_d10000n200m5w500_1500s1000_2000f1_seed0</x:v>
      </x:c>
      <x:c r="B412" s="16" t="n">
        <x:v>200</x:v>
      </x:c>
      <x:c r="C412" s="16" t="n">
        <x:v>5</x:v>
      </x:c>
      <x:c r="D412" s="16" t="n">
        <x:v>10000</x:v>
      </x:c>
      <x:c r="E412" s="16" t="n">
        <x:v>2020</x:v>
      </x:c>
      <x:c r="F412" s="12" t="n">
        <x:v>343</x:v>
      </x:c>
      <x:c r="G412" s="12" t="n">
        <x:v>673</x:v>
      </x:c>
      <x:c r="H412" s="12" t="n">
        <x:v>686</x:v>
      </x:c>
      <x:c r="I412" s="12" t="n">
        <x:v>678</x:v>
      </x:c>
      <x:c r="J412" s="12" t="n">
        <x:v>386</x:v>
      </x:c>
      <x:c r="K412" s="12" t="n">
        <x:f>MIN(F412:J412)</x:f>
        <x:v>343</x:v>
      </x:c>
      <x:c r="L412" t="str">
        <x:f>TEXTJOIN(", ",TRUE,IF(F412=K412,"IG",""),IF(G412=K412,"FFD",""),IF(H412=K412,"BFD",""),IF(I412=K412,"WFD",""),IF(J412=K412,"CTP",""))</x:f>
        <x:v>IG</x:v>
      </x:c>
      <x:c r="M412" s="14" t="n">
        <x:f>IFERROR((F412-$K412)/$K412,"")</x:f>
        <x:v>0</x:v>
      </x:c>
      <x:c r="N412" s="14" t="n">
        <x:f>IFERROR((G412-$K412)/$K412,"")</x:f>
        <x:v>0.9620991253644315</x:v>
      </x:c>
      <x:c r="O412" s="14" t="n">
        <x:f>IFERROR((H412-$K412)/$K412,"")</x:f>
        <x:v>1</x:v>
      </x:c>
      <x:c r="P412" s="14" t="n">
        <x:f>IFERROR((I412-$K412)/$K412,"")</x:f>
        <x:v>0.9766763848396501</x:v>
      </x:c>
      <x:c r="Q412" s="14" t="n">
        <x:f>IFERROR((J412-$K412)/$K412,"")</x:f>
        <x:v>0.12536443148688048</x:v>
      </x:c>
      <x:c r="R412" t="n">
        <x:f>--(F412=$K412)</x:f>
        <x:v>1</x:v>
      </x:c>
      <x:c r="S412" t="n">
        <x:f>--(G412=$K412)</x:f>
        <x:v>0</x:v>
      </x:c>
      <x:c r="T412" t="n">
        <x:f>--(H412=$K412)</x:f>
        <x:v>0</x:v>
      </x:c>
      <x:c r="U412" t="n">
        <x:f>--(I412=$K412)</x:f>
        <x:v>0</x:v>
      </x:c>
      <x:c r="V412" t="n">
        <x:f>--(J412=$K412)</x:f>
        <x:v>0</x:v>
      </x:c>
    </x:row>
    <x:row r="413" ht="18" customHeight="1">
      <x:c r="A413" t="str">
        <x:v>bpps_d10000n200m5w500_1500s1000_2000f1_seed1</x:v>
      </x:c>
      <x:c r="B413" s="16" t="n">
        <x:v>200</x:v>
      </x:c>
      <x:c r="C413" s="16" t="n">
        <x:v>5</x:v>
      </x:c>
      <x:c r="D413" s="16" t="n">
        <x:v>10000</x:v>
      </x:c>
      <x:c r="E413" s="16" t="n">
        <x:v>1972</x:v>
      </x:c>
      <x:c r="F413" s="12" t="n">
        <x:v>331</x:v>
      </x:c>
      <x:c r="G413" s="12" t="n">
        <x:v>628</x:v>
      </x:c>
      <x:c r="H413" s="12" t="n">
        <x:v>670</x:v>
      </x:c>
      <x:c r="I413" s="12" t="n">
        <x:v>664</x:v>
      </x:c>
      <x:c r="J413" s="12" t="n">
        <x:v>363</x:v>
      </x:c>
      <x:c r="K413" s="12" t="n">
        <x:f>MIN(F413:J413)</x:f>
        <x:v>331</x:v>
      </x:c>
      <x:c r="L413" t="str">
        <x:f>TEXTJOIN(", ",TRUE,IF(F413=K413,"IG",""),IF(G413=K413,"FFD",""),IF(H413=K413,"BFD",""),IF(I413=K413,"WFD",""),IF(J413=K413,"CTP",""))</x:f>
        <x:v>IG</x:v>
      </x:c>
      <x:c r="M413" s="14" t="n">
        <x:f>IFERROR((F413-$K413)/$K413,"")</x:f>
        <x:v>0</x:v>
      </x:c>
      <x:c r="N413" s="14" t="n">
        <x:f>IFERROR((G413-$K413)/$K413,"")</x:f>
        <x:v>0.8972809667673716</x:v>
      </x:c>
      <x:c r="O413" s="14" t="n">
        <x:f>IFERROR((H413-$K413)/$K413,"")</x:f>
        <x:v>1.0241691842900302</x:v>
      </x:c>
      <x:c r="P413" s="14" t="n">
        <x:f>IFERROR((I413-$K413)/$K413,"")</x:f>
        <x:v>1.0060422960725075</x:v>
      </x:c>
      <x:c r="Q413" s="14" t="n">
        <x:f>IFERROR((J413-$K413)/$K413,"")</x:f>
        <x:v>0.09667673716012085</x:v>
      </x:c>
      <x:c r="R413" t="n">
        <x:f>--(F413=$K413)</x:f>
        <x:v>1</x:v>
      </x:c>
      <x:c r="S413" t="n">
        <x:f>--(G413=$K413)</x:f>
        <x:v>0</x:v>
      </x:c>
      <x:c r="T413" t="n">
        <x:f>--(H413=$K413)</x:f>
        <x:v>0</x:v>
      </x:c>
      <x:c r="U413" t="n">
        <x:f>--(I413=$K413)</x:f>
        <x:v>0</x:v>
      </x:c>
      <x:c r="V413" t="n">
        <x:f>--(J413=$K413)</x:f>
        <x:v>0</x:v>
      </x:c>
    </x:row>
    <x:row r="414" ht="18" customHeight="1">
      <x:c r="A414" t="str">
        <x:v>bpps_d10000n200m5w500_1500s100_1000f0_seed0</x:v>
      </x:c>
      <x:c r="B414" s="16" t="n">
        <x:v>200</x:v>
      </x:c>
      <x:c r="C414" s="16" t="n">
        <x:v>5</x:v>
      </x:c>
      <x:c r="D414" s="16" t="n">
        <x:v>10000</x:v>
      </x:c>
      <x:c r="E414" s="16" t="n">
        <x:v>1933</x:v>
      </x:c>
      <x:c r="F414" s="12" t="n">
        <x:v>24</x:v>
      </x:c>
      <x:c r="G414" s="12" t="n">
        <x:v>27</x:v>
      </x:c>
      <x:c r="H414" s="12" t="n">
        <x:v>27</x:v>
      </x:c>
      <x:c r="I414" s="12" t="n">
        <x:v>27</x:v>
      </x:c>
      <x:c r="J414" s="12" t="n">
        <x:v>26</x:v>
      </x:c>
      <x:c r="K414" s="12" t="n">
        <x:f>MIN(F414:J414)</x:f>
        <x:v>24</x:v>
      </x:c>
      <x:c r="L414" t="str">
        <x:f>TEXTJOIN(", ",TRUE,IF(F414=K414,"IG",""),IF(G414=K414,"FFD",""),IF(H414=K414,"BFD",""),IF(I414=K414,"WFD",""),IF(J414=K414,"CTP",""))</x:f>
        <x:v>IG</x:v>
      </x:c>
      <x:c r="M414" s="14" t="n">
        <x:f>IFERROR((F414-$K414)/$K414,"")</x:f>
        <x:v>0</x:v>
      </x:c>
      <x:c r="N414" s="14" t="n">
        <x:f>IFERROR((G414-$K414)/$K414,"")</x:f>
        <x:v>0.125</x:v>
      </x:c>
      <x:c r="O414" s="14" t="n">
        <x:f>IFERROR((H414-$K414)/$K414,"")</x:f>
        <x:v>0.125</x:v>
      </x:c>
      <x:c r="P414" s="14" t="n">
        <x:f>IFERROR((I414-$K414)/$K414,"")</x:f>
        <x:v>0.125</x:v>
      </x:c>
      <x:c r="Q414" s="14" t="n">
        <x:f>IFERROR((J414-$K414)/$K414,"")</x:f>
        <x:v>0.08333333333333333</x:v>
      </x:c>
      <x:c r="R414" t="n">
        <x:f>--(F414=$K414)</x:f>
        <x:v>1</x:v>
      </x:c>
      <x:c r="S414" t="n">
        <x:f>--(G414=$K414)</x:f>
        <x:v>0</x:v>
      </x:c>
      <x:c r="T414" t="n">
        <x:f>--(H414=$K414)</x:f>
        <x:v>0</x:v>
      </x:c>
      <x:c r="U414" t="n">
        <x:f>--(I414=$K414)</x:f>
        <x:v>0</x:v>
      </x:c>
      <x:c r="V414" t="n">
        <x:f>--(J414=$K414)</x:f>
        <x:v>0</x:v>
      </x:c>
    </x:row>
    <x:row r="415" ht="18" customHeight="1">
      <x:c r="A415" t="str">
        <x:v>bpps_d10000n200m5w500_1500s100_1000f0_seed1</x:v>
      </x:c>
      <x:c r="B415" s="16" t="n">
        <x:v>200</x:v>
      </x:c>
      <x:c r="C415" s="16" t="n">
        <x:v>5</x:v>
      </x:c>
      <x:c r="D415" s="16" t="n">
        <x:v>10000</x:v>
      </x:c>
      <x:c r="E415" s="16" t="n">
        <x:v>2008</x:v>
      </x:c>
      <x:c r="F415" s="12" t="n">
        <x:v>23</x:v>
      </x:c>
      <x:c r="G415" s="12" t="n">
        <x:v>26</x:v>
      </x:c>
      <x:c r="H415" s="12" t="n">
        <x:v>26</x:v>
      </x:c>
      <x:c r="I415" s="12" t="n">
        <x:v>26</x:v>
      </x:c>
      <x:c r="J415" s="12" t="n">
        <x:v>25</x:v>
      </x:c>
      <x:c r="K415" s="12" t="n">
        <x:f>MIN(F415:J415)</x:f>
        <x:v>23</x:v>
      </x:c>
      <x:c r="L415" t="str">
        <x:f>TEXTJOIN(", ",TRUE,IF(F415=K415,"IG",""),IF(G415=K415,"FFD",""),IF(H415=K415,"BFD",""),IF(I415=K415,"WFD",""),IF(J415=K415,"CTP",""))</x:f>
        <x:v>IG</x:v>
      </x:c>
      <x:c r="M415" s="14" t="n">
        <x:f>IFERROR((F415-$K415)/$K415,"")</x:f>
        <x:v>0</x:v>
      </x:c>
      <x:c r="N415" s="14" t="n">
        <x:f>IFERROR((G415-$K415)/$K415,"")</x:f>
        <x:v>0.13043478260869565</x:v>
      </x:c>
      <x:c r="O415" s="14" t="n">
        <x:f>IFERROR((H415-$K415)/$K415,"")</x:f>
        <x:v>0.13043478260869565</x:v>
      </x:c>
      <x:c r="P415" s="14" t="n">
        <x:f>IFERROR((I415-$K415)/$K415,"")</x:f>
        <x:v>0.13043478260869565</x:v>
      </x:c>
      <x:c r="Q415" s="14" t="n">
        <x:f>IFERROR((J415-$K415)/$K415,"")</x:f>
        <x:v>0.08695652173913043</x:v>
      </x:c>
      <x:c r="R415" t="n">
        <x:f>--(F415=$K415)</x:f>
        <x:v>1</x:v>
      </x:c>
      <x:c r="S415" t="n">
        <x:f>--(G415=$K415)</x:f>
        <x:v>0</x:v>
      </x:c>
      <x:c r="T415" t="n">
        <x:f>--(H415=$K415)</x:f>
        <x:v>0</x:v>
      </x:c>
      <x:c r="U415" t="n">
        <x:f>--(I415=$K415)</x:f>
        <x:v>0</x:v>
      </x:c>
      <x:c r="V415" t="n">
        <x:f>--(J415=$K415)</x:f>
        <x:v>0</x:v>
      </x:c>
    </x:row>
    <x:row r="416" ht="18" customHeight="1">
      <x:c r="A416" t="str">
        <x:v>bpps_d10000n200m5w500_1500s100_1000f1_seed0</x:v>
      </x:c>
      <x:c r="B416" s="16" t="n">
        <x:v>200</x:v>
      </x:c>
      <x:c r="C416" s="16" t="n">
        <x:v>5</x:v>
      </x:c>
      <x:c r="D416" s="16" t="n">
        <x:v>10000</x:v>
      </x:c>
      <x:c r="E416" s="16" t="n">
        <x:v>1995</x:v>
      </x:c>
      <x:c r="F416" s="12" t="n">
        <x:v>311</x:v>
      </x:c>
      <x:c r="G416" s="12" t="n">
        <x:v>572</x:v>
      </x:c>
      <x:c r="H416" s="12" t="n">
        <x:v>584</x:v>
      </x:c>
      <x:c r="I416" s="12" t="n">
        <x:v>548</x:v>
      </x:c>
      <x:c r="J416" s="12" t="n">
        <x:v>365</x:v>
      </x:c>
      <x:c r="K416" s="12" t="n">
        <x:f>MIN(F416:J416)</x:f>
        <x:v>311</x:v>
      </x:c>
      <x:c r="L416" t="str">
        <x:f>TEXTJOIN(", ",TRUE,IF(F416=K416,"IG",""),IF(G416=K416,"FFD",""),IF(H416=K416,"BFD",""),IF(I416=K416,"WFD",""),IF(J416=K416,"CTP",""))</x:f>
        <x:v>IG</x:v>
      </x:c>
      <x:c r="M416" s="14" t="n">
        <x:f>IFERROR((F416-$K416)/$K416,"")</x:f>
        <x:v>0</x:v>
      </x:c>
      <x:c r="N416" s="14" t="n">
        <x:f>IFERROR((G416-$K416)/$K416,"")</x:f>
        <x:v>0.8392282958199357</x:v>
      </x:c>
      <x:c r="O416" s="14" t="n">
        <x:f>IFERROR((H416-$K416)/$K416,"")</x:f>
        <x:v>0.8778135048231511</x:v>
      </x:c>
      <x:c r="P416" s="14" t="n">
        <x:f>IFERROR((I416-$K416)/$K416,"")</x:f>
        <x:v>0.7620578778135049</x:v>
      </x:c>
      <x:c r="Q416" s="14" t="n">
        <x:f>IFERROR((J416-$K416)/$K416,"")</x:f>
        <x:v>0.17363344051446947</x:v>
      </x:c>
      <x:c r="R416" t="n">
        <x:f>--(F416=$K416)</x:f>
        <x:v>1</x:v>
      </x:c>
      <x:c r="S416" t="n">
        <x:f>--(G416=$K416)</x:f>
        <x:v>0</x:v>
      </x:c>
      <x:c r="T416" t="n">
        <x:f>--(H416=$K416)</x:f>
        <x:v>0</x:v>
      </x:c>
      <x:c r="U416" t="n">
        <x:f>--(I416=$K416)</x:f>
        <x:v>0</x:v>
      </x:c>
      <x:c r="V416" t="n">
        <x:f>--(J416=$K416)</x:f>
        <x:v>0</x:v>
      </x:c>
    </x:row>
    <x:row r="417" ht="18" customHeight="1">
      <x:c r="A417" t="str">
        <x:v>bpps_d10000n200m5w500_1500s100_1000f1_seed1</x:v>
      </x:c>
      <x:c r="B417" s="16" t="n">
        <x:v>200</x:v>
      </x:c>
      <x:c r="C417" s="16" t="n">
        <x:v>5</x:v>
      </x:c>
      <x:c r="D417" s="16" t="n">
        <x:v>10000</x:v>
      </x:c>
      <x:c r="E417" s="16" t="n">
        <x:v>2119</x:v>
      </x:c>
      <x:c r="F417" s="12" t="n">
        <x:v>301</x:v>
      </x:c>
      <x:c r="G417" s="12" t="n">
        <x:v>521</x:v>
      </x:c>
      <x:c r="H417" s="12" t="n">
        <x:v>530</x:v>
      </x:c>
      <x:c r="I417" s="12" t="n">
        <x:v>515</x:v>
      </x:c>
      <x:c r="J417" s="12" t="n">
        <x:v>336</x:v>
      </x:c>
      <x:c r="K417" s="12" t="n">
        <x:f>MIN(F417:J417)</x:f>
        <x:v>301</x:v>
      </x:c>
      <x:c r="L417" t="str">
        <x:f>TEXTJOIN(", ",TRUE,IF(F417=K417,"IG",""),IF(G417=K417,"FFD",""),IF(H417=K417,"BFD",""),IF(I417=K417,"WFD",""),IF(J417=K417,"CTP",""))</x:f>
        <x:v>IG</x:v>
      </x:c>
      <x:c r="M417" s="14" t="n">
        <x:f>IFERROR((F417-$K417)/$K417,"")</x:f>
        <x:v>0</x:v>
      </x:c>
      <x:c r="N417" s="14" t="n">
        <x:f>IFERROR((G417-$K417)/$K417,"")</x:f>
        <x:v>0.7308970099667774</x:v>
      </x:c>
      <x:c r="O417" s="14" t="n">
        <x:f>IFERROR((H417-$K417)/$K417,"")</x:f>
        <x:v>0.760797342192691</x:v>
      </x:c>
      <x:c r="P417" s="14" t="n">
        <x:f>IFERROR((I417-$K417)/$K417,"")</x:f>
        <x:v>0.7109634551495017</x:v>
      </x:c>
      <x:c r="Q417" s="14" t="n">
        <x:f>IFERROR((J417-$K417)/$K417,"")</x:f>
        <x:v>0.11627906976744186</x:v>
      </x:c>
      <x:c r="R417" t="n">
        <x:f>--(F417=$K417)</x:f>
        <x:v>1</x:v>
      </x:c>
      <x:c r="S417" t="n">
        <x:f>--(G417=$K417)</x:f>
        <x:v>0</x:v>
      </x:c>
      <x:c r="T417" t="n">
        <x:f>--(H417=$K417)</x:f>
        <x:v>0</x:v>
      </x:c>
      <x:c r="U417" t="n">
        <x:f>--(I417=$K417)</x:f>
        <x:v>0</x:v>
      </x:c>
      <x:c r="V417" t="n">
        <x:f>--(J417=$K417)</x:f>
        <x:v>0</x:v>
      </x:c>
    </x:row>
    <x:row r="418" ht="18" customHeight="1">
      <x:c r="A418" t="str">
        <x:v>bpps_d1000n200m10w150_300s100_200f0_seed0</x:v>
      </x:c>
      <x:c r="B418" s="16" t="n">
        <x:v>200</x:v>
      </x:c>
      <x:c r="C418" s="16" t="n">
        <x:v>10</x:v>
      </x:c>
      <x:c r="D418" s="16" t="n">
        <x:v>1000</x:v>
      </x:c>
      <x:c r="E418" s="16" t="n">
        <x:v>1946</x:v>
      </x:c>
      <x:c r="F418" s="12" t="n">
        <x:v>58</x:v>
      </x:c>
      <x:c r="G418" s="12" t="n">
        <x:v>68</x:v>
      </x:c>
      <x:c r="H418" s="12" t="n">
        <x:v>68</x:v>
      </x:c>
      <x:c r="I418" s="12" t="n">
        <x:v>69</x:v>
      </x:c>
      <x:c r="J418" s="12" t="n">
        <x:v>58</x:v>
      </x:c>
      <x:c r="K418" s="12" t="n">
        <x:f>MIN(F418:J418)</x:f>
        <x:v>58</x:v>
      </x:c>
      <x:c r="L418" t="str">
        <x:f>TEXTJOIN(", ",TRUE,IF(F418=K418,"IG",""),IF(G418=K418,"FFD",""),IF(H418=K418,"BFD",""),IF(I418=K418,"WFD",""),IF(J418=K418,"CTP",""))</x:f>
        <x:v>IG, CTP</x:v>
      </x:c>
      <x:c r="M418" s="14" t="n">
        <x:f>IFERROR((F418-$K418)/$K418,"")</x:f>
        <x:v>0</x:v>
      </x:c>
      <x:c r="N418" s="14" t="n">
        <x:f>IFERROR((G418-$K418)/$K418,"")</x:f>
        <x:v>0.1724137931034483</x:v>
      </x:c>
      <x:c r="O418" s="14" t="n">
        <x:f>IFERROR((H418-$K418)/$K418,"")</x:f>
        <x:v>0.1724137931034483</x:v>
      </x:c>
      <x:c r="P418" s="14" t="n">
        <x:f>IFERROR((I418-$K418)/$K418,"")</x:f>
        <x:v>0.1896551724137931</x:v>
      </x:c>
      <x:c r="Q418" s="14" t="n">
        <x:f>IFERROR((J418-$K418)/$K418,"")</x:f>
        <x:v>0</x:v>
      </x:c>
      <x:c r="R418" t="n">
        <x:f>--(F418=$K418)</x:f>
        <x:v>1</x:v>
      </x:c>
      <x:c r="S418" t="n">
        <x:f>--(G418=$K418)</x:f>
        <x:v>0</x:v>
      </x:c>
      <x:c r="T418" t="n">
        <x:f>--(H418=$K418)</x:f>
        <x:v>0</x:v>
      </x:c>
      <x:c r="U418" t="n">
        <x:f>--(I418=$K418)</x:f>
        <x:v>0</x:v>
      </x:c>
      <x:c r="V418" t="n">
        <x:f>--(J418=$K418)</x:f>
        <x:v>1</x:v>
      </x:c>
    </x:row>
    <x:row r="419" ht="18" customHeight="1">
      <x:c r="A419" t="str">
        <x:v>bpps_d1000n200m10w150_300s100_200f0_seed1</x:v>
      </x:c>
      <x:c r="B419" s="16" t="n">
        <x:v>200</x:v>
      </x:c>
      <x:c r="C419" s="16" t="n">
        <x:v>10</x:v>
      </x:c>
      <x:c r="D419" s="16" t="n">
        <x:v>1000</x:v>
      </x:c>
      <x:c r="E419" s="16" t="n">
        <x:v>1982</x:v>
      </x:c>
      <x:c r="F419" s="12" t="n">
        <x:v>58</x:v>
      </x:c>
      <x:c r="G419" s="12" t="n">
        <x:v>70</x:v>
      </x:c>
      <x:c r="H419" s="12" t="n">
        <x:v>70</x:v>
      </x:c>
      <x:c r="I419" s="12" t="n">
        <x:v>70</x:v>
      </x:c>
      <x:c r="J419" s="12" t="n">
        <x:v>59</x:v>
      </x:c>
      <x:c r="K419" s="12" t="n">
        <x:f>MIN(F419:J419)</x:f>
        <x:v>58</x:v>
      </x:c>
      <x:c r="L419" t="str">
        <x:f>TEXTJOIN(", ",TRUE,IF(F419=K419,"IG",""),IF(G419=K419,"FFD",""),IF(H419=K419,"BFD",""),IF(I419=K419,"WFD",""),IF(J419=K419,"CTP",""))</x:f>
        <x:v>IG</x:v>
      </x:c>
      <x:c r="M419" s="14" t="n">
        <x:f>IFERROR((F419-$K419)/$K419,"")</x:f>
        <x:v>0</x:v>
      </x:c>
      <x:c r="N419" s="14" t="n">
        <x:f>IFERROR((G419-$K419)/$K419,"")</x:f>
        <x:v>0.20689655172413793</x:v>
      </x:c>
      <x:c r="O419" s="14" t="n">
        <x:f>IFERROR((H419-$K419)/$K419,"")</x:f>
        <x:v>0.20689655172413793</x:v>
      </x:c>
      <x:c r="P419" s="14" t="n">
        <x:f>IFERROR((I419-$K419)/$K419,"")</x:f>
        <x:v>0.20689655172413793</x:v>
      </x:c>
      <x:c r="Q419" s="14" t="n">
        <x:f>IFERROR((J419-$K419)/$K419,"")</x:f>
        <x:v>0.017241379310344827</x:v>
      </x:c>
      <x:c r="R419" t="n">
        <x:f>--(F419=$K419)</x:f>
        <x:v>1</x:v>
      </x:c>
      <x:c r="S419" t="n">
        <x:f>--(G419=$K419)</x:f>
        <x:v>0</x:v>
      </x:c>
      <x:c r="T419" t="n">
        <x:f>--(H419=$K419)</x:f>
        <x:v>0</x:v>
      </x:c>
      <x:c r="U419" t="n">
        <x:f>--(I419=$K419)</x:f>
        <x:v>0</x:v>
      </x:c>
      <x:c r="V419" t="n">
        <x:f>--(J419=$K419)</x:f>
        <x:v>0</x:v>
      </x:c>
    </x:row>
    <x:row r="420" ht="18" customHeight="1">
      <x:c r="A420" t="str">
        <x:v>bpps_d1000n200m10w150_300s100_200f1_seed0</x:v>
      </x:c>
      <x:c r="B420" s="16" t="n">
        <x:v>200</x:v>
      </x:c>
      <x:c r="C420" s="16" t="n">
        <x:v>10</x:v>
      </x:c>
      <x:c r="D420" s="16" t="n">
        <x:v>1000</x:v>
      </x:c>
      <x:c r="E420" s="16" t="n">
        <x:v>2090</x:v>
      </x:c>
      <x:c r="F420" s="12" t="n">
        <x:v>784</x:v>
      </x:c>
      <x:c r="G420" s="12" t="n">
        <x:v>1238</x:v>
      </x:c>
      <x:c r="H420" s="12" t="n">
        <x:v>1241</x:v>
      </x:c>
      <x:c r="I420" s="12" t="n">
        <x:v>1265</x:v>
      </x:c>
      <x:c r="J420" s="12" t="n">
        <x:v>818</x:v>
      </x:c>
      <x:c r="K420" s="12" t="n">
        <x:f>MIN(F420:J420)</x:f>
        <x:v>784</x:v>
      </x:c>
      <x:c r="L420" t="str">
        <x:f>TEXTJOIN(", ",TRUE,IF(F420=K420,"IG",""),IF(G420=K420,"FFD",""),IF(H420=K420,"BFD",""),IF(I420=K420,"WFD",""),IF(J420=K420,"CTP",""))</x:f>
        <x:v>IG</x:v>
      </x:c>
      <x:c r="M420" s="14" t="n">
        <x:f>IFERROR((F420-$K420)/$K420,"")</x:f>
        <x:v>0</x:v>
      </x:c>
      <x:c r="N420" s="14" t="n">
        <x:f>IFERROR((G420-$K420)/$K420,"")</x:f>
        <x:v>0.5790816326530612</x:v>
      </x:c>
      <x:c r="O420" s="14" t="n">
        <x:f>IFERROR((H420-$K420)/$K420,"")</x:f>
        <x:v>0.5829081632653061</x:v>
      </x:c>
      <x:c r="P420" s="14" t="n">
        <x:f>IFERROR((I420-$K420)/$K420,"")</x:f>
        <x:v>0.6135204081632653</x:v>
      </x:c>
      <x:c r="Q420" s="14" t="n">
        <x:f>IFERROR((J420-$K420)/$K420,"")</x:f>
        <x:v>0.04336734693877551</x:v>
      </x:c>
      <x:c r="R420" t="n">
        <x:f>--(F420=$K420)</x:f>
        <x:v>1</x:v>
      </x:c>
      <x:c r="S420" t="n">
        <x:f>--(G420=$K420)</x:f>
        <x:v>0</x:v>
      </x:c>
      <x:c r="T420" t="n">
        <x:f>--(H420=$K420)</x:f>
        <x:v>0</x:v>
      </x:c>
      <x:c r="U420" t="n">
        <x:f>--(I420=$K420)</x:f>
        <x:v>0</x:v>
      </x:c>
      <x:c r="V420" t="n">
        <x:f>--(J420=$K420)</x:f>
        <x:v>0</x:v>
      </x:c>
    </x:row>
    <x:row r="421" ht="18" customHeight="1">
      <x:c r="A421" t="str">
        <x:v>bpps_d1000n200m10w150_300s100_200f1_seed1</x:v>
      </x:c>
      <x:c r="B421" s="16" t="n">
        <x:v>200</x:v>
      </x:c>
      <x:c r="C421" s="16" t="n">
        <x:v>10</x:v>
      </x:c>
      <x:c r="D421" s="16" t="n">
        <x:v>1000</x:v>
      </x:c>
      <x:c r="E421" s="16" t="n">
        <x:v>2022</x:v>
      </x:c>
      <x:c r="F421" s="12" t="n">
        <x:v>729</x:v>
      </x:c>
      <x:c r="G421" s="12" t="n">
        <x:v>1107</x:v>
      </x:c>
      <x:c r="H421" s="12" t="n">
        <x:v>1117</x:v>
      </x:c>
      <x:c r="I421" s="12" t="n">
        <x:v>1103</x:v>
      </x:c>
      <x:c r="J421" s="12" t="n">
        <x:v>756</x:v>
      </x:c>
      <x:c r="K421" s="12" t="n">
        <x:f>MIN(F421:J421)</x:f>
        <x:v>729</x:v>
      </x:c>
      <x:c r="L421" t="str">
        <x:f>TEXTJOIN(", ",TRUE,IF(F421=K421,"IG",""),IF(G421=K421,"FFD",""),IF(H421=K421,"BFD",""),IF(I421=K421,"WFD",""),IF(J421=K421,"CTP",""))</x:f>
        <x:v>IG</x:v>
      </x:c>
      <x:c r="M421" s="14" t="n">
        <x:f>IFERROR((F421-$K421)/$K421,"")</x:f>
        <x:v>0</x:v>
      </x:c>
      <x:c r="N421" s="14" t="n">
        <x:f>IFERROR((G421-$K421)/$K421,"")</x:f>
        <x:v>0.5185185185185185</x:v>
      </x:c>
      <x:c r="O421" s="14" t="n">
        <x:f>IFERROR((H421-$K421)/$K421,"")</x:f>
        <x:v>0.532235939643347</x:v>
      </x:c>
      <x:c r="P421" s="14" t="n">
        <x:f>IFERROR((I421-$K421)/$K421,"")</x:f>
        <x:v>0.5130315500685871</x:v>
      </x:c>
      <x:c r="Q421" s="14" t="n">
        <x:f>IFERROR((J421-$K421)/$K421,"")</x:f>
        <x:v>0.037037037037037035</x:v>
      </x:c>
      <x:c r="R421" t="n">
        <x:f>--(F421=$K421)</x:f>
        <x:v>1</x:v>
      </x:c>
      <x:c r="S421" t="n">
        <x:f>--(G421=$K421)</x:f>
        <x:v>0</x:v>
      </x:c>
      <x:c r="T421" t="n">
        <x:f>--(H421=$K421)</x:f>
        <x:v>0</x:v>
      </x:c>
      <x:c r="U421" t="n">
        <x:f>--(I421=$K421)</x:f>
        <x:v>0</x:v>
      </x:c>
      <x:c r="V421" t="n">
        <x:f>--(J421=$K421)</x:f>
        <x:v>0</x:v>
      </x:c>
    </x:row>
    <x:row r="422" ht="18" customHeight="1">
      <x:c r="A422" t="str">
        <x:v>bpps_d1000n200m10w150_300s10_100f0_seed0</x:v>
      </x:c>
      <x:c r="B422" s="16" t="n">
        <x:v>200</x:v>
      </x:c>
      <x:c r="C422" s="16" t="n">
        <x:v>10</x:v>
      </x:c>
      <x:c r="D422" s="16" t="n">
        <x:v>1000</x:v>
      </x:c>
      <x:c r="E422" s="16" t="n">
        <x:v>1946</x:v>
      </x:c>
      <x:c r="F422" s="12" t="n">
        <x:v>51</x:v>
      </x:c>
      <x:c r="G422" s="12" t="n">
        <x:v>56</x:v>
      </x:c>
      <x:c r="H422" s="12" t="n">
        <x:v>56</x:v>
      </x:c>
      <x:c r="I422" s="12" t="n">
        <x:v>56</x:v>
      </x:c>
      <x:c r="J422" s="12" t="n">
        <x:v>52</x:v>
      </x:c>
      <x:c r="K422" s="12" t="n">
        <x:f>MIN(F422:J422)</x:f>
        <x:v>51</x:v>
      </x:c>
      <x:c r="L422" t="str">
        <x:f>TEXTJOIN(", ",TRUE,IF(F422=K422,"IG",""),IF(G422=K422,"FFD",""),IF(H422=K422,"BFD",""),IF(I422=K422,"WFD",""),IF(J422=K422,"CTP",""))</x:f>
        <x:v>IG</x:v>
      </x:c>
      <x:c r="M422" s="14" t="n">
        <x:f>IFERROR((F422-$K422)/$K422,"")</x:f>
        <x:v>0</x:v>
      </x:c>
      <x:c r="N422" s="14" t="n">
        <x:f>IFERROR((G422-$K422)/$K422,"")</x:f>
        <x:v>0.09803921568627451</x:v>
      </x:c>
      <x:c r="O422" s="14" t="n">
        <x:f>IFERROR((H422-$K422)/$K422,"")</x:f>
        <x:v>0.09803921568627451</x:v>
      </x:c>
      <x:c r="P422" s="14" t="n">
        <x:f>IFERROR((I422-$K422)/$K422,"")</x:f>
        <x:v>0.09803921568627451</x:v>
      </x:c>
      <x:c r="Q422" s="14" t="n">
        <x:f>IFERROR((J422-$K422)/$K422,"")</x:f>
        <x:v>0.0196078431372549</x:v>
      </x:c>
      <x:c r="R422" t="n">
        <x:f>--(F422=$K422)</x:f>
        <x:v>1</x:v>
      </x:c>
      <x:c r="S422" t="n">
        <x:f>--(G422=$K422)</x:f>
        <x:v>0</x:v>
      </x:c>
      <x:c r="T422" t="n">
        <x:f>--(H422=$K422)</x:f>
        <x:v>0</x:v>
      </x:c>
      <x:c r="U422" t="n">
        <x:f>--(I422=$K422)</x:f>
        <x:v>0</x:v>
      </x:c>
      <x:c r="V422" t="n">
        <x:f>--(J422=$K422)</x:f>
        <x:v>0</x:v>
      </x:c>
    </x:row>
    <x:row r="423" ht="18" customHeight="1">
      <x:c r="A423" t="str">
        <x:v>bpps_d1000n200m10w150_300s10_100f0_seed1</x:v>
      </x:c>
      <x:c r="B423" s="16" t="n">
        <x:v>200</x:v>
      </x:c>
      <x:c r="C423" s="16" t="n">
        <x:v>10</x:v>
      </x:c>
      <x:c r="D423" s="16" t="n">
        <x:v>1000</x:v>
      </x:c>
      <x:c r="E423" s="16" t="n">
        <x:v>1969</x:v>
      </x:c>
      <x:c r="F423" s="12" t="n">
        <x:v>51</x:v>
      </x:c>
      <x:c r="G423" s="12" t="n">
        <x:v>56</x:v>
      </x:c>
      <x:c r="H423" s="12" t="n">
        <x:v>56</x:v>
      </x:c>
      <x:c r="I423" s="12" t="n">
        <x:v>56</x:v>
      </x:c>
      <x:c r="J423" s="12" t="n">
        <x:v>53</x:v>
      </x:c>
      <x:c r="K423" s="12" t="n">
        <x:f>MIN(F423:J423)</x:f>
        <x:v>51</x:v>
      </x:c>
      <x:c r="L423" t="str">
        <x:f>TEXTJOIN(", ",TRUE,IF(F423=K423,"IG",""),IF(G423=K423,"FFD",""),IF(H423=K423,"BFD",""),IF(I423=K423,"WFD",""),IF(J423=K423,"CTP",""))</x:f>
        <x:v>IG</x:v>
      </x:c>
      <x:c r="M423" s="14" t="n">
        <x:f>IFERROR((F423-$K423)/$K423,"")</x:f>
        <x:v>0</x:v>
      </x:c>
      <x:c r="N423" s="14" t="n">
        <x:f>IFERROR((G423-$K423)/$K423,"")</x:f>
        <x:v>0.09803921568627451</x:v>
      </x:c>
      <x:c r="O423" s="14" t="n">
        <x:f>IFERROR((H423-$K423)/$K423,"")</x:f>
        <x:v>0.09803921568627451</x:v>
      </x:c>
      <x:c r="P423" s="14" t="n">
        <x:f>IFERROR((I423-$K423)/$K423,"")</x:f>
        <x:v>0.09803921568627451</x:v>
      </x:c>
      <x:c r="Q423" s="14" t="n">
        <x:f>IFERROR((J423-$K423)/$K423,"")</x:f>
        <x:v>0.0392156862745098</x:v>
      </x:c>
      <x:c r="R423" t="n">
        <x:f>--(F423=$K423)</x:f>
        <x:v>1</x:v>
      </x:c>
      <x:c r="S423" t="n">
        <x:f>--(G423=$K423)</x:f>
        <x:v>0</x:v>
      </x:c>
      <x:c r="T423" t="n">
        <x:f>--(H423=$K423)</x:f>
        <x:v>0</x:v>
      </x:c>
      <x:c r="U423" t="n">
        <x:f>--(I423=$K423)</x:f>
        <x:v>0</x:v>
      </x:c>
      <x:c r="V423" t="n">
        <x:f>--(J423=$K423)</x:f>
        <x:v>0</x:v>
      </x:c>
    </x:row>
    <x:row r="424" ht="18" customHeight="1">
      <x:c r="A424" t="str">
        <x:v>bpps_d1000n200m10w150_300s10_100f1_seed0</x:v>
      </x:c>
      <x:c r="B424" s="16" t="n">
        <x:v>200</x:v>
      </x:c>
      <x:c r="C424" s="16" t="n">
        <x:v>10</x:v>
      </x:c>
      <x:c r="D424" s="16" t="n">
        <x:v>1000</x:v>
      </x:c>
      <x:c r="E424" s="16" t="n">
        <x:v>2027</x:v>
      </x:c>
      <x:c r="F424" s="12" t="n">
        <x:v>704</x:v>
      </x:c>
      <x:c r="G424" s="12" t="n">
        <x:v>1191</x:v>
      </x:c>
      <x:c r="H424" s="12" t="n">
        <x:v>1171</x:v>
      </x:c>
      <x:c r="I424" s="12" t="n">
        <x:v>1199</x:v>
      </x:c>
      <x:c r="J424" s="12" t="n">
        <x:v>750</x:v>
      </x:c>
      <x:c r="K424" s="12" t="n">
        <x:f>MIN(F424:J424)</x:f>
        <x:v>704</x:v>
      </x:c>
      <x:c r="L424" t="str">
        <x:f>TEXTJOIN(", ",TRUE,IF(F424=K424,"IG",""),IF(G424=K424,"FFD",""),IF(H424=K424,"BFD",""),IF(I424=K424,"WFD",""),IF(J424=K424,"CTP",""))</x:f>
        <x:v>IG</x:v>
      </x:c>
      <x:c r="M424" s="14" t="n">
        <x:f>IFERROR((F424-$K424)/$K424,"")</x:f>
        <x:v>0</x:v>
      </x:c>
      <x:c r="N424" s="14" t="n">
        <x:f>IFERROR((G424-$K424)/$K424,"")</x:f>
        <x:v>0.6917613636363636</x:v>
      </x:c>
      <x:c r="O424" s="14" t="n">
        <x:f>IFERROR((H424-$K424)/$K424,"")</x:f>
        <x:v>0.6633522727272727</x:v>
      </x:c>
      <x:c r="P424" s="14" t="n">
        <x:f>IFERROR((I424-$K424)/$K424,"")</x:f>
        <x:v>0.703125</x:v>
      </x:c>
      <x:c r="Q424" s="14" t="n">
        <x:f>IFERROR((J424-$K424)/$K424,"")</x:f>
        <x:v>0.06534090909090909</x:v>
      </x:c>
      <x:c r="R424" t="n">
        <x:f>--(F424=$K424)</x:f>
        <x:v>1</x:v>
      </x:c>
      <x:c r="S424" t="n">
        <x:f>--(G424=$K424)</x:f>
        <x:v>0</x:v>
      </x:c>
      <x:c r="T424" t="n">
        <x:f>--(H424=$K424)</x:f>
        <x:v>0</x:v>
      </x:c>
      <x:c r="U424" t="n">
        <x:f>--(I424=$K424)</x:f>
        <x:v>0</x:v>
      </x:c>
      <x:c r="V424" t="n">
        <x:f>--(J424=$K424)</x:f>
        <x:v>0</x:v>
      </x:c>
    </x:row>
    <x:row r="425" ht="18" customHeight="1">
      <x:c r="A425" t="str">
        <x:v>bpps_d1000n200m10w150_300s10_100f1_seed1</x:v>
      </x:c>
      <x:c r="B425" s="16" t="n">
        <x:v>200</x:v>
      </x:c>
      <x:c r="C425" s="16" t="n">
        <x:v>10</x:v>
      </x:c>
      <x:c r="D425" s="16" t="n">
        <x:v>1000</x:v>
      </x:c>
      <x:c r="E425" s="16" t="n">
        <x:v>1960</x:v>
      </x:c>
      <x:c r="F425" s="12" t="n">
        <x:v>633</x:v>
      </x:c>
      <x:c r="G425" s="12" t="n">
        <x:v>951</x:v>
      </x:c>
      <x:c r="H425" s="12" t="n">
        <x:v>954</x:v>
      </x:c>
      <x:c r="I425" s="12" t="n">
        <x:v>961</x:v>
      </x:c>
      <x:c r="J425" s="12" t="n">
        <x:v>679</x:v>
      </x:c>
      <x:c r="K425" s="12" t="n">
        <x:f>MIN(F425:J425)</x:f>
        <x:v>633</x:v>
      </x:c>
      <x:c r="L425" t="str">
        <x:f>TEXTJOIN(", ",TRUE,IF(F425=K425,"IG",""),IF(G425=K425,"FFD",""),IF(H425=K425,"BFD",""),IF(I425=K425,"WFD",""),IF(J425=K425,"CTP",""))</x:f>
        <x:v>IG</x:v>
      </x:c>
      <x:c r="M425" s="14" t="n">
        <x:f>IFERROR((F425-$K425)/$K425,"")</x:f>
        <x:v>0</x:v>
      </x:c>
      <x:c r="N425" s="14" t="n">
        <x:f>IFERROR((G425-$K425)/$K425,"")</x:f>
        <x:v>0.5023696682464455</x:v>
      </x:c>
      <x:c r="O425" s="14" t="n">
        <x:f>IFERROR((H425-$K425)/$K425,"")</x:f>
        <x:v>0.5071090047393365</x:v>
      </x:c>
      <x:c r="P425" s="14" t="n">
        <x:f>IFERROR((I425-$K425)/$K425,"")</x:f>
        <x:v>0.5181674565560821</x:v>
      </x:c>
      <x:c r="Q425" s="14" t="n">
        <x:f>IFERROR((J425-$K425)/$K425,"")</x:f>
        <x:v>0.07266982622432859</x:v>
      </x:c>
      <x:c r="R425" t="n">
        <x:f>--(F425=$K425)</x:f>
        <x:v>1</x:v>
      </x:c>
      <x:c r="S425" t="n">
        <x:f>--(G425=$K425)</x:f>
        <x:v>0</x:v>
      </x:c>
      <x:c r="T425" t="n">
        <x:f>--(H425=$K425)</x:f>
        <x:v>0</x:v>
      </x:c>
      <x:c r="U425" t="n">
        <x:f>--(I425=$K425)</x:f>
        <x:v>0</x:v>
      </x:c>
      <x:c r="V425" t="n">
        <x:f>--(J425=$K425)</x:f>
        <x:v>0</x:v>
      </x:c>
    </x:row>
    <x:row r="426" ht="18" customHeight="1">
      <x:c r="A426" t="str">
        <x:v>bpps_d1000n200m10w50_150s100_200f0_seed0</x:v>
      </x:c>
      <x:c r="B426" s="16" t="n">
        <x:v>200</x:v>
      </x:c>
      <x:c r="C426" s="16" t="n">
        <x:v>10</x:v>
      </x:c>
      <x:c r="D426" s="16" t="n">
        <x:v>1000</x:v>
      </x:c>
      <x:c r="E426" s="16" t="n">
        <x:v>1960</x:v>
      </x:c>
      <x:c r="F426" s="12" t="n">
        <x:v>27</x:v>
      </x:c>
      <x:c r="G426" s="12" t="n">
        <x:v>40</x:v>
      </x:c>
      <x:c r="H426" s="12" t="n">
        <x:v>40</x:v>
      </x:c>
      <x:c r="I426" s="12" t="n">
        <x:v>40</x:v>
      </x:c>
      <x:c r="J426" s="12" t="n">
        <x:v>28</x:v>
      </x:c>
      <x:c r="K426" s="12" t="n">
        <x:f>MIN(F426:J426)</x:f>
        <x:v>27</x:v>
      </x:c>
      <x:c r="L426" t="str">
        <x:f>TEXTJOIN(", ",TRUE,IF(F426=K426,"IG",""),IF(G426=K426,"FFD",""),IF(H426=K426,"BFD",""),IF(I426=K426,"WFD",""),IF(J426=K426,"CTP",""))</x:f>
        <x:v>IG</x:v>
      </x:c>
      <x:c r="M426" s="14" t="n">
        <x:f>IFERROR((F426-$K426)/$K426,"")</x:f>
        <x:v>0</x:v>
      </x:c>
      <x:c r="N426" s="14" t="n">
        <x:f>IFERROR((G426-$K426)/$K426,"")</x:f>
        <x:v>0.48148148148148145</x:v>
      </x:c>
      <x:c r="O426" s="14" t="n">
        <x:f>IFERROR((H426-$K426)/$K426,"")</x:f>
        <x:v>0.48148148148148145</x:v>
      </x:c>
      <x:c r="P426" s="14" t="n">
        <x:f>IFERROR((I426-$K426)/$K426,"")</x:f>
        <x:v>0.48148148148148145</x:v>
      </x:c>
      <x:c r="Q426" s="14" t="n">
        <x:f>IFERROR((J426-$K426)/$K426,"")</x:f>
        <x:v>0.037037037037037035</x:v>
      </x:c>
      <x:c r="R426" t="n">
        <x:f>--(F426=$K426)</x:f>
        <x:v>1</x:v>
      </x:c>
      <x:c r="S426" t="n">
        <x:f>--(G426=$K426)</x:f>
        <x:v>0</x:v>
      </x:c>
      <x:c r="T426" t="n">
        <x:f>--(H426=$K426)</x:f>
        <x:v>0</x:v>
      </x:c>
      <x:c r="U426" t="n">
        <x:f>--(I426=$K426)</x:f>
        <x:v>0</x:v>
      </x:c>
      <x:c r="V426" t="n">
        <x:f>--(J426=$K426)</x:f>
        <x:v>0</x:v>
      </x:c>
    </x:row>
    <x:row r="427" ht="18" customHeight="1">
      <x:c r="A427" t="str">
        <x:v>bpps_d1000n200m10w50_150s100_200f0_seed1</x:v>
      </x:c>
      <x:c r="B427" s="16" t="n">
        <x:v>200</x:v>
      </x:c>
      <x:c r="C427" s="16" t="n">
        <x:v>10</x:v>
      </x:c>
      <x:c r="D427" s="16" t="n">
        <x:v>1000</x:v>
      </x:c>
      <x:c r="E427" s="16" t="n">
        <x:v>1988</x:v>
      </x:c>
      <x:c r="F427" s="12" t="n">
        <x:v>28</x:v>
      </x:c>
      <x:c r="G427" s="12" t="n">
        <x:v>41</x:v>
      </x:c>
      <x:c r="H427" s="12" t="n">
        <x:v>42</x:v>
      </x:c>
      <x:c r="I427" s="12" t="n">
        <x:v>41</x:v>
      </x:c>
      <x:c r="J427" s="12" t="n">
        <x:v>29</x:v>
      </x:c>
      <x:c r="K427" s="12" t="n">
        <x:f>MIN(F427:J427)</x:f>
        <x:v>28</x:v>
      </x:c>
      <x:c r="L427" t="str">
        <x:f>TEXTJOIN(", ",TRUE,IF(F427=K427,"IG",""),IF(G427=K427,"FFD",""),IF(H427=K427,"BFD",""),IF(I427=K427,"WFD",""),IF(J427=K427,"CTP",""))</x:f>
        <x:v>IG</x:v>
      </x:c>
      <x:c r="M427" s="14" t="n">
        <x:f>IFERROR((F427-$K427)/$K427,"")</x:f>
        <x:v>0</x:v>
      </x:c>
      <x:c r="N427" s="14" t="n">
        <x:f>IFERROR((G427-$K427)/$K427,"")</x:f>
        <x:v>0.4642857142857143</x:v>
      </x:c>
      <x:c r="O427" s="14" t="n">
        <x:f>IFERROR((H427-$K427)/$K427,"")</x:f>
        <x:v>0.5</x:v>
      </x:c>
      <x:c r="P427" s="14" t="n">
        <x:f>IFERROR((I427-$K427)/$K427,"")</x:f>
        <x:v>0.4642857142857143</x:v>
      </x:c>
      <x:c r="Q427" s="14" t="n">
        <x:f>IFERROR((J427-$K427)/$K427,"")</x:f>
        <x:v>0.03571428571428571</x:v>
      </x:c>
      <x:c r="R427" t="n">
        <x:f>--(F427=$K427)</x:f>
        <x:v>1</x:v>
      </x:c>
      <x:c r="S427" t="n">
        <x:f>--(G427=$K427)</x:f>
        <x:v>0</x:v>
      </x:c>
      <x:c r="T427" t="n">
        <x:f>--(H427=$K427)</x:f>
        <x:v>0</x:v>
      </x:c>
      <x:c r="U427" t="n">
        <x:f>--(I427=$K427)</x:f>
        <x:v>0</x:v>
      </x:c>
      <x:c r="V427" t="n">
        <x:f>--(J427=$K427)</x:f>
        <x:v>0</x:v>
      </x:c>
    </x:row>
    <x:row r="428" ht="18" customHeight="1">
      <x:c r="A428" t="str">
        <x:v>bpps_d1000n200m10w50_150s100_200f1_seed0</x:v>
      </x:c>
      <x:c r="B428" s="16" t="n">
        <x:v>200</x:v>
      </x:c>
      <x:c r="C428" s="16" t="n">
        <x:v>10</x:v>
      </x:c>
      <x:c r="D428" s="16" t="n">
        <x:v>1000</x:v>
      </x:c>
      <x:c r="E428" s="16" t="n">
        <x:v>2057</x:v>
      </x:c>
      <x:c r="F428" s="12" t="n">
        <x:v>336</x:v>
      </x:c>
      <x:c r="G428" s="12" t="n">
        <x:v>697</x:v>
      </x:c>
      <x:c r="H428" s="12" t="n">
        <x:v>699</x:v>
      </x:c>
      <x:c r="I428" s="12" t="n">
        <x:v>677</x:v>
      </x:c>
      <x:c r="J428" s="12" t="n">
        <x:v>388</x:v>
      </x:c>
      <x:c r="K428" s="12" t="n">
        <x:f>MIN(F428:J428)</x:f>
        <x:v>336</x:v>
      </x:c>
      <x:c r="L428" t="str">
        <x:f>TEXTJOIN(", ",TRUE,IF(F428=K428,"IG",""),IF(G428=K428,"FFD",""),IF(H428=K428,"BFD",""),IF(I428=K428,"WFD",""),IF(J428=K428,"CTP",""))</x:f>
        <x:v>IG</x:v>
      </x:c>
      <x:c r="M428" s="14" t="n">
        <x:f>IFERROR((F428-$K428)/$K428,"")</x:f>
        <x:v>0</x:v>
      </x:c>
      <x:c r="N428" s="14" t="n">
        <x:f>IFERROR((G428-$K428)/$K428,"")</x:f>
        <x:v>1.0744047619047619</x:v>
      </x:c>
      <x:c r="O428" s="14" t="n">
        <x:f>IFERROR((H428-$K428)/$K428,"")</x:f>
        <x:v>1.0803571428571428</x:v>
      </x:c>
      <x:c r="P428" s="14" t="n">
        <x:f>IFERROR((I428-$K428)/$K428,"")</x:f>
        <x:v>1.0148809523809523</x:v>
      </x:c>
      <x:c r="Q428" s="14" t="n">
        <x:f>IFERROR((J428-$K428)/$K428,"")</x:f>
        <x:v>0.15476190476190477</x:v>
      </x:c>
      <x:c r="R428" t="n">
        <x:f>--(F428=$K428)</x:f>
        <x:v>1</x:v>
      </x:c>
      <x:c r="S428" t="n">
        <x:f>--(G428=$K428)</x:f>
        <x:v>0</x:v>
      </x:c>
      <x:c r="T428" t="n">
        <x:f>--(H428=$K428)</x:f>
        <x:v>0</x:v>
      </x:c>
      <x:c r="U428" t="n">
        <x:f>--(I428=$K428)</x:f>
        <x:v>0</x:v>
      </x:c>
      <x:c r="V428" t="n">
        <x:f>--(J428=$K428)</x:f>
        <x:v>0</x:v>
      </x:c>
    </x:row>
    <x:row r="429" ht="18" customHeight="1">
      <x:c r="A429" t="str">
        <x:v>bpps_d1000n200m10w50_150s100_200f1_seed1</x:v>
      </x:c>
      <x:c r="B429" s="16" t="n">
        <x:v>200</x:v>
      </x:c>
      <x:c r="C429" s="16" t="n">
        <x:v>10</x:v>
      </x:c>
      <x:c r="D429" s="16" t="n">
        <x:v>1000</x:v>
      </x:c>
      <x:c r="E429" s="16" t="n">
        <x:v>1939</x:v>
      </x:c>
      <x:c r="F429" s="12" t="n">
        <x:v>341</x:v>
      </x:c>
      <x:c r="G429" s="12" t="n">
        <x:v>739</x:v>
      </x:c>
      <x:c r="H429" s="12" t="n">
        <x:v>745</x:v>
      </x:c>
      <x:c r="I429" s="12" t="n">
        <x:v>723</x:v>
      </x:c>
      <x:c r="J429" s="12" t="n">
        <x:v>378</x:v>
      </x:c>
      <x:c r="K429" s="12" t="n">
        <x:f>MIN(F429:J429)</x:f>
        <x:v>341</x:v>
      </x:c>
      <x:c r="L429" t="str">
        <x:f>TEXTJOIN(", ",TRUE,IF(F429=K429,"IG",""),IF(G429=K429,"FFD",""),IF(H429=K429,"BFD",""),IF(I429=K429,"WFD",""),IF(J429=K429,"CTP",""))</x:f>
        <x:v>IG</x:v>
      </x:c>
      <x:c r="M429" s="14" t="n">
        <x:f>IFERROR((F429-$K429)/$K429,"")</x:f>
        <x:v>0</x:v>
      </x:c>
      <x:c r="N429" s="14" t="n">
        <x:f>IFERROR((G429-$K429)/$K429,"")</x:f>
        <x:v>1.1671554252199414</x:v>
      </x:c>
      <x:c r="O429" s="14" t="n">
        <x:f>IFERROR((H429-$K429)/$K429,"")</x:f>
        <x:v>1.18475073313783</x:v>
      </x:c>
      <x:c r="P429" s="14" t="n">
        <x:f>IFERROR((I429-$K429)/$K429,"")</x:f>
        <x:v>1.1202346041055717</x:v>
      </x:c>
      <x:c r="Q429" s="14" t="n">
        <x:f>IFERROR((J429-$K429)/$K429,"")</x:f>
        <x:v>0.10850439882697947</x:v>
      </x:c>
      <x:c r="R429" t="n">
        <x:f>--(F429=$K429)</x:f>
        <x:v>1</x:v>
      </x:c>
      <x:c r="S429" t="n">
        <x:f>--(G429=$K429)</x:f>
        <x:v>0</x:v>
      </x:c>
      <x:c r="T429" t="n">
        <x:f>--(H429=$K429)</x:f>
        <x:v>0</x:v>
      </x:c>
      <x:c r="U429" t="n">
        <x:f>--(I429=$K429)</x:f>
        <x:v>0</x:v>
      </x:c>
      <x:c r="V429" t="n">
        <x:f>--(J429=$K429)</x:f>
        <x:v>0</x:v>
      </x:c>
    </x:row>
    <x:row r="430" ht="18" customHeight="1">
      <x:c r="A430" t="str">
        <x:v>bpps_d1000n200m10w50_150s10_100f0_seed0</x:v>
      </x:c>
      <x:c r="B430" s="16" t="n">
        <x:v>200</x:v>
      </x:c>
      <x:c r="C430" s="16" t="n">
        <x:v>10</x:v>
      </x:c>
      <x:c r="D430" s="16" t="n">
        <x:v>1000</x:v>
      </x:c>
      <x:c r="E430" s="16" t="n">
        <x:v>1968</x:v>
      </x:c>
      <x:c r="F430" s="12" t="n">
        <x:v>23</x:v>
      </x:c>
      <x:c r="G430" s="12" t="n">
        <x:v>28</x:v>
      </x:c>
      <x:c r="H430" s="12" t="n">
        <x:v>28</x:v>
      </x:c>
      <x:c r="I430" s="12" t="n">
        <x:v>28</x:v>
      </x:c>
      <x:c r="J430" s="12" t="n">
        <x:v>25</x:v>
      </x:c>
      <x:c r="K430" s="12" t="n">
        <x:f>MIN(F430:J430)</x:f>
        <x:v>23</x:v>
      </x:c>
      <x:c r="L430" t="str">
        <x:f>TEXTJOIN(", ",TRUE,IF(F430=K430,"IG",""),IF(G430=K430,"FFD",""),IF(H430=K430,"BFD",""),IF(I430=K430,"WFD",""),IF(J430=K430,"CTP",""))</x:f>
        <x:v>IG</x:v>
      </x:c>
      <x:c r="M430" s="14" t="n">
        <x:f>IFERROR((F430-$K430)/$K430,"")</x:f>
        <x:v>0</x:v>
      </x:c>
      <x:c r="N430" s="14" t="n">
        <x:f>IFERROR((G430-$K430)/$K430,"")</x:f>
        <x:v>0.21739130434782608</x:v>
      </x:c>
      <x:c r="O430" s="14" t="n">
        <x:f>IFERROR((H430-$K430)/$K430,"")</x:f>
        <x:v>0.21739130434782608</x:v>
      </x:c>
      <x:c r="P430" s="14" t="n">
        <x:f>IFERROR((I430-$K430)/$K430,"")</x:f>
        <x:v>0.21739130434782608</x:v>
      </x:c>
      <x:c r="Q430" s="14" t="n">
        <x:f>IFERROR((J430-$K430)/$K430,"")</x:f>
        <x:v>0.08695652173913043</x:v>
      </x:c>
      <x:c r="R430" t="n">
        <x:f>--(F430=$K430)</x:f>
        <x:v>1</x:v>
      </x:c>
      <x:c r="S430" t="n">
        <x:f>--(G430=$K430)</x:f>
        <x:v>0</x:v>
      </x:c>
      <x:c r="T430" t="n">
        <x:f>--(H430=$K430)</x:f>
        <x:v>0</x:v>
      </x:c>
      <x:c r="U430" t="n">
        <x:f>--(I430=$K430)</x:f>
        <x:v>0</x:v>
      </x:c>
      <x:c r="V430" t="n">
        <x:f>--(J430=$K430)</x:f>
        <x:v>0</x:v>
      </x:c>
    </x:row>
    <x:row r="431" ht="18" customHeight="1">
      <x:c r="A431" t="str">
        <x:v>bpps_d1000n200m10w50_150s10_100f0_seed1</x:v>
      </x:c>
      <x:c r="B431" s="16" t="n">
        <x:v>200</x:v>
      </x:c>
      <x:c r="C431" s="16" t="n">
        <x:v>10</x:v>
      </x:c>
      <x:c r="D431" s="16" t="n">
        <x:v>1000</x:v>
      </x:c>
      <x:c r="E431" s="16" t="n">
        <x:v>2036</x:v>
      </x:c>
      <x:c r="F431" s="12" t="n">
        <x:v>24</x:v>
      </x:c>
      <x:c r="G431" s="12" t="n">
        <x:v>29</x:v>
      </x:c>
      <x:c r="H431" s="12" t="n">
        <x:v>29</x:v>
      </x:c>
      <x:c r="I431" s="12" t="n">
        <x:v>29</x:v>
      </x:c>
      <x:c r="J431" s="12" t="n">
        <x:v>25</x:v>
      </x:c>
      <x:c r="K431" s="12" t="n">
        <x:f>MIN(F431:J431)</x:f>
        <x:v>24</x:v>
      </x:c>
      <x:c r="L431" t="str">
        <x:f>TEXTJOIN(", ",TRUE,IF(F431=K431,"IG",""),IF(G431=K431,"FFD",""),IF(H431=K431,"BFD",""),IF(I431=K431,"WFD",""),IF(J431=K431,"CTP",""))</x:f>
        <x:v>IG</x:v>
      </x:c>
      <x:c r="M431" s="14" t="n">
        <x:f>IFERROR((F431-$K431)/$K431,"")</x:f>
        <x:v>0</x:v>
      </x:c>
      <x:c r="N431" s="14" t="n">
        <x:f>IFERROR((G431-$K431)/$K431,"")</x:f>
        <x:v>0.20833333333333334</x:v>
      </x:c>
      <x:c r="O431" s="14" t="n">
        <x:f>IFERROR((H431-$K431)/$K431,"")</x:f>
        <x:v>0.20833333333333334</x:v>
      </x:c>
      <x:c r="P431" s="14" t="n">
        <x:f>IFERROR((I431-$K431)/$K431,"")</x:f>
        <x:v>0.20833333333333334</x:v>
      </x:c>
      <x:c r="Q431" s="14" t="n">
        <x:f>IFERROR((J431-$K431)/$K431,"")</x:f>
        <x:v>0.041666666666666664</x:v>
      </x:c>
      <x:c r="R431" t="n">
        <x:f>--(F431=$K431)</x:f>
        <x:v>1</x:v>
      </x:c>
      <x:c r="S431" t="n">
        <x:f>--(G431=$K431)</x:f>
        <x:v>0</x:v>
      </x:c>
      <x:c r="T431" t="n">
        <x:f>--(H431=$K431)</x:f>
        <x:v>0</x:v>
      </x:c>
      <x:c r="U431" t="n">
        <x:f>--(I431=$K431)</x:f>
        <x:v>0</x:v>
      </x:c>
      <x:c r="V431" t="n">
        <x:f>--(J431=$K431)</x:f>
        <x:v>0</x:v>
      </x:c>
    </x:row>
    <x:row r="432" ht="18" customHeight="1">
      <x:c r="A432" t="str">
        <x:v>bpps_d1000n200m10w50_150s10_100f1_seed0</x:v>
      </x:c>
      <x:c r="B432" s="16" t="n">
        <x:v>200</x:v>
      </x:c>
      <x:c r="C432" s="16" t="n">
        <x:v>10</x:v>
      </x:c>
      <x:c r="D432" s="16" t="n">
        <x:v>1000</x:v>
      </x:c>
      <x:c r="E432" s="16" t="n">
        <x:v>1980</x:v>
      </x:c>
      <x:c r="F432" s="12" t="n">
        <x:v>306</x:v>
      </x:c>
      <x:c r="G432" s="12" t="n">
        <x:v>572</x:v>
      </x:c>
      <x:c r="H432" s="12" t="n">
        <x:v>589</x:v>
      </x:c>
      <x:c r="I432" s="12" t="n">
        <x:v>577</x:v>
      </x:c>
      <x:c r="J432" s="12" t="n">
        <x:v>332</x:v>
      </x:c>
      <x:c r="K432" s="12" t="n">
        <x:f>MIN(F432:J432)</x:f>
        <x:v>306</x:v>
      </x:c>
      <x:c r="L432" t="str">
        <x:f>TEXTJOIN(", ",TRUE,IF(F432=K432,"IG",""),IF(G432=K432,"FFD",""),IF(H432=K432,"BFD",""),IF(I432=K432,"WFD",""),IF(J432=K432,"CTP",""))</x:f>
        <x:v>IG</x:v>
      </x:c>
      <x:c r="M432" s="14" t="n">
        <x:f>IFERROR((F432-$K432)/$K432,"")</x:f>
        <x:v>0</x:v>
      </x:c>
      <x:c r="N432" s="14" t="n">
        <x:f>IFERROR((G432-$K432)/$K432,"")</x:f>
        <x:v>0.869281045751634</x:v>
      </x:c>
      <x:c r="O432" s="14" t="n">
        <x:f>IFERROR((H432-$K432)/$K432,"")</x:f>
        <x:v>0.9248366013071896</x:v>
      </x:c>
      <x:c r="P432" s="14" t="n">
        <x:f>IFERROR((I432-$K432)/$K432,"")</x:f>
        <x:v>0.8856209150326797</x:v>
      </x:c>
      <x:c r="Q432" s="14" t="n">
        <x:f>IFERROR((J432-$K432)/$K432,"")</x:f>
        <x:v>0.08496732026143791</x:v>
      </x:c>
      <x:c r="R432" t="n">
        <x:f>--(F432=$K432)</x:f>
        <x:v>1</x:v>
      </x:c>
      <x:c r="S432" t="n">
        <x:f>--(G432=$K432)</x:f>
        <x:v>0</x:v>
      </x:c>
      <x:c r="T432" t="n">
        <x:f>--(H432=$K432)</x:f>
        <x:v>0</x:v>
      </x:c>
      <x:c r="U432" t="n">
        <x:f>--(I432=$K432)</x:f>
        <x:v>0</x:v>
      </x:c>
      <x:c r="V432" t="n">
        <x:f>--(J432=$K432)</x:f>
        <x:v>0</x:v>
      </x:c>
    </x:row>
    <x:row r="433" ht="18" customHeight="1">
      <x:c r="A433" t="str">
        <x:v>bpps_d1000n200m10w50_150s10_100f1_seed1</x:v>
      </x:c>
      <x:c r="B433" s="16" t="n">
        <x:v>200</x:v>
      </x:c>
      <x:c r="C433" s="16" t="n">
        <x:v>10</x:v>
      </x:c>
      <x:c r="D433" s="16" t="n">
        <x:v>1000</x:v>
      </x:c>
      <x:c r="E433" s="16" t="n">
        <x:v>1972</x:v>
      </x:c>
      <x:c r="F433" s="12" t="n">
        <x:v>306</x:v>
      </x:c>
      <x:c r="G433" s="12" t="n">
        <x:v>632</x:v>
      </x:c>
      <x:c r="H433" s="12" t="n">
        <x:v>611</x:v>
      </x:c>
      <x:c r="I433" s="12" t="n">
        <x:v>589</x:v>
      </x:c>
      <x:c r="J433" s="12" t="n">
        <x:v>326</x:v>
      </x:c>
      <x:c r="K433" s="12" t="n">
        <x:f>MIN(F433:J433)</x:f>
        <x:v>306</x:v>
      </x:c>
      <x:c r="L433" t="str">
        <x:f>TEXTJOIN(", ",TRUE,IF(F433=K433,"IG",""),IF(G433=K433,"FFD",""),IF(H433=K433,"BFD",""),IF(I433=K433,"WFD",""),IF(J433=K433,"CTP",""))</x:f>
        <x:v>IG</x:v>
      </x:c>
      <x:c r="M433" s="14" t="n">
        <x:f>IFERROR((F433-$K433)/$K433,"")</x:f>
        <x:v>0</x:v>
      </x:c>
      <x:c r="N433" s="14" t="n">
        <x:f>IFERROR((G433-$K433)/$K433,"")</x:f>
        <x:v>1.065359477124183</x:v>
      </x:c>
      <x:c r="O433" s="14" t="n">
        <x:f>IFERROR((H433-$K433)/$K433,"")</x:f>
        <x:v>0.9967320261437909</x:v>
      </x:c>
      <x:c r="P433" s="14" t="n">
        <x:f>IFERROR((I433-$K433)/$K433,"")</x:f>
        <x:v>0.9248366013071896</x:v>
      </x:c>
      <x:c r="Q433" s="14" t="n">
        <x:f>IFERROR((J433-$K433)/$K433,"")</x:f>
        <x:v>0.06535947712418301</x:v>
      </x:c>
      <x:c r="R433" t="n">
        <x:f>--(F433=$K433)</x:f>
        <x:v>1</x:v>
      </x:c>
      <x:c r="S433" t="n">
        <x:f>--(G433=$K433)</x:f>
        <x:v>0</x:v>
      </x:c>
      <x:c r="T433" t="n">
        <x:f>--(H433=$K433)</x:f>
        <x:v>0</x:v>
      </x:c>
      <x:c r="U433" t="n">
        <x:f>--(I433=$K433)</x:f>
        <x:v>0</x:v>
      </x:c>
      <x:c r="V433" t="n">
        <x:f>--(J433=$K433)</x:f>
        <x:v>0</x:v>
      </x:c>
    </x:row>
    <x:row r="434" ht="18" customHeight="1">
      <x:c r="A434" t="str">
        <x:v>bpps_d1000n200m5w150_300s100_200f0_seed0</x:v>
      </x:c>
      <x:c r="B434" s="16" t="n">
        <x:v>200</x:v>
      </x:c>
      <x:c r="C434" s="16" t="n">
        <x:v>5</x:v>
      </x:c>
      <x:c r="D434" s="16" t="n">
        <x:v>1000</x:v>
      </x:c>
      <x:c r="E434" s="16" t="n">
        <x:v>2009</x:v>
      </x:c>
      <x:c r="F434" s="12" t="n">
        <x:v>56</x:v>
      </x:c>
      <x:c r="G434" s="12" t="n">
        <x:v>65</x:v>
      </x:c>
      <x:c r="H434" s="12" t="n">
        <x:v>66</x:v>
      </x:c>
      <x:c r="I434" s="12" t="n">
        <x:v>66</x:v>
      </x:c>
      <x:c r="J434" s="12" t="n">
        <x:v>56</x:v>
      </x:c>
      <x:c r="K434" s="12" t="n">
        <x:f>MIN(F434:J434)</x:f>
        <x:v>56</x:v>
      </x:c>
      <x:c r="L434" t="str">
        <x:f>TEXTJOIN(", ",TRUE,IF(F434=K434,"IG",""),IF(G434=K434,"FFD",""),IF(H434=K434,"BFD",""),IF(I434=K434,"WFD",""),IF(J434=K434,"CTP",""))</x:f>
        <x:v>IG, CTP</x:v>
      </x:c>
      <x:c r="M434" s="14" t="n">
        <x:f>IFERROR((F434-$K434)/$K434,"")</x:f>
        <x:v>0</x:v>
      </x:c>
      <x:c r="N434" s="14" t="n">
        <x:f>IFERROR((G434-$K434)/$K434,"")</x:f>
        <x:v>0.16071428571428573</x:v>
      </x:c>
      <x:c r="O434" s="14" t="n">
        <x:f>IFERROR((H434-$K434)/$K434,"")</x:f>
        <x:v>0.17857142857142858</x:v>
      </x:c>
      <x:c r="P434" s="14" t="n">
        <x:f>IFERROR((I434-$K434)/$K434,"")</x:f>
        <x:v>0.17857142857142858</x:v>
      </x:c>
      <x:c r="Q434" s="14" t="n">
        <x:f>IFERROR((J434-$K434)/$K434,"")</x:f>
        <x:v>0</x:v>
      </x:c>
      <x:c r="R434" t="n">
        <x:f>--(F434=$K434)</x:f>
        <x:v>1</x:v>
      </x:c>
      <x:c r="S434" t="n">
        <x:f>--(G434=$K434)</x:f>
        <x:v>0</x:v>
      </x:c>
      <x:c r="T434" t="n">
        <x:f>--(H434=$K434)</x:f>
        <x:v>0</x:v>
      </x:c>
      <x:c r="U434" t="n">
        <x:f>--(I434=$K434)</x:f>
        <x:v>0</x:v>
      </x:c>
      <x:c r="V434" t="n">
        <x:f>--(J434=$K434)</x:f>
        <x:v>1</x:v>
      </x:c>
    </x:row>
    <x:row r="435" ht="18" customHeight="1">
      <x:c r="A435" t="str">
        <x:v>bpps_d1000n200m5w150_300s100_200f0_seed1</x:v>
      </x:c>
      <x:c r="B435" s="16" t="n">
        <x:v>200</x:v>
      </x:c>
      <x:c r="C435" s="16" t="n">
        <x:v>5</x:v>
      </x:c>
      <x:c r="D435" s="16" t="n">
        <x:v>1000</x:v>
      </x:c>
      <x:c r="E435" s="16" t="n">
        <x:v>1922</x:v>
      </x:c>
      <x:c r="F435" s="12" t="n">
        <x:v>57</x:v>
      </x:c>
      <x:c r="G435" s="12" t="n">
        <x:v>68</x:v>
      </x:c>
      <x:c r="H435" s="12" t="n">
        <x:v>67</x:v>
      </x:c>
      <x:c r="I435" s="12" t="n">
        <x:v>68</x:v>
      </x:c>
      <x:c r="J435" s="12" t="n">
        <x:v>57</x:v>
      </x:c>
      <x:c r="K435" s="12" t="n">
        <x:f>MIN(F435:J435)</x:f>
        <x:v>57</x:v>
      </x:c>
      <x:c r="L435" t="str">
        <x:f>TEXTJOIN(", ",TRUE,IF(F435=K435,"IG",""),IF(G435=K435,"FFD",""),IF(H435=K435,"BFD",""),IF(I435=K435,"WFD",""),IF(J435=K435,"CTP",""))</x:f>
        <x:v>IG, CTP</x:v>
      </x:c>
      <x:c r="M435" s="14" t="n">
        <x:f>IFERROR((F435-$K435)/$K435,"")</x:f>
        <x:v>0</x:v>
      </x:c>
      <x:c r="N435" s="14" t="n">
        <x:f>IFERROR((G435-$K435)/$K435,"")</x:f>
        <x:v>0.19298245614035087</x:v>
      </x:c>
      <x:c r="O435" s="14" t="n">
        <x:f>IFERROR((H435-$K435)/$K435,"")</x:f>
        <x:v>0.17543859649122806</x:v>
      </x:c>
      <x:c r="P435" s="14" t="n">
        <x:f>IFERROR((I435-$K435)/$K435,"")</x:f>
        <x:v>0.19298245614035087</x:v>
      </x:c>
      <x:c r="Q435" s="14" t="n">
        <x:f>IFERROR((J435-$K435)/$K435,"")</x:f>
        <x:v>0</x:v>
      </x:c>
      <x:c r="R435" t="n">
        <x:f>--(F435=$K435)</x:f>
        <x:v>1</x:v>
      </x:c>
      <x:c r="S435" t="n">
        <x:f>--(G435=$K435)</x:f>
        <x:v>0</x:v>
      </x:c>
      <x:c r="T435" t="n">
        <x:f>--(H435=$K435)</x:f>
        <x:v>0</x:v>
      </x:c>
      <x:c r="U435" t="n">
        <x:f>--(I435=$K435)</x:f>
        <x:v>0</x:v>
      </x:c>
      <x:c r="V435" t="n">
        <x:f>--(J435=$K435)</x:f>
        <x:v>1</x:v>
      </x:c>
    </x:row>
    <x:row r="436" ht="18" customHeight="1">
      <x:c r="A436" t="str">
        <x:v>bpps_d1000n200m5w150_300s100_200f1_seed0</x:v>
      </x:c>
      <x:c r="B436" s="16" t="n">
        <x:v>200</x:v>
      </x:c>
      <x:c r="C436" s="16" t="n">
        <x:v>5</x:v>
      </x:c>
      <x:c r="D436" s="16" t="n">
        <x:v>1000</x:v>
      </x:c>
      <x:c r="E436" s="16" t="n">
        <x:v>1946</x:v>
      </x:c>
      <x:c r="F436" s="12" t="n">
        <x:v>707</x:v>
      </x:c>
      <x:c r="G436" s="12" t="n">
        <x:v>1047</x:v>
      </x:c>
      <x:c r="H436" s="12" t="n">
        <x:v>1048</x:v>
      </x:c>
      <x:c r="I436" s="12" t="n">
        <x:v>1031</x:v>
      </x:c>
      <x:c r="J436" s="12" t="n">
        <x:v>742</x:v>
      </x:c>
      <x:c r="K436" s="12" t="n">
        <x:f>MIN(F436:J436)</x:f>
        <x:v>707</x:v>
      </x:c>
      <x:c r="L436" t="str">
        <x:f>TEXTJOIN(", ",TRUE,IF(F436=K436,"IG",""),IF(G436=K436,"FFD",""),IF(H436=K436,"BFD",""),IF(I436=K436,"WFD",""),IF(J436=K436,"CTP",""))</x:f>
        <x:v>IG</x:v>
      </x:c>
      <x:c r="M436" s="14" t="n">
        <x:f>IFERROR((F436-$K436)/$K436,"")</x:f>
        <x:v>0</x:v>
      </x:c>
      <x:c r="N436" s="14" t="n">
        <x:f>IFERROR((G436-$K436)/$K436,"")</x:f>
        <x:v>0.4809052333804809</x:v>
      </x:c>
      <x:c r="O436" s="14" t="n">
        <x:f>IFERROR((H436-$K436)/$K436,"")</x:f>
        <x:v>0.4823196605374823</x:v>
      </x:c>
      <x:c r="P436" s="14" t="n">
        <x:f>IFERROR((I436-$K436)/$K436,"")</x:f>
        <x:v>0.4582743988684583</x:v>
      </x:c>
      <x:c r="Q436" s="14" t="n">
        <x:f>IFERROR((J436-$K436)/$K436,"")</x:f>
        <x:v>0.04950495049504951</x:v>
      </x:c>
      <x:c r="R436" t="n">
        <x:f>--(F436=$K436)</x:f>
        <x:v>1</x:v>
      </x:c>
      <x:c r="S436" t="n">
        <x:f>--(G436=$K436)</x:f>
        <x:v>0</x:v>
      </x:c>
      <x:c r="T436" t="n">
        <x:f>--(H436=$K436)</x:f>
        <x:v>0</x:v>
      </x:c>
      <x:c r="U436" t="n">
        <x:f>--(I436=$K436)</x:f>
        <x:v>0</x:v>
      </x:c>
      <x:c r="V436" t="n">
        <x:f>--(J436=$K436)</x:f>
        <x:v>0</x:v>
      </x:c>
    </x:row>
    <x:row r="437" ht="18" customHeight="1">
      <x:c r="A437" t="str">
        <x:v>bpps_d1000n200m5w150_300s100_200f1_seed1</x:v>
      </x:c>
      <x:c r="B437" s="16" t="n">
        <x:v>200</x:v>
      </x:c>
      <x:c r="C437" s="16" t="n">
        <x:v>5</x:v>
      </x:c>
      <x:c r="D437" s="16" t="n">
        <x:v>1000</x:v>
      </x:c>
      <x:c r="E437" s="16" t="n">
        <x:v>2025</x:v>
      </x:c>
      <x:c r="F437" s="12" t="n">
        <x:v>714</x:v>
      </x:c>
      <x:c r="G437" s="12" t="n">
        <x:v>1050</x:v>
      </x:c>
      <x:c r="H437" s="12" t="n">
        <x:v>1060</x:v>
      </x:c>
      <x:c r="I437" s="12" t="n">
        <x:v>1056</x:v>
      </x:c>
      <x:c r="J437" s="12" t="n">
        <x:v>749</x:v>
      </x:c>
      <x:c r="K437" s="12" t="n">
        <x:f>MIN(F437:J437)</x:f>
        <x:v>714</x:v>
      </x:c>
      <x:c r="L437" t="str">
        <x:f>TEXTJOIN(", ",TRUE,IF(F437=K437,"IG",""),IF(G437=K437,"FFD",""),IF(H437=K437,"BFD",""),IF(I437=K437,"WFD",""),IF(J437=K437,"CTP",""))</x:f>
        <x:v>IG</x:v>
      </x:c>
      <x:c r="M437" s="14" t="n">
        <x:f>IFERROR((F437-$K437)/$K437,"")</x:f>
        <x:v>0</x:v>
      </x:c>
      <x:c r="N437" s="14" t="n">
        <x:f>IFERROR((G437-$K437)/$K437,"")</x:f>
        <x:v>0.47058823529411764</x:v>
      </x:c>
      <x:c r="O437" s="14" t="n">
        <x:f>IFERROR((H437-$K437)/$K437,"")</x:f>
        <x:v>0.484593837535014</x:v>
      </x:c>
      <x:c r="P437" s="14" t="n">
        <x:f>IFERROR((I437-$K437)/$K437,"")</x:f>
        <x:v>0.4789915966386555</x:v>
      </x:c>
      <x:c r="Q437" s="14" t="n">
        <x:f>IFERROR((J437-$K437)/$K437,"")</x:f>
        <x:v>0.049019607843137254</x:v>
      </x:c>
      <x:c r="R437" t="n">
        <x:f>--(F437=$K437)</x:f>
        <x:v>1</x:v>
      </x:c>
      <x:c r="S437" t="n">
        <x:f>--(G437=$K437)</x:f>
        <x:v>0</x:v>
      </x:c>
      <x:c r="T437" t="n">
        <x:f>--(H437=$K437)</x:f>
        <x:v>0</x:v>
      </x:c>
      <x:c r="U437" t="n">
        <x:f>--(I437=$K437)</x:f>
        <x:v>0</x:v>
      </x:c>
      <x:c r="V437" t="n">
        <x:f>--(J437=$K437)</x:f>
        <x:v>0</x:v>
      </x:c>
    </x:row>
    <x:row r="438" ht="18" customHeight="1">
      <x:c r="A438" t="str">
        <x:v>bpps_d1000n200m5w150_300s10_100f0_seed0</x:v>
      </x:c>
      <x:c r="B438" s="16" t="n">
        <x:v>200</x:v>
      </x:c>
      <x:c r="C438" s="16" t="n">
        <x:v>5</x:v>
      </x:c>
      <x:c r="D438" s="16" t="n">
        <x:v>1000</x:v>
      </x:c>
      <x:c r="E438" s="16" t="n">
        <x:v>1996</x:v>
      </x:c>
      <x:c r="F438" s="12" t="n">
        <x:v>50</x:v>
      </x:c>
      <x:c r="G438" s="12" t="n">
        <x:v>54</x:v>
      </x:c>
      <x:c r="H438" s="12" t="n">
        <x:v>54</x:v>
      </x:c>
      <x:c r="I438" s="12" t="n">
        <x:v>54</x:v>
      </x:c>
      <x:c r="J438" s="12" t="n">
        <x:v>52</x:v>
      </x:c>
      <x:c r="K438" s="12" t="n">
        <x:f>MIN(F438:J438)</x:f>
        <x:v>50</x:v>
      </x:c>
      <x:c r="L438" t="str">
        <x:f>TEXTJOIN(", ",TRUE,IF(F438=K438,"IG",""),IF(G438=K438,"FFD",""),IF(H438=K438,"BFD",""),IF(I438=K438,"WFD",""),IF(J438=K438,"CTP",""))</x:f>
        <x:v>IG</x:v>
      </x:c>
      <x:c r="M438" s="14" t="n">
        <x:f>IFERROR((F438-$K438)/$K438,"")</x:f>
        <x:v>0</x:v>
      </x:c>
      <x:c r="N438" s="14" t="n">
        <x:f>IFERROR((G438-$K438)/$K438,"")</x:f>
        <x:v>0.08</x:v>
      </x:c>
      <x:c r="O438" s="14" t="n">
        <x:f>IFERROR((H438-$K438)/$K438,"")</x:f>
        <x:v>0.08</x:v>
      </x:c>
      <x:c r="P438" s="14" t="n">
        <x:f>IFERROR((I438-$K438)/$K438,"")</x:f>
        <x:v>0.08</x:v>
      </x:c>
      <x:c r="Q438" s="14" t="n">
        <x:f>IFERROR((J438-$K438)/$K438,"")</x:f>
        <x:v>0.04</x:v>
      </x:c>
      <x:c r="R438" t="n">
        <x:f>--(F438=$K438)</x:f>
        <x:v>1</x:v>
      </x:c>
      <x:c r="S438" t="n">
        <x:f>--(G438=$K438)</x:f>
        <x:v>0</x:v>
      </x:c>
      <x:c r="T438" t="n">
        <x:f>--(H438=$K438)</x:f>
        <x:v>0</x:v>
      </x:c>
      <x:c r="U438" t="n">
        <x:f>--(I438=$K438)</x:f>
        <x:v>0</x:v>
      </x:c>
      <x:c r="V438" t="n">
        <x:f>--(J438=$K438)</x:f>
        <x:v>0</x:v>
      </x:c>
    </x:row>
    <x:row r="439" ht="18" customHeight="1">
      <x:c r="A439" t="str">
        <x:v>bpps_d1000n200m5w150_300s10_100f0_seed1</x:v>
      </x:c>
      <x:c r="B439" s="16" t="n">
        <x:v>200</x:v>
      </x:c>
      <x:c r="C439" s="16" t="n">
        <x:v>5</x:v>
      </x:c>
      <x:c r="D439" s="16" t="n">
        <x:v>1000</x:v>
      </x:c>
      <x:c r="E439" s="16" t="n">
        <x:v>2035</x:v>
      </x:c>
      <x:c r="F439" s="12" t="n">
        <x:v>51</x:v>
      </x:c>
      <x:c r="G439" s="12" t="n">
        <x:v>55</x:v>
      </x:c>
      <x:c r="H439" s="12" t="n">
        <x:v>55</x:v>
      </x:c>
      <x:c r="I439" s="12" t="n">
        <x:v>55</x:v>
      </x:c>
      <x:c r="J439" s="12" t="n">
        <x:v>52</x:v>
      </x:c>
      <x:c r="K439" s="12" t="n">
        <x:f>MIN(F439:J439)</x:f>
        <x:v>51</x:v>
      </x:c>
      <x:c r="L439" t="str">
        <x:f>TEXTJOIN(", ",TRUE,IF(F439=K439,"IG",""),IF(G439=K439,"FFD",""),IF(H439=K439,"BFD",""),IF(I439=K439,"WFD",""),IF(J439=K439,"CTP",""))</x:f>
        <x:v>IG</x:v>
      </x:c>
      <x:c r="M439" s="14" t="n">
        <x:f>IFERROR((F439-$K439)/$K439,"")</x:f>
        <x:v>0</x:v>
      </x:c>
      <x:c r="N439" s="14" t="n">
        <x:f>IFERROR((G439-$K439)/$K439,"")</x:f>
        <x:v>0.0784313725490196</x:v>
      </x:c>
      <x:c r="O439" s="14" t="n">
        <x:f>IFERROR((H439-$K439)/$K439,"")</x:f>
        <x:v>0.0784313725490196</x:v>
      </x:c>
      <x:c r="P439" s="14" t="n">
        <x:f>IFERROR((I439-$K439)/$K439,"")</x:f>
        <x:v>0.0784313725490196</x:v>
      </x:c>
      <x:c r="Q439" s="14" t="n">
        <x:f>IFERROR((J439-$K439)/$K439,"")</x:f>
        <x:v>0.0196078431372549</x:v>
      </x:c>
      <x:c r="R439" t="n">
        <x:f>--(F439=$K439)</x:f>
        <x:v>1</x:v>
      </x:c>
      <x:c r="S439" t="n">
        <x:f>--(G439=$K439)</x:f>
        <x:v>0</x:v>
      </x:c>
      <x:c r="T439" t="n">
        <x:f>--(H439=$K439)</x:f>
        <x:v>0</x:v>
      </x:c>
      <x:c r="U439" t="n">
        <x:f>--(I439=$K439)</x:f>
        <x:v>0</x:v>
      </x:c>
      <x:c r="V439" t="n">
        <x:f>--(J439=$K439)</x:f>
        <x:v>0</x:v>
      </x:c>
    </x:row>
    <x:row r="440" ht="18" customHeight="1">
      <x:c r="A440" t="str">
        <x:v>bpps_d1000n200m5w150_300s10_100f1_seed0</x:v>
      </x:c>
      <x:c r="B440" s="16" t="n">
        <x:v>200</x:v>
      </x:c>
      <x:c r="C440" s="16" t="n">
        <x:v>5</x:v>
      </x:c>
      <x:c r="D440" s="16" t="n">
        <x:v>1000</x:v>
      </x:c>
      <x:c r="E440" s="16" t="n">
        <x:v>2003</x:v>
      </x:c>
      <x:c r="F440" s="12" t="n">
        <x:v>633</x:v>
      </x:c>
      <x:c r="G440" s="12" t="n">
        <x:v>971</x:v>
      </x:c>
      <x:c r="H440" s="12" t="n">
        <x:v>964</x:v>
      </x:c>
      <x:c r="I440" s="12" t="n">
        <x:v>952</x:v>
      </x:c>
      <x:c r="J440" s="12" t="n">
        <x:v>670</x:v>
      </x:c>
      <x:c r="K440" s="12" t="n">
        <x:f>MIN(F440:J440)</x:f>
        <x:v>633</x:v>
      </x:c>
      <x:c r="L440" t="str">
        <x:f>TEXTJOIN(", ",TRUE,IF(F440=K440,"IG",""),IF(G440=K440,"FFD",""),IF(H440=K440,"BFD",""),IF(I440=K440,"WFD",""),IF(J440=K440,"CTP",""))</x:f>
        <x:v>IG</x:v>
      </x:c>
      <x:c r="M440" s="14" t="n">
        <x:f>IFERROR((F440-$K440)/$K440,"")</x:f>
        <x:v>0</x:v>
      </x:c>
      <x:c r="N440" s="14" t="n">
        <x:f>IFERROR((G440-$K440)/$K440,"")</x:f>
        <x:v>0.5339652448657188</x:v>
      </x:c>
      <x:c r="O440" s="14" t="n">
        <x:f>IFERROR((H440-$K440)/$K440,"")</x:f>
        <x:v>0.5229067930489731</x:v>
      </x:c>
      <x:c r="P440" s="14" t="n">
        <x:f>IFERROR((I440-$K440)/$K440,"")</x:f>
        <x:v>0.5039494470774092</x:v>
      </x:c>
      <x:c r="Q440" s="14" t="n">
        <x:f>IFERROR((J440-$K440)/$K440,"")</x:f>
        <x:v>0.05845181674565561</x:v>
      </x:c>
      <x:c r="R440" t="n">
        <x:f>--(F440=$K440)</x:f>
        <x:v>1</x:v>
      </x:c>
      <x:c r="S440" t="n">
        <x:f>--(G440=$K440)</x:f>
        <x:v>0</x:v>
      </x:c>
      <x:c r="T440" t="n">
        <x:f>--(H440=$K440)</x:f>
        <x:v>0</x:v>
      </x:c>
      <x:c r="U440" t="n">
        <x:f>--(I440=$K440)</x:f>
        <x:v>0</x:v>
      </x:c>
      <x:c r="V440" t="n">
        <x:f>--(J440=$K440)</x:f>
        <x:v>0</x:v>
      </x:c>
    </x:row>
    <x:row r="441" ht="18" customHeight="1">
      <x:c r="A441" t="str">
        <x:v>bpps_d1000n200m5w150_300s10_100f1_seed1</x:v>
      </x:c>
      <x:c r="B441" s="16" t="n">
        <x:v>200</x:v>
      </x:c>
      <x:c r="C441" s="16" t="n">
        <x:v>5</x:v>
      </x:c>
      <x:c r="D441" s="16" t="n">
        <x:v>1000</x:v>
      </x:c>
      <x:c r="E441" s="16" t="n">
        <x:v>1944</x:v>
      </x:c>
      <x:c r="F441" s="12" t="n">
        <x:v>640</x:v>
      </x:c>
      <x:c r="G441" s="12" t="n">
        <x:v>953</x:v>
      </x:c>
      <x:c r="H441" s="12" t="n">
        <x:v>950</x:v>
      </x:c>
      <x:c r="I441" s="12" t="n">
        <x:v>966</x:v>
      </x:c>
      <x:c r="J441" s="12" t="n">
        <x:v>678</x:v>
      </x:c>
      <x:c r="K441" s="12" t="n">
        <x:f>MIN(F441:J441)</x:f>
        <x:v>640</x:v>
      </x:c>
      <x:c r="L441" t="str">
        <x:f>TEXTJOIN(", ",TRUE,IF(F441=K441,"IG",""),IF(G441=K441,"FFD",""),IF(H441=K441,"BFD",""),IF(I441=K441,"WFD",""),IF(J441=K441,"CTP",""))</x:f>
        <x:v>IG</x:v>
      </x:c>
      <x:c r="M441" s="14" t="n">
        <x:f>IFERROR((F441-$K441)/$K441,"")</x:f>
        <x:v>0</x:v>
      </x:c>
      <x:c r="N441" s="14" t="n">
        <x:f>IFERROR((G441-$K441)/$K441,"")</x:f>
        <x:v>0.4890625</x:v>
      </x:c>
      <x:c r="O441" s="14" t="n">
        <x:f>IFERROR((H441-$K441)/$K441,"")</x:f>
        <x:v>0.484375</x:v>
      </x:c>
      <x:c r="P441" s="14" t="n">
        <x:f>IFERROR((I441-$K441)/$K441,"")</x:f>
        <x:v>0.509375</x:v>
      </x:c>
      <x:c r="Q441" s="14" t="n">
        <x:f>IFERROR((J441-$K441)/$K441,"")</x:f>
        <x:v>0.059375</x:v>
      </x:c>
      <x:c r="R441" t="n">
        <x:f>--(F441=$K441)</x:f>
        <x:v>1</x:v>
      </x:c>
      <x:c r="S441" t="n">
        <x:f>--(G441=$K441)</x:f>
        <x:v>0</x:v>
      </x:c>
      <x:c r="T441" t="n">
        <x:f>--(H441=$K441)</x:f>
        <x:v>0</x:v>
      </x:c>
      <x:c r="U441" t="n">
        <x:f>--(I441=$K441)</x:f>
        <x:v>0</x:v>
      </x:c>
      <x:c r="V441" t="n">
        <x:f>--(J441=$K441)</x:f>
        <x:v>0</x:v>
      </x:c>
    </x:row>
    <x:row r="442" ht="18" customHeight="1">
      <x:c r="A442" t="str">
        <x:v>bpps_d1000n200m5w50_150s100_200f0_seed0</x:v>
      </x:c>
      <x:c r="B442" s="16" t="n">
        <x:v>200</x:v>
      </x:c>
      <x:c r="C442" s="16" t="n">
        <x:v>5</x:v>
      </x:c>
      <x:c r="D442" s="16" t="n">
        <x:v>1000</x:v>
      </x:c>
      <x:c r="E442" s="16" t="n">
        <x:v>1943</x:v>
      </x:c>
      <x:c r="F442" s="12" t="n">
        <x:v>26</x:v>
      </x:c>
      <x:c r="G442" s="12" t="n">
        <x:v>35</x:v>
      </x:c>
      <x:c r="H442" s="12" t="n">
        <x:v>36</x:v>
      </x:c>
      <x:c r="I442" s="12" t="n">
        <x:v>35</x:v>
      </x:c>
      <x:c r="J442" s="12" t="n">
        <x:v>27</x:v>
      </x:c>
      <x:c r="K442" s="12" t="n">
        <x:f>MIN(F442:J442)</x:f>
        <x:v>26</x:v>
      </x:c>
      <x:c r="L442" t="str">
        <x:f>TEXTJOIN(", ",TRUE,IF(F442=K442,"IG",""),IF(G442=K442,"FFD",""),IF(H442=K442,"BFD",""),IF(I442=K442,"WFD",""),IF(J442=K442,"CTP",""))</x:f>
        <x:v>IG</x:v>
      </x:c>
      <x:c r="M442" s="14" t="n">
        <x:f>IFERROR((F442-$K442)/$K442,"")</x:f>
        <x:v>0</x:v>
      </x:c>
      <x:c r="N442" s="14" t="n">
        <x:f>IFERROR((G442-$K442)/$K442,"")</x:f>
        <x:v>0.34615384615384615</x:v>
      </x:c>
      <x:c r="O442" s="14" t="n">
        <x:f>IFERROR((H442-$K442)/$K442,"")</x:f>
        <x:v>0.38461538461538464</x:v>
      </x:c>
      <x:c r="P442" s="14" t="n">
        <x:f>IFERROR((I442-$K442)/$K442,"")</x:f>
        <x:v>0.34615384615384615</x:v>
      </x:c>
      <x:c r="Q442" s="14" t="n">
        <x:f>IFERROR((J442-$K442)/$K442,"")</x:f>
        <x:v>0.038461538461538464</x:v>
      </x:c>
      <x:c r="R442" t="n">
        <x:f>--(F442=$K442)</x:f>
        <x:v>1</x:v>
      </x:c>
      <x:c r="S442" t="n">
        <x:f>--(G442=$K442)</x:f>
        <x:v>0</x:v>
      </x:c>
      <x:c r="T442" t="n">
        <x:f>--(H442=$K442)</x:f>
        <x:v>0</x:v>
      </x:c>
      <x:c r="U442" t="n">
        <x:f>--(I442=$K442)</x:f>
        <x:v>0</x:v>
      </x:c>
      <x:c r="V442" t="n">
        <x:f>--(J442=$K442)</x:f>
        <x:v>0</x:v>
      </x:c>
    </x:row>
    <x:row r="443" ht="18" customHeight="1">
      <x:c r="A443" t="str">
        <x:v>bpps_d1000n200m5w50_150s100_200f0_seed1</x:v>
      </x:c>
      <x:c r="B443" s="16" t="n">
        <x:v>200</x:v>
      </x:c>
      <x:c r="C443" s="16" t="n">
        <x:v>5</x:v>
      </x:c>
      <x:c r="D443" s="16" t="n">
        <x:v>1000</x:v>
      </x:c>
      <x:c r="E443" s="16" t="n">
        <x:v>1938</x:v>
      </x:c>
      <x:c r="F443" s="12" t="n">
        <x:v>26</x:v>
      </x:c>
      <x:c r="G443" s="12" t="n">
        <x:v>37</x:v>
      </x:c>
      <x:c r="H443" s="12" t="n">
        <x:v>36</x:v>
      </x:c>
      <x:c r="I443" s="12" t="n">
        <x:v>36</x:v>
      </x:c>
      <x:c r="J443" s="12" t="n">
        <x:v>26</x:v>
      </x:c>
      <x:c r="K443" s="12" t="n">
        <x:f>MIN(F443:J443)</x:f>
        <x:v>26</x:v>
      </x:c>
      <x:c r="L443" t="str">
        <x:f>TEXTJOIN(", ",TRUE,IF(F443=K443,"IG",""),IF(G443=K443,"FFD",""),IF(H443=K443,"BFD",""),IF(I443=K443,"WFD",""),IF(J443=K443,"CTP",""))</x:f>
        <x:v>IG, CTP</x:v>
      </x:c>
      <x:c r="M443" s="14" t="n">
        <x:f>IFERROR((F443-$K443)/$K443,"")</x:f>
        <x:v>0</x:v>
      </x:c>
      <x:c r="N443" s="14" t="n">
        <x:f>IFERROR((G443-$K443)/$K443,"")</x:f>
        <x:v>0.4230769230769231</x:v>
      </x:c>
      <x:c r="O443" s="14" t="n">
        <x:f>IFERROR((H443-$K443)/$K443,"")</x:f>
        <x:v>0.38461538461538464</x:v>
      </x:c>
      <x:c r="P443" s="14" t="n">
        <x:f>IFERROR((I443-$K443)/$K443,"")</x:f>
        <x:v>0.38461538461538464</x:v>
      </x:c>
      <x:c r="Q443" s="14" t="n">
        <x:f>IFERROR((J443-$K443)/$K443,"")</x:f>
        <x:v>0</x:v>
      </x:c>
      <x:c r="R443" t="n">
        <x:f>--(F443=$K443)</x:f>
        <x:v>1</x:v>
      </x:c>
      <x:c r="S443" t="n">
        <x:f>--(G443=$K443)</x:f>
        <x:v>0</x:v>
      </x:c>
      <x:c r="T443" t="n">
        <x:f>--(H443=$K443)</x:f>
        <x:v>0</x:v>
      </x:c>
      <x:c r="U443" t="n">
        <x:f>--(I443=$K443)</x:f>
        <x:v>0</x:v>
      </x:c>
      <x:c r="V443" t="n">
        <x:f>--(J443=$K443)</x:f>
        <x:v>1</x:v>
      </x:c>
    </x:row>
    <x:row r="444" ht="18" customHeight="1">
      <x:c r="A444" t="str">
        <x:v>bpps_d1000n200m5w50_150s100_200f1_seed0</x:v>
      </x:c>
      <x:c r="B444" s="16" t="n">
        <x:v>200</x:v>
      </x:c>
      <x:c r="C444" s="16" t="n">
        <x:v>5</x:v>
      </x:c>
      <x:c r="D444" s="16" t="n">
        <x:v>1000</x:v>
      </x:c>
      <x:c r="E444" s="16" t="n">
        <x:v>2002</x:v>
      </x:c>
      <x:c r="F444" s="12" t="n">
        <x:v>328</x:v>
      </x:c>
      <x:c r="G444" s="12" t="n">
        <x:v>667</x:v>
      </x:c>
      <x:c r="H444" s="12" t="n">
        <x:v>672</x:v>
      </x:c>
      <x:c r="I444" s="12" t="n">
        <x:v>637</x:v>
      </x:c>
      <x:c r="J444" s="12" t="n">
        <x:v>351</x:v>
      </x:c>
      <x:c r="K444" s="12" t="n">
        <x:f>MIN(F444:J444)</x:f>
        <x:v>328</x:v>
      </x:c>
      <x:c r="L444" t="str">
        <x:f>TEXTJOIN(", ",TRUE,IF(F444=K444,"IG",""),IF(G444=K444,"FFD",""),IF(H444=K444,"BFD",""),IF(I444=K444,"WFD",""),IF(J444=K444,"CTP",""))</x:f>
        <x:v>IG</x:v>
      </x:c>
      <x:c r="M444" s="14" t="n">
        <x:f>IFERROR((F444-$K444)/$K444,"")</x:f>
        <x:v>0</x:v>
      </x:c>
      <x:c r="N444" s="14" t="n">
        <x:f>IFERROR((G444-$K444)/$K444,"")</x:f>
        <x:v>1.0335365853658536</x:v>
      </x:c>
      <x:c r="O444" s="14" t="n">
        <x:f>IFERROR((H444-$K444)/$K444,"")</x:f>
        <x:v>1.048780487804878</x:v>
      </x:c>
      <x:c r="P444" s="14" t="n">
        <x:f>IFERROR((I444-$K444)/$K444,"")</x:f>
        <x:v>0.9420731707317073</x:v>
      </x:c>
      <x:c r="Q444" s="14" t="n">
        <x:f>IFERROR((J444-$K444)/$K444,"")</x:f>
        <x:v>0.0701219512195122</x:v>
      </x:c>
      <x:c r="R444" t="n">
        <x:f>--(F444=$K444)</x:f>
        <x:v>1</x:v>
      </x:c>
      <x:c r="S444" t="n">
        <x:f>--(G444=$K444)</x:f>
        <x:v>0</x:v>
      </x:c>
      <x:c r="T444" t="n">
        <x:f>--(H444=$K444)</x:f>
        <x:v>0</x:v>
      </x:c>
      <x:c r="U444" t="n">
        <x:f>--(I444=$K444)</x:f>
        <x:v>0</x:v>
      </x:c>
      <x:c r="V444" t="n">
        <x:f>--(J444=$K444)</x:f>
        <x:v>0</x:v>
      </x:c>
    </x:row>
    <x:row r="445" ht="18" customHeight="1">
      <x:c r="A445" t="str">
        <x:v>bpps_d1000n200m5w50_150s100_200f1_seed1</x:v>
      </x:c>
      <x:c r="B445" s="16" t="n">
        <x:v>200</x:v>
      </x:c>
      <x:c r="C445" s="16" t="n">
        <x:v>5</x:v>
      </x:c>
      <x:c r="D445" s="16" t="n">
        <x:v>1000</x:v>
      </x:c>
      <x:c r="E445" s="16" t="n">
        <x:v>1973</x:v>
      </x:c>
      <x:c r="F445" s="12" t="n">
        <x:v>325</x:v>
      </x:c>
      <x:c r="G445" s="12" t="n">
        <x:v>713</x:v>
      </x:c>
      <x:c r="H445" s="12" t="n">
        <x:v>718</x:v>
      </x:c>
      <x:c r="I445" s="12" t="n">
        <x:v>693</x:v>
      </x:c>
      <x:c r="J445" s="12" t="n">
        <x:v>382</x:v>
      </x:c>
      <x:c r="K445" s="12" t="n">
        <x:f>MIN(F445:J445)</x:f>
        <x:v>325</x:v>
      </x:c>
      <x:c r="L445" t="str">
        <x:f>TEXTJOIN(", ",TRUE,IF(F445=K445,"IG",""),IF(G445=K445,"FFD",""),IF(H445=K445,"BFD",""),IF(I445=K445,"WFD",""),IF(J445=K445,"CTP",""))</x:f>
        <x:v>IG</x:v>
      </x:c>
      <x:c r="M445" s="14" t="n">
        <x:f>IFERROR((F445-$K445)/$K445,"")</x:f>
        <x:v>0</x:v>
      </x:c>
      <x:c r="N445" s="14" t="n">
        <x:f>IFERROR((G445-$K445)/$K445,"")</x:f>
        <x:v>1.1938461538461538</x:v>
      </x:c>
      <x:c r="O445" s="14" t="n">
        <x:f>IFERROR((H445-$K445)/$K445,"")</x:f>
        <x:v>1.2092307692307693</x:v>
      </x:c>
      <x:c r="P445" s="14" t="n">
        <x:f>IFERROR((I445-$K445)/$K445,"")</x:f>
        <x:v>1.1323076923076922</x:v>
      </x:c>
      <x:c r="Q445" s="14" t="n">
        <x:f>IFERROR((J445-$K445)/$K445,"")</x:f>
        <x:v>0.1753846153846154</x:v>
      </x:c>
      <x:c r="R445" t="n">
        <x:f>--(F445=$K445)</x:f>
        <x:v>1</x:v>
      </x:c>
      <x:c r="S445" t="n">
        <x:f>--(G445=$K445)</x:f>
        <x:v>0</x:v>
      </x:c>
      <x:c r="T445" t="n">
        <x:f>--(H445=$K445)</x:f>
        <x:v>0</x:v>
      </x:c>
      <x:c r="U445" t="n">
        <x:f>--(I445=$K445)</x:f>
        <x:v>0</x:v>
      </x:c>
      <x:c r="V445" t="n">
        <x:f>--(J445=$K445)</x:f>
        <x:v>0</x:v>
      </x:c>
    </x:row>
    <x:row r="446" ht="18" customHeight="1">
      <x:c r="A446" t="str">
        <x:v>bpps_d1000n200m5w50_150s10_100f0_seed0</x:v>
      </x:c>
      <x:c r="B446" s="16" t="n">
        <x:v>200</x:v>
      </x:c>
      <x:c r="C446" s="16" t="n">
        <x:v>5</x:v>
      </x:c>
      <x:c r="D446" s="16" t="n">
        <x:v>1000</x:v>
      </x:c>
      <x:c r="E446" s="16" t="n">
        <x:v>1994</x:v>
      </x:c>
      <x:c r="F446" s="12" t="n">
        <x:v>23</x:v>
      </x:c>
      <x:c r="G446" s="12" t="n">
        <x:v>26</x:v>
      </x:c>
      <x:c r="H446" s="12" t="n">
        <x:v>26</x:v>
      </x:c>
      <x:c r="I446" s="12" t="n">
        <x:v>26</x:v>
      </x:c>
      <x:c r="J446" s="12" t="n">
        <x:v>25</x:v>
      </x:c>
      <x:c r="K446" s="12" t="n">
        <x:f>MIN(F446:J446)</x:f>
        <x:v>23</x:v>
      </x:c>
      <x:c r="L446" t="str">
        <x:f>TEXTJOIN(", ",TRUE,IF(F446=K446,"IG",""),IF(G446=K446,"FFD",""),IF(H446=K446,"BFD",""),IF(I446=K446,"WFD",""),IF(J446=K446,"CTP",""))</x:f>
        <x:v>IG</x:v>
      </x:c>
      <x:c r="M446" s="14" t="n">
        <x:f>IFERROR((F446-$K446)/$K446,"")</x:f>
        <x:v>0</x:v>
      </x:c>
      <x:c r="N446" s="14" t="n">
        <x:f>IFERROR((G446-$K446)/$K446,"")</x:f>
        <x:v>0.13043478260869565</x:v>
      </x:c>
      <x:c r="O446" s="14" t="n">
        <x:f>IFERROR((H446-$K446)/$K446,"")</x:f>
        <x:v>0.13043478260869565</x:v>
      </x:c>
      <x:c r="P446" s="14" t="n">
        <x:f>IFERROR((I446-$K446)/$K446,"")</x:f>
        <x:v>0.13043478260869565</x:v>
      </x:c>
      <x:c r="Q446" s="14" t="n">
        <x:f>IFERROR((J446-$K446)/$K446,"")</x:f>
        <x:v>0.08695652173913043</x:v>
      </x:c>
      <x:c r="R446" t="n">
        <x:f>--(F446=$K446)</x:f>
        <x:v>1</x:v>
      </x:c>
      <x:c r="S446" t="n">
        <x:f>--(G446=$K446)</x:f>
        <x:v>0</x:v>
      </x:c>
      <x:c r="T446" t="n">
        <x:f>--(H446=$K446)</x:f>
        <x:v>0</x:v>
      </x:c>
      <x:c r="U446" t="n">
        <x:f>--(I446=$K446)</x:f>
        <x:v>0</x:v>
      </x:c>
      <x:c r="V446" t="n">
        <x:f>--(J446=$K446)</x:f>
        <x:v>0</x:v>
      </x:c>
    </x:row>
    <x:row r="447" ht="18" customHeight="1">
      <x:c r="A447" t="str">
        <x:v>bpps_d1000n200m5w50_150s10_100f0_seed1</x:v>
      </x:c>
      <x:c r="B447" s="16" t="n">
        <x:v>200</x:v>
      </x:c>
      <x:c r="C447" s="16" t="n">
        <x:v>5</x:v>
      </x:c>
      <x:c r="D447" s="16" t="n">
        <x:v>1000</x:v>
      </x:c>
      <x:c r="E447" s="16" t="n">
        <x:v>1901</x:v>
      </x:c>
      <x:c r="F447" s="12" t="n">
        <x:v>22</x:v>
      </x:c>
      <x:c r="G447" s="12" t="n">
        <x:v>26</x:v>
      </x:c>
      <x:c r="H447" s="12" t="n">
        <x:v>26</x:v>
      </x:c>
      <x:c r="I447" s="12" t="n">
        <x:v>26</x:v>
      </x:c>
      <x:c r="J447" s="12" t="n">
        <x:v>23</x:v>
      </x:c>
      <x:c r="K447" s="12" t="n">
        <x:f>MIN(F447:J447)</x:f>
        <x:v>22</x:v>
      </x:c>
      <x:c r="L447" t="str">
        <x:f>TEXTJOIN(", ",TRUE,IF(F447=K447,"IG",""),IF(G447=K447,"FFD",""),IF(H447=K447,"BFD",""),IF(I447=K447,"WFD",""),IF(J447=K447,"CTP",""))</x:f>
        <x:v>IG</x:v>
      </x:c>
      <x:c r="M447" s="14" t="n">
        <x:f>IFERROR((F447-$K447)/$K447,"")</x:f>
        <x:v>0</x:v>
      </x:c>
      <x:c r="N447" s="14" t="n">
        <x:f>IFERROR((G447-$K447)/$K447,"")</x:f>
        <x:v>0.18181818181818182</x:v>
      </x:c>
      <x:c r="O447" s="14" t="n">
        <x:f>IFERROR((H447-$K447)/$K447,"")</x:f>
        <x:v>0.18181818181818182</x:v>
      </x:c>
      <x:c r="P447" s="14" t="n">
        <x:f>IFERROR((I447-$K447)/$K447,"")</x:f>
        <x:v>0.18181818181818182</x:v>
      </x:c>
      <x:c r="Q447" s="14" t="n">
        <x:f>IFERROR((J447-$K447)/$K447,"")</x:f>
        <x:v>0.045454545454545456</x:v>
      </x:c>
      <x:c r="R447" t="n">
        <x:f>--(F447=$K447)</x:f>
        <x:v>1</x:v>
      </x:c>
      <x:c r="S447" t="n">
        <x:f>--(G447=$K447)</x:f>
        <x:v>0</x:v>
      </x:c>
      <x:c r="T447" t="n">
        <x:f>--(H447=$K447)</x:f>
        <x:v>0</x:v>
      </x:c>
      <x:c r="U447" t="n">
        <x:f>--(I447=$K447)</x:f>
        <x:v>0</x:v>
      </x:c>
      <x:c r="V447" t="n">
        <x:f>--(J447=$K447)</x:f>
        <x:v>0</x:v>
      </x:c>
    </x:row>
    <x:row r="448" ht="18" customHeight="1">
      <x:c r="A448" t="str">
        <x:v>bpps_d1000n200m5w50_150s10_100f1_seed0</x:v>
      </x:c>
      <x:c r="B448" s="16" t="n">
        <x:v>200</x:v>
      </x:c>
      <x:c r="C448" s="16" t="n">
        <x:v>5</x:v>
      </x:c>
      <x:c r="D448" s="16" t="n">
        <x:v>1000</x:v>
      </x:c>
      <x:c r="E448" s="16" t="n">
        <x:v>1941</x:v>
      </x:c>
      <x:c r="F448" s="12" t="n">
        <x:v>300</x:v>
      </x:c>
      <x:c r="G448" s="12" t="n">
        <x:v>548</x:v>
      </x:c>
      <x:c r="H448" s="12" t="n">
        <x:v>550</x:v>
      </x:c>
      <x:c r="I448" s="12" t="n">
        <x:v>553</x:v>
      </x:c>
      <x:c r="J448" s="12" t="n">
        <x:v>336</x:v>
      </x:c>
      <x:c r="K448" s="12" t="n">
        <x:f>MIN(F448:J448)</x:f>
        <x:v>300</x:v>
      </x:c>
      <x:c r="L448" t="str">
        <x:f>TEXTJOIN(", ",TRUE,IF(F448=K448,"IG",""),IF(G448=K448,"FFD",""),IF(H448=K448,"BFD",""),IF(I448=K448,"WFD",""),IF(J448=K448,"CTP",""))</x:f>
        <x:v>IG</x:v>
      </x:c>
      <x:c r="M448" s="14" t="n">
        <x:f>IFERROR((F448-$K448)/$K448,"")</x:f>
        <x:v>0</x:v>
      </x:c>
      <x:c r="N448" s="14" t="n">
        <x:f>IFERROR((G448-$K448)/$K448,"")</x:f>
        <x:v>0.8266666666666667</x:v>
      </x:c>
      <x:c r="O448" s="14" t="n">
        <x:f>IFERROR((H448-$K448)/$K448,"")</x:f>
        <x:v>0.8333333333333334</x:v>
      </x:c>
      <x:c r="P448" s="14" t="n">
        <x:f>IFERROR((I448-$K448)/$K448,"")</x:f>
        <x:v>0.8433333333333334</x:v>
      </x:c>
      <x:c r="Q448" s="14" t="n">
        <x:f>IFERROR((J448-$K448)/$K448,"")</x:f>
        <x:v>0.12</x:v>
      </x:c>
      <x:c r="R448" t="n">
        <x:f>--(F448=$K448)</x:f>
        <x:v>1</x:v>
      </x:c>
      <x:c r="S448" t="n">
        <x:f>--(G448=$K448)</x:f>
        <x:v>0</x:v>
      </x:c>
      <x:c r="T448" t="n">
        <x:f>--(H448=$K448)</x:f>
        <x:v>0</x:v>
      </x:c>
      <x:c r="U448" t="n">
        <x:f>--(I448=$K448)</x:f>
        <x:v>0</x:v>
      </x:c>
      <x:c r="V448" t="n">
        <x:f>--(J448=$K448)</x:f>
        <x:v>0</x:v>
      </x:c>
    </x:row>
    <x:row r="449" ht="18" customHeight="1">
      <x:c r="A449" t="str">
        <x:v>bpps_d1000n200m5w50_150s10_100f1_seed1</x:v>
      </x:c>
      <x:c r="B449" s="16" t="n">
        <x:v>200</x:v>
      </x:c>
      <x:c r="C449" s="16" t="n">
        <x:v>5</x:v>
      </x:c>
      <x:c r="D449" s="16" t="n">
        <x:v>1000</x:v>
      </x:c>
      <x:c r="E449" s="16" t="n">
        <x:v>1998</x:v>
      </x:c>
      <x:c r="F449" s="12" t="n">
        <x:v>314</x:v>
      </x:c>
      <x:c r="G449" s="12" t="n">
        <x:v>582</x:v>
      </x:c>
      <x:c r="H449" s="12" t="n">
        <x:v>598</x:v>
      </x:c>
      <x:c r="I449" s="12" t="n">
        <x:v>561</x:v>
      </x:c>
      <x:c r="J449" s="12" t="n">
        <x:v>344</x:v>
      </x:c>
      <x:c r="K449" s="12" t="n">
        <x:f>MIN(F449:J449)</x:f>
        <x:v>314</x:v>
      </x:c>
      <x:c r="L449" t="str">
        <x:f>TEXTJOIN(", ",TRUE,IF(F449=K449,"IG",""),IF(G449=K449,"FFD",""),IF(H449=K449,"BFD",""),IF(I449=K449,"WFD",""),IF(J449=K449,"CTP",""))</x:f>
        <x:v>IG</x:v>
      </x:c>
      <x:c r="M449" s="14" t="n">
        <x:f>IFERROR((F449-$K449)/$K449,"")</x:f>
        <x:v>0</x:v>
      </x:c>
      <x:c r="N449" s="14" t="n">
        <x:f>IFERROR((G449-$K449)/$K449,"")</x:f>
        <x:v>0.8535031847133758</x:v>
      </x:c>
      <x:c r="O449" s="14" t="n">
        <x:f>IFERROR((H449-$K449)/$K449,"")</x:f>
        <x:v>0.9044585987261147</x:v>
      </x:c>
      <x:c r="P449" s="14" t="n">
        <x:f>IFERROR((I449-$K449)/$K449,"")</x:f>
        <x:v>0.7866242038216561</x:v>
      </x:c>
      <x:c r="Q449" s="14" t="n">
        <x:f>IFERROR((J449-$K449)/$K449,"")</x:f>
        <x:v>0.09554140127388536</x:v>
      </x:c>
      <x:c r="R449" t="n">
        <x:f>--(F449=$K449)</x:f>
        <x:v>1</x:v>
      </x:c>
      <x:c r="S449" t="n">
        <x:f>--(G449=$K449)</x:f>
        <x:v>0</x:v>
      </x:c>
      <x:c r="T449" t="n">
        <x:f>--(H449=$K449)</x:f>
        <x:v>0</x:v>
      </x:c>
      <x:c r="U449" t="n">
        <x:f>--(I449=$K449)</x:f>
        <x:v>0</x:v>
      </x:c>
      <x:c r="V449" t="n">
        <x:f>--(J449=$K449)</x:f>
        <x:v>0</x:v>
      </x:c>
    </x:row>
    <x:row r="450" ht="18" customHeight="1">
      <x:c r="A450" t="str">
        <x:v>bpps_d200n200m10w10_30s20_40f0_seed0</x:v>
      </x:c>
      <x:c r="B450" s="16" t="n">
        <x:v>200</x:v>
      </x:c>
      <x:c r="C450" s="16" t="n">
        <x:v>10</x:v>
      </x:c>
      <x:c r="D450" s="16" t="n">
        <x:v>200</x:v>
      </x:c>
      <x:c r="E450" s="16" t="n">
        <x:v>1992</x:v>
      </x:c>
      <x:c r="F450" s="12" t="n">
        <x:v>26</x:v>
      </x:c>
      <x:c r="G450" s="12" t="n">
        <x:v>39</x:v>
      </x:c>
      <x:c r="H450" s="12" t="n">
        <x:v>39</x:v>
      </x:c>
      <x:c r="I450" s="12" t="n">
        <x:v>39</x:v>
      </x:c>
      <x:c r="J450" s="12" t="n">
        <x:v>27</x:v>
      </x:c>
      <x:c r="K450" s="12" t="n">
        <x:f>MIN(F450:J450)</x:f>
        <x:v>26</x:v>
      </x:c>
      <x:c r="L450" t="str">
        <x:f>TEXTJOIN(", ",TRUE,IF(F450=K450,"IG",""),IF(G450=K450,"FFD",""),IF(H450=K450,"BFD",""),IF(I450=K450,"WFD",""),IF(J450=K450,"CTP",""))</x:f>
        <x:v>IG</x:v>
      </x:c>
      <x:c r="M450" s="14" t="n">
        <x:f>IFERROR((F450-$K450)/$K450,"")</x:f>
        <x:v>0</x:v>
      </x:c>
      <x:c r="N450" s="14" t="n">
        <x:f>IFERROR((G450-$K450)/$K450,"")</x:f>
        <x:v>0.5</x:v>
      </x:c>
      <x:c r="O450" s="14" t="n">
        <x:f>IFERROR((H450-$K450)/$K450,"")</x:f>
        <x:v>0.5</x:v>
      </x:c>
      <x:c r="P450" s="14" t="n">
        <x:f>IFERROR((I450-$K450)/$K450,"")</x:f>
        <x:v>0.5</x:v>
      </x:c>
      <x:c r="Q450" s="14" t="n">
        <x:f>IFERROR((J450-$K450)/$K450,"")</x:f>
        <x:v>0.038461538461538464</x:v>
      </x:c>
      <x:c r="R450" t="n">
        <x:f>--(F450=$K450)</x:f>
        <x:v>1</x:v>
      </x:c>
      <x:c r="S450" t="n">
        <x:f>--(G450=$K450)</x:f>
        <x:v>0</x:v>
      </x:c>
      <x:c r="T450" t="n">
        <x:f>--(H450=$K450)</x:f>
        <x:v>0</x:v>
      </x:c>
      <x:c r="U450" t="n">
        <x:f>--(I450=$K450)</x:f>
        <x:v>0</x:v>
      </x:c>
      <x:c r="V450" t="n">
        <x:f>--(J450=$K450)</x:f>
        <x:v>0</x:v>
      </x:c>
    </x:row>
    <x:row r="451" ht="18" customHeight="1">
      <x:c r="A451" t="str">
        <x:v>bpps_d200n200m10w10_30s20_40f0_seed1</x:v>
      </x:c>
      <x:c r="B451" s="16" t="n">
        <x:v>200</x:v>
      </x:c>
      <x:c r="C451" s="16" t="n">
        <x:v>10</x:v>
      </x:c>
      <x:c r="D451" s="16" t="n">
        <x:v>200</x:v>
      </x:c>
      <x:c r="E451" s="16" t="n">
        <x:v>2039</x:v>
      </x:c>
      <x:c r="F451" s="12" t="n">
        <x:v>28</x:v>
      </x:c>
      <x:c r="G451" s="12" t="n">
        <x:v>39</x:v>
      </x:c>
      <x:c r="H451" s="12" t="n">
        <x:v>39</x:v>
      </x:c>
      <x:c r="I451" s="12" t="n">
        <x:v>39</x:v>
      </x:c>
      <x:c r="J451" s="12" t="n">
        <x:v>28</x:v>
      </x:c>
      <x:c r="K451" s="12" t="n">
        <x:f>MIN(F451:J451)</x:f>
        <x:v>28</x:v>
      </x:c>
      <x:c r="L451" t="str">
        <x:f>TEXTJOIN(", ",TRUE,IF(F451=K451,"IG",""),IF(G451=K451,"FFD",""),IF(H451=K451,"BFD",""),IF(I451=K451,"WFD",""),IF(J451=K451,"CTP",""))</x:f>
        <x:v>IG, CTP</x:v>
      </x:c>
      <x:c r="M451" s="14" t="n">
        <x:f>IFERROR((F451-$K451)/$K451,"")</x:f>
        <x:v>0</x:v>
      </x:c>
      <x:c r="N451" s="14" t="n">
        <x:f>IFERROR((G451-$K451)/$K451,"")</x:f>
        <x:v>0.39285714285714285</x:v>
      </x:c>
      <x:c r="O451" s="14" t="n">
        <x:f>IFERROR((H451-$K451)/$K451,"")</x:f>
        <x:v>0.39285714285714285</x:v>
      </x:c>
      <x:c r="P451" s="14" t="n">
        <x:f>IFERROR((I451-$K451)/$K451,"")</x:f>
        <x:v>0.39285714285714285</x:v>
      </x:c>
      <x:c r="Q451" s="14" t="n">
        <x:f>IFERROR((J451-$K451)/$K451,"")</x:f>
        <x:v>0</x:v>
      </x:c>
      <x:c r="R451" t="n">
        <x:f>--(F451=$K451)</x:f>
        <x:v>1</x:v>
      </x:c>
      <x:c r="S451" t="n">
        <x:f>--(G451=$K451)</x:f>
        <x:v>0</x:v>
      </x:c>
      <x:c r="T451" t="n">
        <x:f>--(H451=$K451)</x:f>
        <x:v>0</x:v>
      </x:c>
      <x:c r="U451" t="n">
        <x:f>--(I451=$K451)</x:f>
        <x:v>0</x:v>
      </x:c>
      <x:c r="V451" t="n">
        <x:f>--(J451=$K451)</x:f>
        <x:v>1</x:v>
      </x:c>
    </x:row>
    <x:row r="452" ht="18" customHeight="1">
      <x:c r="A452" t="str">
        <x:v>bpps_d200n200m10w10_30s20_40f1_seed0</x:v>
      </x:c>
      <x:c r="B452" s="16" t="n">
        <x:v>200</x:v>
      </x:c>
      <x:c r="C452" s="16" t="n">
        <x:v>10</x:v>
      </x:c>
      <x:c r="D452" s="16" t="n">
        <x:v>200</x:v>
      </x:c>
      <x:c r="E452" s="16" t="n">
        <x:v>1942</x:v>
      </x:c>
      <x:c r="F452" s="12" t="n">
        <x:v>340</x:v>
      </x:c>
      <x:c r="G452" s="12" t="n">
        <x:v>710</x:v>
      </x:c>
      <x:c r="H452" s="12" t="n">
        <x:v>726</x:v>
      </x:c>
      <x:c r="I452" s="12" t="n">
        <x:v>707</x:v>
      </x:c>
      <x:c r="J452" s="12" t="n">
        <x:v>374</x:v>
      </x:c>
      <x:c r="K452" s="12" t="n">
        <x:f>MIN(F452:J452)</x:f>
        <x:v>340</x:v>
      </x:c>
      <x:c r="L452" t="str">
        <x:f>TEXTJOIN(", ",TRUE,IF(F452=K452,"IG",""),IF(G452=K452,"FFD",""),IF(H452=K452,"BFD",""),IF(I452=K452,"WFD",""),IF(J452=K452,"CTP",""))</x:f>
        <x:v>IG</x:v>
      </x:c>
      <x:c r="M452" s="14" t="n">
        <x:f>IFERROR((F452-$K452)/$K452,"")</x:f>
        <x:v>0</x:v>
      </x:c>
      <x:c r="N452" s="14" t="n">
        <x:f>IFERROR((G452-$K452)/$K452,"")</x:f>
        <x:v>1.088235294117647</x:v>
      </x:c>
      <x:c r="O452" s="14" t="n">
        <x:f>IFERROR((H452-$K452)/$K452,"")</x:f>
        <x:v>1.1352941176470588</x:v>
      </x:c>
      <x:c r="P452" s="14" t="n">
        <x:f>IFERROR((I452-$K452)/$K452,"")</x:f>
        <x:v>1.0794117647058823</x:v>
      </x:c>
      <x:c r="Q452" s="14" t="n">
        <x:f>IFERROR((J452-$K452)/$K452,"")</x:f>
        <x:v>0.1</x:v>
      </x:c>
      <x:c r="R452" t="n">
        <x:f>--(F452=$K452)</x:f>
        <x:v>1</x:v>
      </x:c>
      <x:c r="S452" t="n">
        <x:f>--(G452=$K452)</x:f>
        <x:v>0</x:v>
      </x:c>
      <x:c r="T452" t="n">
        <x:f>--(H452=$K452)</x:f>
        <x:v>0</x:v>
      </x:c>
      <x:c r="U452" t="n">
        <x:f>--(I452=$K452)</x:f>
        <x:v>0</x:v>
      </x:c>
      <x:c r="V452" t="n">
        <x:f>--(J452=$K452)</x:f>
        <x:v>0</x:v>
      </x:c>
    </x:row>
    <x:row r="453" ht="18" customHeight="1">
      <x:c r="A453" t="str">
        <x:v>bpps_d200n200m10w10_30s20_40f1_seed1</x:v>
      </x:c>
      <x:c r="B453" s="16" t="n">
        <x:v>200</x:v>
      </x:c>
      <x:c r="C453" s="16" t="n">
        <x:v>10</x:v>
      </x:c>
      <x:c r="D453" s="16" t="n">
        <x:v>200</x:v>
      </x:c>
      <x:c r="E453" s="16" t="n">
        <x:v>1943</x:v>
      </x:c>
      <x:c r="F453" s="12" t="n">
        <x:v>319</x:v>
      </x:c>
      <x:c r="G453" s="12" t="n">
        <x:v>680</x:v>
      </x:c>
      <x:c r="H453" s="12" t="n">
        <x:v>696</x:v>
      </x:c>
      <x:c r="I453" s="12" t="n">
        <x:v>695</x:v>
      </x:c>
      <x:c r="J453" s="12" t="n">
        <x:v>362</x:v>
      </x:c>
      <x:c r="K453" s="12" t="n">
        <x:f>MIN(F453:J453)</x:f>
        <x:v>319</x:v>
      </x:c>
      <x:c r="L453" t="str">
        <x:f>TEXTJOIN(", ",TRUE,IF(F453=K453,"IG",""),IF(G453=K453,"FFD",""),IF(H453=K453,"BFD",""),IF(I453=K453,"WFD",""),IF(J453=K453,"CTP",""))</x:f>
        <x:v>IG</x:v>
      </x:c>
      <x:c r="M453" s="14" t="n">
        <x:f>IFERROR((F453-$K453)/$K453,"")</x:f>
        <x:v>0</x:v>
      </x:c>
      <x:c r="N453" s="14" t="n">
        <x:f>IFERROR((G453-$K453)/$K453,"")</x:f>
        <x:v>1.1316614420062696</x:v>
      </x:c>
      <x:c r="O453" s="14" t="n">
        <x:f>IFERROR((H453-$K453)/$K453,"")</x:f>
        <x:v>1.1818181818181819</x:v>
      </x:c>
      <x:c r="P453" s="14" t="n">
        <x:f>IFERROR((I453-$K453)/$K453,"")</x:f>
        <x:v>1.1786833855799372</x:v>
      </x:c>
      <x:c r="Q453" s="14" t="n">
        <x:f>IFERROR((J453-$K453)/$K453,"")</x:f>
        <x:v>0.13479623824451412</x:v>
      </x:c>
      <x:c r="R453" t="n">
        <x:f>--(F453=$K453)</x:f>
        <x:v>1</x:v>
      </x:c>
      <x:c r="S453" t="n">
        <x:f>--(G453=$K453)</x:f>
        <x:v>0</x:v>
      </x:c>
      <x:c r="T453" t="n">
        <x:f>--(H453=$K453)</x:f>
        <x:v>0</x:v>
      </x:c>
      <x:c r="U453" t="n">
        <x:f>--(I453=$K453)</x:f>
        <x:v>0</x:v>
      </x:c>
      <x:c r="V453" t="n">
        <x:f>--(J453=$K453)</x:f>
        <x:v>0</x:v>
      </x:c>
    </x:row>
    <x:row r="454" ht="18" customHeight="1">
      <x:c r="A454" t="str">
        <x:v>bpps_d200n200m10w10_30s2_20f0_seed0</x:v>
      </x:c>
      <x:c r="B454" s="16" t="n">
        <x:v>200</x:v>
      </x:c>
      <x:c r="C454" s="16" t="n">
        <x:v>10</x:v>
      </x:c>
      <x:c r="D454" s="16" t="n">
        <x:v>200</x:v>
      </x:c>
      <x:c r="E454" s="16" t="n">
        <x:v>2010</x:v>
      </x:c>
      <x:c r="F454" s="12" t="n">
        <x:v>23</x:v>
      </x:c>
      <x:c r="G454" s="12" t="n">
        <x:v>28</x:v>
      </x:c>
      <x:c r="H454" s="12" t="n">
        <x:v>28</x:v>
      </x:c>
      <x:c r="I454" s="12" t="n">
        <x:v>28</x:v>
      </x:c>
      <x:c r="J454" s="12" t="n">
        <x:v>26</x:v>
      </x:c>
      <x:c r="K454" s="12" t="n">
        <x:f>MIN(F454:J454)</x:f>
        <x:v>23</x:v>
      </x:c>
      <x:c r="L454" t="str">
        <x:f>TEXTJOIN(", ",TRUE,IF(F454=K454,"IG",""),IF(G454=K454,"FFD",""),IF(H454=K454,"BFD",""),IF(I454=K454,"WFD",""),IF(J454=K454,"CTP",""))</x:f>
        <x:v>IG</x:v>
      </x:c>
      <x:c r="M454" s="14" t="n">
        <x:f>IFERROR((F454-$K454)/$K454,"")</x:f>
        <x:v>0</x:v>
      </x:c>
      <x:c r="N454" s="14" t="n">
        <x:f>IFERROR((G454-$K454)/$K454,"")</x:f>
        <x:v>0.21739130434782608</x:v>
      </x:c>
      <x:c r="O454" s="14" t="n">
        <x:f>IFERROR((H454-$K454)/$K454,"")</x:f>
        <x:v>0.21739130434782608</x:v>
      </x:c>
      <x:c r="P454" s="14" t="n">
        <x:f>IFERROR((I454-$K454)/$K454,"")</x:f>
        <x:v>0.21739130434782608</x:v>
      </x:c>
      <x:c r="Q454" s="14" t="n">
        <x:f>IFERROR((J454-$K454)/$K454,"")</x:f>
        <x:v>0.13043478260869565</x:v>
      </x:c>
      <x:c r="R454" t="n">
        <x:f>--(F454=$K454)</x:f>
        <x:v>1</x:v>
      </x:c>
      <x:c r="S454" t="n">
        <x:f>--(G454=$K454)</x:f>
        <x:v>0</x:v>
      </x:c>
      <x:c r="T454" t="n">
        <x:f>--(H454=$K454)</x:f>
        <x:v>0</x:v>
      </x:c>
      <x:c r="U454" t="n">
        <x:f>--(I454=$K454)</x:f>
        <x:v>0</x:v>
      </x:c>
      <x:c r="V454" t="n">
        <x:f>--(J454=$K454)</x:f>
        <x:v>0</x:v>
      </x:c>
    </x:row>
    <x:row r="455" ht="18" customHeight="1">
      <x:c r="A455" t="str">
        <x:v>bpps_d200n200m10w10_30s2_20f0_seed1</x:v>
      </x:c>
      <x:c r="B455" s="16" t="n">
        <x:v>200</x:v>
      </x:c>
      <x:c r="C455" s="16" t="n">
        <x:v>10</x:v>
      </x:c>
      <x:c r="D455" s="16" t="n">
        <x:v>200</x:v>
      </x:c>
      <x:c r="E455" s="16" t="n">
        <x:v>1933</x:v>
      </x:c>
      <x:c r="F455" s="12" t="n">
        <x:v>23</x:v>
      </x:c>
      <x:c r="G455" s="12" t="n">
        <x:v>27</x:v>
      </x:c>
      <x:c r="H455" s="12" t="n">
        <x:v>27</x:v>
      </x:c>
      <x:c r="I455" s="12" t="n">
        <x:v>28</x:v>
      </x:c>
      <x:c r="J455" s="12" t="n">
        <x:v>24</x:v>
      </x:c>
      <x:c r="K455" s="12" t="n">
        <x:f>MIN(F455:J455)</x:f>
        <x:v>23</x:v>
      </x:c>
      <x:c r="L455" t="str">
        <x:f>TEXTJOIN(", ",TRUE,IF(F455=K455,"IG",""),IF(G455=K455,"FFD",""),IF(H455=K455,"BFD",""),IF(I455=K455,"WFD",""),IF(J455=K455,"CTP",""))</x:f>
        <x:v>IG</x:v>
      </x:c>
      <x:c r="M455" s="14" t="n">
        <x:f>IFERROR((F455-$K455)/$K455,"")</x:f>
        <x:v>0</x:v>
      </x:c>
      <x:c r="N455" s="14" t="n">
        <x:f>IFERROR((G455-$K455)/$K455,"")</x:f>
        <x:v>0.17391304347826086</x:v>
      </x:c>
      <x:c r="O455" s="14" t="n">
        <x:f>IFERROR((H455-$K455)/$K455,"")</x:f>
        <x:v>0.17391304347826086</x:v>
      </x:c>
      <x:c r="P455" s="14" t="n">
        <x:f>IFERROR((I455-$K455)/$K455,"")</x:f>
        <x:v>0.21739130434782608</x:v>
      </x:c>
      <x:c r="Q455" s="14" t="n">
        <x:f>IFERROR((J455-$K455)/$K455,"")</x:f>
        <x:v>0.043478260869565216</x:v>
      </x:c>
      <x:c r="R455" t="n">
        <x:f>--(F455=$K455)</x:f>
        <x:v>1</x:v>
      </x:c>
      <x:c r="S455" t="n">
        <x:f>--(G455=$K455)</x:f>
        <x:v>0</x:v>
      </x:c>
      <x:c r="T455" t="n">
        <x:f>--(H455=$K455)</x:f>
        <x:v>0</x:v>
      </x:c>
      <x:c r="U455" t="n">
        <x:f>--(I455=$K455)</x:f>
        <x:v>0</x:v>
      </x:c>
      <x:c r="V455" t="n">
        <x:f>--(J455=$K455)</x:f>
        <x:v>0</x:v>
      </x:c>
    </x:row>
    <x:row r="456" ht="18" customHeight="1">
      <x:c r="A456" t="str">
        <x:v>bpps_d200n200m10w10_30s2_20f1_seed0</x:v>
      </x:c>
      <x:c r="B456" s="16" t="n">
        <x:v>200</x:v>
      </x:c>
      <x:c r="C456" s="16" t="n">
        <x:v>10</x:v>
      </x:c>
      <x:c r="D456" s="16" t="n">
        <x:v>200</x:v>
      </x:c>
      <x:c r="E456" s="16" t="n">
        <x:v>2023</x:v>
      </x:c>
      <x:c r="F456" s="12" t="n">
        <x:v>298</x:v>
      </x:c>
      <x:c r="G456" s="12" t="n">
        <x:v>612</x:v>
      </x:c>
      <x:c r="H456" s="12" t="n">
        <x:v>612</x:v>
      </x:c>
      <x:c r="I456" s="12" t="n">
        <x:v>605</x:v>
      </x:c>
      <x:c r="J456" s="12" t="n">
        <x:v>350</x:v>
      </x:c>
      <x:c r="K456" s="12" t="n">
        <x:f>MIN(F456:J456)</x:f>
        <x:v>298</x:v>
      </x:c>
      <x:c r="L456" t="str">
        <x:f>TEXTJOIN(", ",TRUE,IF(F456=K456,"IG",""),IF(G456=K456,"FFD",""),IF(H456=K456,"BFD",""),IF(I456=K456,"WFD",""),IF(J456=K456,"CTP",""))</x:f>
        <x:v>IG</x:v>
      </x:c>
      <x:c r="M456" s="14" t="n">
        <x:f>IFERROR((F456-$K456)/$K456,"")</x:f>
        <x:v>0</x:v>
      </x:c>
      <x:c r="N456" s="14" t="n">
        <x:f>IFERROR((G456-$K456)/$K456,"")</x:f>
        <x:v>1.0536912751677852</x:v>
      </x:c>
      <x:c r="O456" s="14" t="n">
        <x:f>IFERROR((H456-$K456)/$K456,"")</x:f>
        <x:v>1.0536912751677852</x:v>
      </x:c>
      <x:c r="P456" s="14" t="n">
        <x:f>IFERROR((I456-$K456)/$K456,"")</x:f>
        <x:v>1.0302013422818792</x:v>
      </x:c>
      <x:c r="Q456" s="14" t="n">
        <x:f>IFERROR((J456-$K456)/$K456,"")</x:f>
        <x:v>0.174496644295302</x:v>
      </x:c>
      <x:c r="R456" t="n">
        <x:f>--(F456=$K456)</x:f>
        <x:v>1</x:v>
      </x:c>
      <x:c r="S456" t="n">
        <x:f>--(G456=$K456)</x:f>
        <x:v>0</x:v>
      </x:c>
      <x:c r="T456" t="n">
        <x:f>--(H456=$K456)</x:f>
        <x:v>0</x:v>
      </x:c>
      <x:c r="U456" t="n">
        <x:f>--(I456=$K456)</x:f>
        <x:v>0</x:v>
      </x:c>
      <x:c r="V456" t="n">
        <x:f>--(J456=$K456)</x:f>
        <x:v>0</x:v>
      </x:c>
    </x:row>
    <x:row r="457" ht="18" customHeight="1">
      <x:c r="A457" t="str">
        <x:v>bpps_d200n200m10w10_30s2_20f1_seed1</x:v>
      </x:c>
      <x:c r="B457" s="16" t="n">
        <x:v>200</x:v>
      </x:c>
      <x:c r="C457" s="16" t="n">
        <x:v>10</x:v>
      </x:c>
      <x:c r="D457" s="16" t="n">
        <x:v>200</x:v>
      </x:c>
      <x:c r="E457" s="16" t="n">
        <x:v>2042</x:v>
      </x:c>
      <x:c r="F457" s="12" t="n">
        <x:v>302</x:v>
      </x:c>
      <x:c r="G457" s="12" t="n">
        <x:v>555</x:v>
      </x:c>
      <x:c r="H457" s="12" t="n">
        <x:v>550</x:v>
      </x:c>
      <x:c r="I457" s="12" t="n">
        <x:v>558</x:v>
      </x:c>
      <x:c r="J457" s="12" t="n">
        <x:v>334</x:v>
      </x:c>
      <x:c r="K457" s="12" t="n">
        <x:f>MIN(F457:J457)</x:f>
        <x:v>302</x:v>
      </x:c>
      <x:c r="L457" t="str">
        <x:f>TEXTJOIN(", ",TRUE,IF(F457=K457,"IG",""),IF(G457=K457,"FFD",""),IF(H457=K457,"BFD",""),IF(I457=K457,"WFD",""),IF(J457=K457,"CTP",""))</x:f>
        <x:v>IG</x:v>
      </x:c>
      <x:c r="M457" s="14" t="n">
        <x:f>IFERROR((F457-$K457)/$K457,"")</x:f>
        <x:v>0</x:v>
      </x:c>
      <x:c r="N457" s="14" t="n">
        <x:f>IFERROR((G457-$K457)/$K457,"")</x:f>
        <x:v>0.8377483443708609</x:v>
      </x:c>
      <x:c r="O457" s="14" t="n">
        <x:f>IFERROR((H457-$K457)/$K457,"")</x:f>
        <x:v>0.8211920529801324</x:v>
      </x:c>
      <x:c r="P457" s="14" t="n">
        <x:f>IFERROR((I457-$K457)/$K457,"")</x:f>
        <x:v>0.847682119205298</x:v>
      </x:c>
      <x:c r="Q457" s="14" t="n">
        <x:f>IFERROR((J457-$K457)/$K457,"")</x:f>
        <x:v>0.10596026490066225</x:v>
      </x:c>
      <x:c r="R457" t="n">
        <x:f>--(F457=$K457)</x:f>
        <x:v>1</x:v>
      </x:c>
      <x:c r="S457" t="n">
        <x:f>--(G457=$K457)</x:f>
        <x:v>0</x:v>
      </x:c>
      <x:c r="T457" t="n">
        <x:f>--(H457=$K457)</x:f>
        <x:v>0</x:v>
      </x:c>
      <x:c r="U457" t="n">
        <x:f>--(I457=$K457)</x:f>
        <x:v>0</x:v>
      </x:c>
      <x:c r="V457" t="n">
        <x:f>--(J457=$K457)</x:f>
        <x:v>0</x:v>
      </x:c>
    </x:row>
    <x:row r="458" ht="18" customHeight="1">
      <x:c r="A458" t="str">
        <x:v>bpps_d200n200m10w30_60s20_40f0_seed0</x:v>
      </x:c>
      <x:c r="B458" s="16" t="n">
        <x:v>200</x:v>
      </x:c>
      <x:c r="C458" s="16" t="n">
        <x:v>10</x:v>
      </x:c>
      <x:c r="D458" s="16" t="n">
        <x:v>200</x:v>
      </x:c>
      <x:c r="E458" s="16" t="n">
        <x:v>1956</x:v>
      </x:c>
      <x:c r="F458" s="12" t="n">
        <x:v>60</x:v>
      </x:c>
      <x:c r="G458" s="12" t="n">
        <x:v>70</x:v>
      </x:c>
      <x:c r="H458" s="12" t="n">
        <x:v>70</x:v>
      </x:c>
      <x:c r="I458" s="12" t="n">
        <x:v>71</x:v>
      </x:c>
      <x:c r="J458" s="12" t="n">
        <x:v>60</x:v>
      </x:c>
      <x:c r="K458" s="12" t="n">
        <x:f>MIN(F458:J458)</x:f>
        <x:v>60</x:v>
      </x:c>
      <x:c r="L458" t="str">
        <x:f>TEXTJOIN(", ",TRUE,IF(F458=K458,"IG",""),IF(G458=K458,"FFD",""),IF(H458=K458,"BFD",""),IF(I458=K458,"WFD",""),IF(J458=K458,"CTP",""))</x:f>
        <x:v>IG, CTP</x:v>
      </x:c>
      <x:c r="M458" s="14" t="n">
        <x:f>IFERROR((F458-$K458)/$K458,"")</x:f>
        <x:v>0</x:v>
      </x:c>
      <x:c r="N458" s="14" t="n">
        <x:f>IFERROR((G458-$K458)/$K458,"")</x:f>
        <x:v>0.16666666666666666</x:v>
      </x:c>
      <x:c r="O458" s="14" t="n">
        <x:f>IFERROR((H458-$K458)/$K458,"")</x:f>
        <x:v>0.16666666666666666</x:v>
      </x:c>
      <x:c r="P458" s="14" t="n">
        <x:f>IFERROR((I458-$K458)/$K458,"")</x:f>
        <x:v>0.18333333333333332</x:v>
      </x:c>
      <x:c r="Q458" s="14" t="n">
        <x:f>IFERROR((J458-$K458)/$K458,"")</x:f>
        <x:v>0</x:v>
      </x:c>
      <x:c r="R458" t="n">
        <x:f>--(F458=$K458)</x:f>
        <x:v>1</x:v>
      </x:c>
      <x:c r="S458" t="n">
        <x:f>--(G458=$K458)</x:f>
        <x:v>0</x:v>
      </x:c>
      <x:c r="T458" t="n">
        <x:f>--(H458=$K458)</x:f>
        <x:v>0</x:v>
      </x:c>
      <x:c r="U458" t="n">
        <x:f>--(I458=$K458)</x:f>
        <x:v>0</x:v>
      </x:c>
      <x:c r="V458" t="n">
        <x:f>--(J458=$K458)</x:f>
        <x:v>1</x:v>
      </x:c>
    </x:row>
    <x:row r="459" ht="18" customHeight="1">
      <x:c r="A459" t="str">
        <x:v>bpps_d200n200m10w30_60s20_40f0_seed1</x:v>
      </x:c>
      <x:c r="B459" s="16" t="n">
        <x:v>200</x:v>
      </x:c>
      <x:c r="C459" s="16" t="n">
        <x:v>10</x:v>
      </x:c>
      <x:c r="D459" s="16" t="n">
        <x:v>200</x:v>
      </x:c>
      <x:c r="E459" s="16" t="n">
        <x:v>1953</x:v>
      </x:c>
      <x:c r="F459" s="12" t="n">
        <x:v>58</x:v>
      </x:c>
      <x:c r="G459" s="12" t="n">
        <x:v>69</x:v>
      </x:c>
      <x:c r="H459" s="12" t="n">
        <x:v>69</x:v>
      </x:c>
      <x:c r="I459" s="12" t="n">
        <x:v>69</x:v>
      </x:c>
      <x:c r="J459" s="12" t="n">
        <x:v>59</x:v>
      </x:c>
      <x:c r="K459" s="12" t="n">
        <x:f>MIN(F459:J459)</x:f>
        <x:v>58</x:v>
      </x:c>
      <x:c r="L459" t="str">
        <x:f>TEXTJOIN(", ",TRUE,IF(F459=K459,"IG",""),IF(G459=K459,"FFD",""),IF(H459=K459,"BFD",""),IF(I459=K459,"WFD",""),IF(J459=K459,"CTP",""))</x:f>
        <x:v>IG</x:v>
      </x:c>
      <x:c r="M459" s="14" t="n">
        <x:f>IFERROR((F459-$K459)/$K459,"")</x:f>
        <x:v>0</x:v>
      </x:c>
      <x:c r="N459" s="14" t="n">
        <x:f>IFERROR((G459-$K459)/$K459,"")</x:f>
        <x:v>0.1896551724137931</x:v>
      </x:c>
      <x:c r="O459" s="14" t="n">
        <x:f>IFERROR((H459-$K459)/$K459,"")</x:f>
        <x:v>0.1896551724137931</x:v>
      </x:c>
      <x:c r="P459" s="14" t="n">
        <x:f>IFERROR((I459-$K459)/$K459,"")</x:f>
        <x:v>0.1896551724137931</x:v>
      </x:c>
      <x:c r="Q459" s="14" t="n">
        <x:f>IFERROR((J459-$K459)/$K459,"")</x:f>
        <x:v>0.017241379310344827</x:v>
      </x:c>
      <x:c r="R459" t="n">
        <x:f>--(F459=$K459)</x:f>
        <x:v>1</x:v>
      </x:c>
      <x:c r="S459" t="n">
        <x:f>--(G459=$K459)</x:f>
        <x:v>0</x:v>
      </x:c>
      <x:c r="T459" t="n">
        <x:f>--(H459=$K459)</x:f>
        <x:v>0</x:v>
      </x:c>
      <x:c r="U459" t="n">
        <x:f>--(I459=$K459)</x:f>
        <x:v>0</x:v>
      </x:c>
      <x:c r="V459" t="n">
        <x:f>--(J459=$K459)</x:f>
        <x:v>0</x:v>
      </x:c>
    </x:row>
    <x:row r="460" ht="18" customHeight="1">
      <x:c r="A460" t="str">
        <x:v>bpps_d200n200m10w30_60s20_40f1_seed0</x:v>
      </x:c>
      <x:c r="B460" s="16" t="n">
        <x:v>200</x:v>
      </x:c>
      <x:c r="C460" s="16" t="n">
        <x:v>10</x:v>
      </x:c>
      <x:c r="D460" s="16" t="n">
        <x:v>200</x:v>
      </x:c>
      <x:c r="E460" s="16" t="n">
        <x:v>1909</x:v>
      </x:c>
      <x:c r="F460" s="12" t="n">
        <x:v>720</x:v>
      </x:c>
      <x:c r="G460" s="12" t="n">
        <x:v>1064</x:v>
      </x:c>
      <x:c r="H460" s="12" t="n">
        <x:v>1066</x:v>
      </x:c>
      <x:c r="I460" s="12" t="n">
        <x:v>1098</x:v>
      </x:c>
      <x:c r="J460" s="12" t="n">
        <x:v>771</x:v>
      </x:c>
      <x:c r="K460" s="12" t="n">
        <x:f>MIN(F460:J460)</x:f>
        <x:v>720</x:v>
      </x:c>
      <x:c r="L460" t="str">
        <x:f>TEXTJOIN(", ",TRUE,IF(F460=K460,"IG",""),IF(G460=K460,"FFD",""),IF(H460=K460,"BFD",""),IF(I460=K460,"WFD",""),IF(J460=K460,"CTP",""))</x:f>
        <x:v>IG</x:v>
      </x:c>
      <x:c r="M460" s="14" t="n">
        <x:f>IFERROR((F460-$K460)/$K460,"")</x:f>
        <x:v>0</x:v>
      </x:c>
      <x:c r="N460" s="14" t="n">
        <x:f>IFERROR((G460-$K460)/$K460,"")</x:f>
        <x:v>0.4777777777777778</x:v>
      </x:c>
      <x:c r="O460" s="14" t="n">
        <x:f>IFERROR((H460-$K460)/$K460,"")</x:f>
        <x:v>0.48055555555555557</x:v>
      </x:c>
      <x:c r="P460" s="14" t="n">
        <x:f>IFERROR((I460-$K460)/$K460,"")</x:f>
        <x:v>0.525</x:v>
      </x:c>
      <x:c r="Q460" s="14" t="n">
        <x:f>IFERROR((J460-$K460)/$K460,"")</x:f>
        <x:v>0.07083333333333333</x:v>
      </x:c>
      <x:c r="R460" t="n">
        <x:f>--(F460=$K460)</x:f>
        <x:v>1</x:v>
      </x:c>
      <x:c r="S460" t="n">
        <x:f>--(G460=$K460)</x:f>
        <x:v>0</x:v>
      </x:c>
      <x:c r="T460" t="n">
        <x:f>--(H460=$K460)</x:f>
        <x:v>0</x:v>
      </x:c>
      <x:c r="U460" t="n">
        <x:f>--(I460=$K460)</x:f>
        <x:v>0</x:v>
      </x:c>
      <x:c r="V460" t="n">
        <x:f>--(J460=$K460)</x:f>
        <x:v>0</x:v>
      </x:c>
    </x:row>
    <x:row r="461" ht="18" customHeight="1">
      <x:c r="A461" t="str">
        <x:v>bpps_d200n200m10w30_60s20_40f1_seed1</x:v>
      </x:c>
      <x:c r="B461" s="16" t="n">
        <x:v>200</x:v>
      </x:c>
      <x:c r="C461" s="16" t="n">
        <x:v>10</x:v>
      </x:c>
      <x:c r="D461" s="16" t="n">
        <x:v>200</x:v>
      </x:c>
      <x:c r="E461" s="16" t="n">
        <x:v>1995</x:v>
      </x:c>
      <x:c r="F461" s="12" t="n">
        <x:v>760</x:v>
      </x:c>
      <x:c r="G461" s="12" t="n">
        <x:v>1177</x:v>
      </x:c>
      <x:c r="H461" s="12" t="n">
        <x:v>1191</x:v>
      </x:c>
      <x:c r="I461" s="12" t="n">
        <x:v>1200</x:v>
      </x:c>
      <x:c r="J461" s="12" t="n">
        <x:v>790</x:v>
      </x:c>
      <x:c r="K461" s="12" t="n">
        <x:f>MIN(F461:J461)</x:f>
        <x:v>760</x:v>
      </x:c>
      <x:c r="L461" t="str">
        <x:f>TEXTJOIN(", ",TRUE,IF(F461=K461,"IG",""),IF(G461=K461,"FFD",""),IF(H461=K461,"BFD",""),IF(I461=K461,"WFD",""),IF(J461=K461,"CTP",""))</x:f>
        <x:v>IG</x:v>
      </x:c>
      <x:c r="M461" s="14" t="n">
        <x:f>IFERROR((F461-$K461)/$K461,"")</x:f>
        <x:v>0</x:v>
      </x:c>
      <x:c r="N461" s="14" t="n">
        <x:f>IFERROR((G461-$K461)/$K461,"")</x:f>
        <x:v>0.5486842105263158</x:v>
      </x:c>
      <x:c r="O461" s="14" t="n">
        <x:f>IFERROR((H461-$K461)/$K461,"")</x:f>
        <x:v>0.5671052631578948</x:v>
      </x:c>
      <x:c r="P461" s="14" t="n">
        <x:f>IFERROR((I461-$K461)/$K461,"")</x:f>
        <x:v>0.5789473684210527</x:v>
      </x:c>
      <x:c r="Q461" s="14" t="n">
        <x:f>IFERROR((J461-$K461)/$K461,"")</x:f>
        <x:v>0.039473684210526314</x:v>
      </x:c>
      <x:c r="R461" t="n">
        <x:f>--(F461=$K461)</x:f>
        <x:v>1</x:v>
      </x:c>
      <x:c r="S461" t="n">
        <x:f>--(G461=$K461)</x:f>
        <x:v>0</x:v>
      </x:c>
      <x:c r="T461" t="n">
        <x:f>--(H461=$K461)</x:f>
        <x:v>0</x:v>
      </x:c>
      <x:c r="U461" t="n">
        <x:f>--(I461=$K461)</x:f>
        <x:v>0</x:v>
      </x:c>
      <x:c r="V461" t="n">
        <x:f>--(J461=$K461)</x:f>
        <x:v>0</x:v>
      </x:c>
    </x:row>
    <x:row r="462" ht="18" customHeight="1">
      <x:c r="A462" t="str">
        <x:v>bpps_d200n200m10w30_60s2_20f0_seed0</x:v>
      </x:c>
      <x:c r="B462" s="16" t="n">
        <x:v>200</x:v>
      </x:c>
      <x:c r="C462" s="16" t="n">
        <x:v>10</x:v>
      </x:c>
      <x:c r="D462" s="16" t="n">
        <x:v>200</x:v>
      </x:c>
      <x:c r="E462" s="16" t="n">
        <x:v>1971</x:v>
      </x:c>
      <x:c r="F462" s="12" t="n">
        <x:v>53</x:v>
      </x:c>
      <x:c r="G462" s="12" t="n">
        <x:v>57</x:v>
      </x:c>
      <x:c r="H462" s="12" t="n">
        <x:v>57</x:v>
      </x:c>
      <x:c r="I462" s="12" t="n">
        <x:v>58</x:v>
      </x:c>
      <x:c r="J462" s="12" t="n">
        <x:v>55</x:v>
      </x:c>
      <x:c r="K462" s="12" t="n">
        <x:f>MIN(F462:J462)</x:f>
        <x:v>53</x:v>
      </x:c>
      <x:c r="L462" t="str">
        <x:f>TEXTJOIN(", ",TRUE,IF(F462=K462,"IG",""),IF(G462=K462,"FFD",""),IF(H462=K462,"BFD",""),IF(I462=K462,"WFD",""),IF(J462=K462,"CTP",""))</x:f>
        <x:v>IG</x:v>
      </x:c>
      <x:c r="M462" s="14" t="n">
        <x:f>IFERROR((F462-$K462)/$K462,"")</x:f>
        <x:v>0</x:v>
      </x:c>
      <x:c r="N462" s="14" t="n">
        <x:f>IFERROR((G462-$K462)/$K462,"")</x:f>
        <x:v>0.07547169811320754</x:v>
      </x:c>
      <x:c r="O462" s="14" t="n">
        <x:f>IFERROR((H462-$K462)/$K462,"")</x:f>
        <x:v>0.07547169811320754</x:v>
      </x:c>
      <x:c r="P462" s="14" t="n">
        <x:f>IFERROR((I462-$K462)/$K462,"")</x:f>
        <x:v>0.09433962264150944</x:v>
      </x:c>
      <x:c r="Q462" s="14" t="n">
        <x:f>IFERROR((J462-$K462)/$K462,"")</x:f>
        <x:v>0.03773584905660377</x:v>
      </x:c>
      <x:c r="R462" t="n">
        <x:f>--(F462=$K462)</x:f>
        <x:v>1</x:v>
      </x:c>
      <x:c r="S462" t="n">
        <x:f>--(G462=$K462)</x:f>
        <x:v>0</x:v>
      </x:c>
      <x:c r="T462" t="n">
        <x:f>--(H462=$K462)</x:f>
        <x:v>0</x:v>
      </x:c>
      <x:c r="U462" t="n">
        <x:f>--(I462=$K462)</x:f>
        <x:v>0</x:v>
      </x:c>
      <x:c r="V462" t="n">
        <x:f>--(J462=$K462)</x:f>
        <x:v>0</x:v>
      </x:c>
    </x:row>
    <x:row r="463" ht="18" customHeight="1">
      <x:c r="A463" t="str">
        <x:v>bpps_d200n200m10w30_60s2_20f0_seed1</x:v>
      </x:c>
      <x:c r="B463" s="16" t="n">
        <x:v>200</x:v>
      </x:c>
      <x:c r="C463" s="16" t="n">
        <x:v>10</x:v>
      </x:c>
      <x:c r="D463" s="16" t="n">
        <x:v>200</x:v>
      </x:c>
      <x:c r="E463" s="16" t="n">
        <x:v>1971</x:v>
      </x:c>
      <x:c r="F463" s="12" t="n">
        <x:v>52</x:v>
      </x:c>
      <x:c r="G463" s="12" t="n">
        <x:v>56</x:v>
      </x:c>
      <x:c r="H463" s="12" t="n">
        <x:v>56</x:v>
      </x:c>
      <x:c r="I463" s="12" t="n">
        <x:v>57</x:v>
      </x:c>
      <x:c r="J463" s="12" t="n">
        <x:v>52</x:v>
      </x:c>
      <x:c r="K463" s="12" t="n">
        <x:f>MIN(F463:J463)</x:f>
        <x:v>52</x:v>
      </x:c>
      <x:c r="L463" t="str">
        <x:f>TEXTJOIN(", ",TRUE,IF(F463=K463,"IG",""),IF(G463=K463,"FFD",""),IF(H463=K463,"BFD",""),IF(I463=K463,"WFD",""),IF(J463=K463,"CTP",""))</x:f>
        <x:v>IG, CTP</x:v>
      </x:c>
      <x:c r="M463" s="14" t="n">
        <x:f>IFERROR((F463-$K463)/$K463,"")</x:f>
        <x:v>0</x:v>
      </x:c>
      <x:c r="N463" s="14" t="n">
        <x:f>IFERROR((G463-$K463)/$K463,"")</x:f>
        <x:v>0.07692307692307693</x:v>
      </x:c>
      <x:c r="O463" s="14" t="n">
        <x:f>IFERROR((H463-$K463)/$K463,"")</x:f>
        <x:v>0.07692307692307693</x:v>
      </x:c>
      <x:c r="P463" s="14" t="n">
        <x:f>IFERROR((I463-$K463)/$K463,"")</x:f>
        <x:v>0.09615384615384616</x:v>
      </x:c>
      <x:c r="Q463" s="14" t="n">
        <x:f>IFERROR((J463-$K463)/$K463,"")</x:f>
        <x:v>0</x:v>
      </x:c>
      <x:c r="R463" t="n">
        <x:f>--(F463=$K463)</x:f>
        <x:v>1</x:v>
      </x:c>
      <x:c r="S463" t="n">
        <x:f>--(G463=$K463)</x:f>
        <x:v>0</x:v>
      </x:c>
      <x:c r="T463" t="n">
        <x:f>--(H463=$K463)</x:f>
        <x:v>0</x:v>
      </x:c>
      <x:c r="U463" t="n">
        <x:f>--(I463=$K463)</x:f>
        <x:v>0</x:v>
      </x:c>
      <x:c r="V463" t="n">
        <x:f>--(J463=$K463)</x:f>
        <x:v>1</x:v>
      </x:c>
    </x:row>
    <x:row r="464" ht="18" customHeight="1">
      <x:c r="A464" t="str">
        <x:v>bpps_d200n200m10w30_60s2_20f1_seed0</x:v>
      </x:c>
      <x:c r="B464" s="16" t="n">
        <x:v>200</x:v>
      </x:c>
      <x:c r="C464" s="16" t="n">
        <x:v>10</x:v>
      </x:c>
      <x:c r="D464" s="16" t="n">
        <x:v>200</x:v>
      </x:c>
      <x:c r="E464" s="16" t="n">
        <x:v>2004</x:v>
      </x:c>
      <x:c r="F464" s="12" t="n">
        <x:v>666</x:v>
      </x:c>
      <x:c r="G464" s="12" t="n">
        <x:v>985</x:v>
      </x:c>
      <x:c r="H464" s="12" t="n">
        <x:v>1001</x:v>
      </x:c>
      <x:c r="I464" s="12" t="n">
        <x:v>999</x:v>
      </x:c>
      <x:c r="J464" s="12" t="n">
        <x:v>697</x:v>
      </x:c>
      <x:c r="K464" s="12" t="n">
        <x:f>MIN(F464:J464)</x:f>
        <x:v>666</x:v>
      </x:c>
      <x:c r="L464" t="str">
        <x:f>TEXTJOIN(", ",TRUE,IF(F464=K464,"IG",""),IF(G464=K464,"FFD",""),IF(H464=K464,"BFD",""),IF(I464=K464,"WFD",""),IF(J464=K464,"CTP",""))</x:f>
        <x:v>IG</x:v>
      </x:c>
      <x:c r="M464" s="14" t="n">
        <x:f>IFERROR((F464-$K464)/$K464,"")</x:f>
        <x:v>0</x:v>
      </x:c>
      <x:c r="N464" s="14" t="n">
        <x:f>IFERROR((G464-$K464)/$K464,"")</x:f>
        <x:v>0.47897897897897895</x:v>
      </x:c>
      <x:c r="O464" s="14" t="n">
        <x:f>IFERROR((H464-$K464)/$K464,"")</x:f>
        <x:v>0.503003003003003</x:v>
      </x:c>
      <x:c r="P464" s="14" t="n">
        <x:f>IFERROR((I464-$K464)/$K464,"")</x:f>
        <x:v>0.5</x:v>
      </x:c>
      <x:c r="Q464" s="14" t="n">
        <x:f>IFERROR((J464-$K464)/$K464,"")</x:f>
        <x:v>0.046546546546546545</x:v>
      </x:c>
      <x:c r="R464" t="n">
        <x:f>--(F464=$K464)</x:f>
        <x:v>1</x:v>
      </x:c>
      <x:c r="S464" t="n">
        <x:f>--(G464=$K464)</x:f>
        <x:v>0</x:v>
      </x:c>
      <x:c r="T464" t="n">
        <x:f>--(H464=$K464)</x:f>
        <x:v>0</x:v>
      </x:c>
      <x:c r="U464" t="n">
        <x:f>--(I464=$K464)</x:f>
        <x:v>0</x:v>
      </x:c>
      <x:c r="V464" t="n">
        <x:f>--(J464=$K464)</x:f>
        <x:v>0</x:v>
      </x:c>
    </x:row>
    <x:row r="465" ht="18" customHeight="1">
      <x:c r="A465" t="str">
        <x:v>bpps_d200n200m10w30_60s2_20f1_seed1</x:v>
      </x:c>
      <x:c r="B465" s="16" t="n">
        <x:v>200</x:v>
      </x:c>
      <x:c r="C465" s="16" t="n">
        <x:v>10</x:v>
      </x:c>
      <x:c r="D465" s="16" t="n">
        <x:v>200</x:v>
      </x:c>
      <x:c r="E465" s="16" t="n">
        <x:v>2004</x:v>
      </x:c>
      <x:c r="F465" s="12" t="n">
        <x:v>675</x:v>
      </x:c>
      <x:c r="G465" s="12" t="n">
        <x:v>1091</x:v>
      </x:c>
      <x:c r="H465" s="12" t="n">
        <x:v>1075</x:v>
      </x:c>
      <x:c r="I465" s="12" t="n">
        <x:v>1113</x:v>
      </x:c>
      <x:c r="J465" s="12" t="n">
        <x:v>733</x:v>
      </x:c>
      <x:c r="K465" s="12" t="n">
        <x:f>MIN(F465:J465)</x:f>
        <x:v>675</x:v>
      </x:c>
      <x:c r="L465" t="str">
        <x:f>TEXTJOIN(", ",TRUE,IF(F465=K465,"IG",""),IF(G465=K465,"FFD",""),IF(H465=K465,"BFD",""),IF(I465=K465,"WFD",""),IF(J465=K465,"CTP",""))</x:f>
        <x:v>IG</x:v>
      </x:c>
      <x:c r="M465" s="14" t="n">
        <x:f>IFERROR((F465-$K465)/$K465,"")</x:f>
        <x:v>0</x:v>
      </x:c>
      <x:c r="N465" s="14" t="n">
        <x:f>IFERROR((G465-$K465)/$K465,"")</x:f>
        <x:v>0.6162962962962963</x:v>
      </x:c>
      <x:c r="O465" s="14" t="n">
        <x:f>IFERROR((H465-$K465)/$K465,"")</x:f>
        <x:v>0.5925925925925926</x:v>
      </x:c>
      <x:c r="P465" s="14" t="n">
        <x:f>IFERROR((I465-$K465)/$K465,"")</x:f>
        <x:v>0.6488888888888888</x:v>
      </x:c>
      <x:c r="Q465" s="14" t="n">
        <x:f>IFERROR((J465-$K465)/$K465,"")</x:f>
        <x:v>0.08592592592592592</x:v>
      </x:c>
      <x:c r="R465" t="n">
        <x:f>--(F465=$K465)</x:f>
        <x:v>1</x:v>
      </x:c>
      <x:c r="S465" t="n">
        <x:f>--(G465=$K465)</x:f>
        <x:v>0</x:v>
      </x:c>
      <x:c r="T465" t="n">
        <x:f>--(H465=$K465)</x:f>
        <x:v>0</x:v>
      </x:c>
      <x:c r="U465" t="n">
        <x:f>--(I465=$K465)</x:f>
        <x:v>0</x:v>
      </x:c>
      <x:c r="V465" t="n">
        <x:f>--(J465=$K465)</x:f>
        <x:v>0</x:v>
      </x:c>
    </x:row>
    <x:row r="466" ht="18" customHeight="1">
      <x:c r="A466" t="str">
        <x:v>bpps_d200n200m5w10_30s20_40f0_seed0</x:v>
      </x:c>
      <x:c r="B466" s="16" t="n">
        <x:v>200</x:v>
      </x:c>
      <x:c r="C466" s="16" t="n">
        <x:v>5</x:v>
      </x:c>
      <x:c r="D466" s="16" t="n">
        <x:v>200</x:v>
      </x:c>
      <x:c r="E466" s="16" t="n">
        <x:v>2030</x:v>
      </x:c>
      <x:c r="F466" s="12" t="n">
        <x:v>25</x:v>
      </x:c>
      <x:c r="G466" s="12" t="n">
        <x:v>34</x:v>
      </x:c>
      <x:c r="H466" s="12" t="n">
        <x:v>35</x:v>
      </x:c>
      <x:c r="I466" s="12" t="n">
        <x:v>35</x:v>
      </x:c>
      <x:c r="J466" s="12" t="n">
        <x:v>26</x:v>
      </x:c>
      <x:c r="K466" s="12" t="n">
        <x:f>MIN(F466:J466)</x:f>
        <x:v>25</x:v>
      </x:c>
      <x:c r="L466" t="str">
        <x:f>TEXTJOIN(", ",TRUE,IF(F466=K466,"IG",""),IF(G466=K466,"FFD",""),IF(H466=K466,"BFD",""),IF(I466=K466,"WFD",""),IF(J466=K466,"CTP",""))</x:f>
        <x:v>IG</x:v>
      </x:c>
      <x:c r="M466" s="14" t="n">
        <x:f>IFERROR((F466-$K466)/$K466,"")</x:f>
        <x:v>0</x:v>
      </x:c>
      <x:c r="N466" s="14" t="n">
        <x:f>IFERROR((G466-$K466)/$K466,"")</x:f>
        <x:v>0.36</x:v>
      </x:c>
      <x:c r="O466" s="14" t="n">
        <x:f>IFERROR((H466-$K466)/$K466,"")</x:f>
        <x:v>0.4</x:v>
      </x:c>
      <x:c r="P466" s="14" t="n">
        <x:f>IFERROR((I466-$K466)/$K466,"")</x:f>
        <x:v>0.4</x:v>
      </x:c>
      <x:c r="Q466" s="14" t="n">
        <x:f>IFERROR((J466-$K466)/$K466,"")</x:f>
        <x:v>0.04</x:v>
      </x:c>
      <x:c r="R466" t="n">
        <x:f>--(F466=$K466)</x:f>
        <x:v>1</x:v>
      </x:c>
      <x:c r="S466" t="n">
        <x:f>--(G466=$K466)</x:f>
        <x:v>0</x:v>
      </x:c>
      <x:c r="T466" t="n">
        <x:f>--(H466=$K466)</x:f>
        <x:v>0</x:v>
      </x:c>
      <x:c r="U466" t="n">
        <x:f>--(I466=$K466)</x:f>
        <x:v>0</x:v>
      </x:c>
      <x:c r="V466" t="n">
        <x:f>--(J466=$K466)</x:f>
        <x:v>0</x:v>
      </x:c>
    </x:row>
    <x:row r="467" ht="18" customHeight="1">
      <x:c r="A467" t="str">
        <x:v>bpps_d200n200m5w10_30s20_40f0_seed1</x:v>
      </x:c>
      <x:c r="B467" s="16" t="n">
        <x:v>200</x:v>
      </x:c>
      <x:c r="C467" s="16" t="n">
        <x:v>5</x:v>
      </x:c>
      <x:c r="D467" s="16" t="n">
        <x:v>200</x:v>
      </x:c>
      <x:c r="E467" s="16" t="n">
        <x:v>1937</x:v>
      </x:c>
      <x:c r="F467" s="12" t="n">
        <x:v>25</x:v>
      </x:c>
      <x:c r="G467" s="12" t="n">
        <x:v>35</x:v>
      </x:c>
      <x:c r="H467" s="12" t="n">
        <x:v>35</x:v>
      </x:c>
      <x:c r="I467" s="12" t="n">
        <x:v>35</x:v>
      </x:c>
      <x:c r="J467" s="12" t="n">
        <x:v>28</x:v>
      </x:c>
      <x:c r="K467" s="12" t="n">
        <x:f>MIN(F467:J467)</x:f>
        <x:v>25</x:v>
      </x:c>
      <x:c r="L467" t="str">
        <x:f>TEXTJOIN(", ",TRUE,IF(F467=K467,"IG",""),IF(G467=K467,"FFD",""),IF(H467=K467,"BFD",""),IF(I467=K467,"WFD",""),IF(J467=K467,"CTP",""))</x:f>
        <x:v>IG</x:v>
      </x:c>
      <x:c r="M467" s="14" t="n">
        <x:f>IFERROR((F467-$K467)/$K467,"")</x:f>
        <x:v>0</x:v>
      </x:c>
      <x:c r="N467" s="14" t="n">
        <x:f>IFERROR((G467-$K467)/$K467,"")</x:f>
        <x:v>0.4</x:v>
      </x:c>
      <x:c r="O467" s="14" t="n">
        <x:f>IFERROR((H467-$K467)/$K467,"")</x:f>
        <x:v>0.4</x:v>
      </x:c>
      <x:c r="P467" s="14" t="n">
        <x:f>IFERROR((I467-$K467)/$K467,"")</x:f>
        <x:v>0.4</x:v>
      </x:c>
      <x:c r="Q467" s="14" t="n">
        <x:f>IFERROR((J467-$K467)/$K467,"")</x:f>
        <x:v>0.12</x:v>
      </x:c>
      <x:c r="R467" t="n">
        <x:f>--(F467=$K467)</x:f>
        <x:v>1</x:v>
      </x:c>
      <x:c r="S467" t="n">
        <x:f>--(G467=$K467)</x:f>
        <x:v>0</x:v>
      </x:c>
      <x:c r="T467" t="n">
        <x:f>--(H467=$K467)</x:f>
        <x:v>0</x:v>
      </x:c>
      <x:c r="U467" t="n">
        <x:f>--(I467=$K467)</x:f>
        <x:v>0</x:v>
      </x:c>
      <x:c r="V467" t="n">
        <x:f>--(J467=$K467)</x:f>
        <x:v>0</x:v>
      </x:c>
    </x:row>
    <x:row r="468" ht="18" customHeight="1">
      <x:c r="A468" t="str">
        <x:v>bpps_d200n200m5w10_30s20_40f1_seed0</x:v>
      </x:c>
      <x:c r="B468" s="16" t="n">
        <x:v>200</x:v>
      </x:c>
      <x:c r="C468" s="16" t="n">
        <x:v>5</x:v>
      </x:c>
      <x:c r="D468" s="16" t="n">
        <x:v>200</x:v>
      </x:c>
      <x:c r="E468" s="16" t="n">
        <x:v>2019</x:v>
      </x:c>
      <x:c r="F468" s="12" t="n">
        <x:v>323</x:v>
      </x:c>
      <x:c r="G468" s="12" t="n">
        <x:v>674</x:v>
      </x:c>
      <x:c r="H468" s="12" t="n">
        <x:v>698</x:v>
      </x:c>
      <x:c r="I468" s="12" t="n">
        <x:v>653</x:v>
      </x:c>
      <x:c r="J468" s="12" t="n">
        <x:v>358</x:v>
      </x:c>
      <x:c r="K468" s="12" t="n">
        <x:f>MIN(F468:J468)</x:f>
        <x:v>323</x:v>
      </x:c>
      <x:c r="L468" t="str">
        <x:f>TEXTJOIN(", ",TRUE,IF(F468=K468,"IG",""),IF(G468=K468,"FFD",""),IF(H468=K468,"BFD",""),IF(I468=K468,"WFD",""),IF(J468=K468,"CTP",""))</x:f>
        <x:v>IG</x:v>
      </x:c>
      <x:c r="M468" s="14" t="n">
        <x:f>IFERROR((F468-$K468)/$K468,"")</x:f>
        <x:v>0</x:v>
      </x:c>
      <x:c r="N468" s="14" t="n">
        <x:f>IFERROR((G468-$K468)/$K468,"")</x:f>
        <x:v>1.0866873065015479</x:v>
      </x:c>
      <x:c r="O468" s="14" t="n">
        <x:f>IFERROR((H468-$K468)/$K468,"")</x:f>
        <x:v>1.1609907120743035</x:v>
      </x:c>
      <x:c r="P468" s="14" t="n">
        <x:f>IFERROR((I468-$K468)/$K468,"")</x:f>
        <x:v>1.021671826625387</x:v>
      </x:c>
      <x:c r="Q468" s="14" t="n">
        <x:f>IFERROR((J468-$K468)/$K468,"")</x:f>
        <x:v>0.10835913312693499</x:v>
      </x:c>
      <x:c r="R468" t="n">
        <x:f>--(F468=$K468)</x:f>
        <x:v>1</x:v>
      </x:c>
      <x:c r="S468" t="n">
        <x:f>--(G468=$K468)</x:f>
        <x:v>0</x:v>
      </x:c>
      <x:c r="T468" t="n">
        <x:f>--(H468=$K468)</x:f>
        <x:v>0</x:v>
      </x:c>
      <x:c r="U468" t="n">
        <x:f>--(I468=$K468)</x:f>
        <x:v>0</x:v>
      </x:c>
      <x:c r="V468" t="n">
        <x:f>--(J468=$K468)</x:f>
        <x:v>0</x:v>
      </x:c>
    </x:row>
    <x:row r="469" ht="18" customHeight="1">
      <x:c r="A469" t="str">
        <x:v>bpps_d200n200m5w10_30s20_40f1_seed1</x:v>
      </x:c>
      <x:c r="B469" s="16" t="n">
        <x:v>200</x:v>
      </x:c>
      <x:c r="C469" s="16" t="n">
        <x:v>5</x:v>
      </x:c>
      <x:c r="D469" s="16" t="n">
        <x:v>200</x:v>
      </x:c>
      <x:c r="E469" s="16" t="n">
        <x:v>1934</x:v>
      </x:c>
      <x:c r="F469" s="12" t="n">
        <x:v>347</x:v>
      </x:c>
      <x:c r="G469" s="12" t="n">
        <x:v>710</x:v>
      </x:c>
      <x:c r="H469" s="12" t="n">
        <x:v>737</x:v>
      </x:c>
      <x:c r="I469" s="12" t="n">
        <x:v>700</x:v>
      </x:c>
      <x:c r="J469" s="12" t="n">
        <x:v>380</x:v>
      </x:c>
      <x:c r="K469" s="12" t="n">
        <x:f>MIN(F469:J469)</x:f>
        <x:v>347</x:v>
      </x:c>
      <x:c r="L469" t="str">
        <x:f>TEXTJOIN(", ",TRUE,IF(F469=K469,"IG",""),IF(G469=K469,"FFD",""),IF(H469=K469,"BFD",""),IF(I469=K469,"WFD",""),IF(J469=K469,"CTP",""))</x:f>
        <x:v>IG</x:v>
      </x:c>
      <x:c r="M469" s="14" t="n">
        <x:f>IFERROR((F469-$K469)/$K469,"")</x:f>
        <x:v>0</x:v>
      </x:c>
      <x:c r="N469" s="14" t="n">
        <x:f>IFERROR((G469-$K469)/$K469,"")</x:f>
        <x:v>1.0461095100864553</x:v>
      </x:c>
      <x:c r="O469" s="14" t="n">
        <x:f>IFERROR((H469-$K469)/$K469,"")</x:f>
        <x:v>1.1239193083573487</x:v>
      </x:c>
      <x:c r="P469" s="14" t="n">
        <x:f>IFERROR((I469-$K469)/$K469,"")</x:f>
        <x:v>1.0172910662824208</x:v>
      </x:c>
      <x:c r="Q469" s="14" t="n">
        <x:f>IFERROR((J469-$K469)/$K469,"")</x:f>
        <x:v>0.09510086455331412</x:v>
      </x:c>
      <x:c r="R469" t="n">
        <x:f>--(F469=$K469)</x:f>
        <x:v>1</x:v>
      </x:c>
      <x:c r="S469" t="n">
        <x:f>--(G469=$K469)</x:f>
        <x:v>0</x:v>
      </x:c>
      <x:c r="T469" t="n">
        <x:f>--(H469=$K469)</x:f>
        <x:v>0</x:v>
      </x:c>
      <x:c r="U469" t="n">
        <x:f>--(I469=$K469)</x:f>
        <x:v>0</x:v>
      </x:c>
      <x:c r="V469" t="n">
        <x:f>--(J469=$K469)</x:f>
        <x:v>0</x:v>
      </x:c>
    </x:row>
    <x:row r="470" ht="18" customHeight="1">
      <x:c r="A470" t="str">
        <x:v>bpps_d200n200m5w10_30s2_20f0_seed0</x:v>
      </x:c>
      <x:c r="B470" s="16" t="n">
        <x:v>200</x:v>
      </x:c>
      <x:c r="C470" s="16" t="n">
        <x:v>5</x:v>
      </x:c>
      <x:c r="D470" s="16" t="n">
        <x:v>200</x:v>
      </x:c>
      <x:c r="E470" s="16" t="n">
        <x:v>2059</x:v>
      </x:c>
      <x:c r="F470" s="12" t="n">
        <x:v>22</x:v>
      </x:c>
      <x:c r="G470" s="12" t="n">
        <x:v>26</x:v>
      </x:c>
      <x:c r="H470" s="12" t="n">
        <x:v>25</x:v>
      </x:c>
      <x:c r="I470" s="12" t="n">
        <x:v>25</x:v>
      </x:c>
      <x:c r="J470" s="12" t="n">
        <x:v>25</x:v>
      </x:c>
      <x:c r="K470" s="12" t="n">
        <x:f>MIN(F470:J470)</x:f>
        <x:v>22</x:v>
      </x:c>
      <x:c r="L470" t="str">
        <x:f>TEXTJOIN(", ",TRUE,IF(F470=K470,"IG",""),IF(G470=K470,"FFD",""),IF(H470=K470,"BFD",""),IF(I470=K470,"WFD",""),IF(J470=K470,"CTP",""))</x:f>
        <x:v>IG</x:v>
      </x:c>
      <x:c r="M470" s="14" t="n">
        <x:f>IFERROR((F470-$K470)/$K470,"")</x:f>
        <x:v>0</x:v>
      </x:c>
      <x:c r="N470" s="14" t="n">
        <x:f>IFERROR((G470-$K470)/$K470,"")</x:f>
        <x:v>0.18181818181818182</x:v>
      </x:c>
      <x:c r="O470" s="14" t="n">
        <x:f>IFERROR((H470-$K470)/$K470,"")</x:f>
        <x:v>0.13636363636363635</x:v>
      </x:c>
      <x:c r="P470" s="14" t="n">
        <x:f>IFERROR((I470-$K470)/$K470,"")</x:f>
        <x:v>0.13636363636363635</x:v>
      </x:c>
      <x:c r="Q470" s="14" t="n">
        <x:f>IFERROR((J470-$K470)/$K470,"")</x:f>
        <x:v>0.13636363636363635</x:v>
      </x:c>
      <x:c r="R470" t="n">
        <x:f>--(F470=$K470)</x:f>
        <x:v>1</x:v>
      </x:c>
      <x:c r="S470" t="n">
        <x:f>--(G470=$K470)</x:f>
        <x:v>0</x:v>
      </x:c>
      <x:c r="T470" t="n">
        <x:f>--(H470=$K470)</x:f>
        <x:v>0</x:v>
      </x:c>
      <x:c r="U470" t="n">
        <x:f>--(I470=$K470)</x:f>
        <x:v>0</x:v>
      </x:c>
      <x:c r="V470" t="n">
        <x:f>--(J470=$K470)</x:f>
        <x:v>0</x:v>
      </x:c>
    </x:row>
    <x:row r="471" ht="18" customHeight="1">
      <x:c r="A471" t="str">
        <x:v>bpps_d200n200m5w10_30s2_20f0_seed1</x:v>
      </x:c>
      <x:c r="B471" s="16" t="n">
        <x:v>200</x:v>
      </x:c>
      <x:c r="C471" s="16" t="n">
        <x:v>5</x:v>
      </x:c>
      <x:c r="D471" s="16" t="n">
        <x:v>200</x:v>
      </x:c>
      <x:c r="E471" s="16" t="n">
        <x:v>1979</x:v>
      </x:c>
      <x:c r="F471" s="12" t="n">
        <x:v>23</x:v>
      </x:c>
      <x:c r="G471" s="12" t="n">
        <x:v>27</x:v>
      </x:c>
      <x:c r="H471" s="12" t="n">
        <x:v>26</x:v>
      </x:c>
      <x:c r="I471" s="12" t="n">
        <x:v>26</x:v>
      </x:c>
      <x:c r="J471" s="12" t="n">
        <x:v>25</x:v>
      </x:c>
      <x:c r="K471" s="12" t="n">
        <x:f>MIN(F471:J471)</x:f>
        <x:v>23</x:v>
      </x:c>
      <x:c r="L471" t="str">
        <x:f>TEXTJOIN(", ",TRUE,IF(F471=K471,"IG",""),IF(G471=K471,"FFD",""),IF(H471=K471,"BFD",""),IF(I471=K471,"WFD",""),IF(J471=K471,"CTP",""))</x:f>
        <x:v>IG</x:v>
      </x:c>
      <x:c r="M471" s="14" t="n">
        <x:f>IFERROR((F471-$K471)/$K471,"")</x:f>
        <x:v>0</x:v>
      </x:c>
      <x:c r="N471" s="14" t="n">
        <x:f>IFERROR((G471-$K471)/$K471,"")</x:f>
        <x:v>0.17391304347826086</x:v>
      </x:c>
      <x:c r="O471" s="14" t="n">
        <x:f>IFERROR((H471-$K471)/$K471,"")</x:f>
        <x:v>0.13043478260869565</x:v>
      </x:c>
      <x:c r="P471" s="14" t="n">
        <x:f>IFERROR((I471-$K471)/$K471,"")</x:f>
        <x:v>0.13043478260869565</x:v>
      </x:c>
      <x:c r="Q471" s="14" t="n">
        <x:f>IFERROR((J471-$K471)/$K471,"")</x:f>
        <x:v>0.08695652173913043</x:v>
      </x:c>
      <x:c r="R471" t="n">
        <x:f>--(F471=$K471)</x:f>
        <x:v>1</x:v>
      </x:c>
      <x:c r="S471" t="n">
        <x:f>--(G471=$K471)</x:f>
        <x:v>0</x:v>
      </x:c>
      <x:c r="T471" t="n">
        <x:f>--(H471=$K471)</x:f>
        <x:v>0</x:v>
      </x:c>
      <x:c r="U471" t="n">
        <x:f>--(I471=$K471)</x:f>
        <x:v>0</x:v>
      </x:c>
      <x:c r="V471" t="n">
        <x:f>--(J471=$K471)</x:f>
        <x:v>0</x:v>
      </x:c>
    </x:row>
    <x:row r="472" ht="18" customHeight="1">
      <x:c r="A472" t="str">
        <x:v>bpps_d200n200m5w10_30s2_20f1_seed0</x:v>
      </x:c>
      <x:c r="B472" s="16" t="n">
        <x:v>200</x:v>
      </x:c>
      <x:c r="C472" s="16" t="n">
        <x:v>5</x:v>
      </x:c>
      <x:c r="D472" s="16" t="n">
        <x:v>200</x:v>
      </x:c>
      <x:c r="E472" s="16" t="n">
        <x:v>1937</x:v>
      </x:c>
      <x:c r="F472" s="12" t="n">
        <x:v>302</x:v>
      </x:c>
      <x:c r="G472" s="12" t="n">
        <x:v>540</x:v>
      </x:c>
      <x:c r="H472" s="12" t="n">
        <x:v>572</x:v>
      </x:c>
      <x:c r="I472" s="12" t="n">
        <x:v>530</x:v>
      </x:c>
      <x:c r="J472" s="12" t="n">
        <x:v>344</x:v>
      </x:c>
      <x:c r="K472" s="12" t="n">
        <x:f>MIN(F472:J472)</x:f>
        <x:v>302</x:v>
      </x:c>
      <x:c r="L472" t="str">
        <x:f>TEXTJOIN(", ",TRUE,IF(F472=K472,"IG",""),IF(G472=K472,"FFD",""),IF(H472=K472,"BFD",""),IF(I472=K472,"WFD",""),IF(J472=K472,"CTP",""))</x:f>
        <x:v>IG</x:v>
      </x:c>
      <x:c r="M472" s="14" t="n">
        <x:f>IFERROR((F472-$K472)/$K472,"")</x:f>
        <x:v>0</x:v>
      </x:c>
      <x:c r="N472" s="14" t="n">
        <x:f>IFERROR((G472-$K472)/$K472,"")</x:f>
        <x:v>0.7880794701986755</x:v>
      </x:c>
      <x:c r="O472" s="14" t="n">
        <x:f>IFERROR((H472-$K472)/$K472,"")</x:f>
        <x:v>0.8940397350993378</x:v>
      </x:c>
      <x:c r="P472" s="14" t="n">
        <x:f>IFERROR((I472-$K472)/$K472,"")</x:f>
        <x:v>0.7549668874172185</x:v>
      </x:c>
      <x:c r="Q472" s="14" t="n">
        <x:f>IFERROR((J472-$K472)/$K472,"")</x:f>
        <x:v>0.1390728476821192</x:v>
      </x:c>
      <x:c r="R472" t="n">
        <x:f>--(F472=$K472)</x:f>
        <x:v>1</x:v>
      </x:c>
      <x:c r="S472" t="n">
        <x:f>--(G472=$K472)</x:f>
        <x:v>0</x:v>
      </x:c>
      <x:c r="T472" t="n">
        <x:f>--(H472=$K472)</x:f>
        <x:v>0</x:v>
      </x:c>
      <x:c r="U472" t="n">
        <x:f>--(I472=$K472)</x:f>
        <x:v>0</x:v>
      </x:c>
      <x:c r="V472" t="n">
        <x:f>--(J472=$K472)</x:f>
        <x:v>0</x:v>
      </x:c>
    </x:row>
    <x:row r="473" ht="18" customHeight="1">
      <x:c r="A473" t="str">
        <x:v>bpps_d200n200m5w10_30s2_20f1_seed1</x:v>
      </x:c>
      <x:c r="B473" s="16" t="n">
        <x:v>200</x:v>
      </x:c>
      <x:c r="C473" s="16" t="n">
        <x:v>5</x:v>
      </x:c>
      <x:c r="D473" s="16" t="n">
        <x:v>200</x:v>
      </x:c>
      <x:c r="E473" s="16" t="n">
        <x:v>2033</x:v>
      </x:c>
      <x:c r="F473" s="12" t="n">
        <x:v>307</x:v>
      </x:c>
      <x:c r="G473" s="12" t="n">
        <x:v>613</x:v>
      </x:c>
      <x:c r="H473" s="12" t="n">
        <x:v>632</x:v>
      </x:c>
      <x:c r="I473" s="12" t="n">
        <x:v>606</x:v>
      </x:c>
      <x:c r="J473" s="12" t="n">
        <x:v>352</x:v>
      </x:c>
      <x:c r="K473" s="12" t="n">
        <x:f>MIN(F473:J473)</x:f>
        <x:v>307</x:v>
      </x:c>
      <x:c r="L473" t="str">
        <x:f>TEXTJOIN(", ",TRUE,IF(F473=K473,"IG",""),IF(G473=K473,"FFD",""),IF(H473=K473,"BFD",""),IF(I473=K473,"WFD",""),IF(J473=K473,"CTP",""))</x:f>
        <x:v>IG</x:v>
      </x:c>
      <x:c r="M473" s="14" t="n">
        <x:f>IFERROR((F473-$K473)/$K473,"")</x:f>
        <x:v>0</x:v>
      </x:c>
      <x:c r="N473" s="14" t="n">
        <x:f>IFERROR((G473-$K473)/$K473,"")</x:f>
        <x:v>0.996742671009772</x:v>
      </x:c>
      <x:c r="O473" s="14" t="n">
        <x:f>IFERROR((H473-$K473)/$K473,"")</x:f>
        <x:v>1.0586319218241043</x:v>
      </x:c>
      <x:c r="P473" s="14" t="n">
        <x:f>IFERROR((I473-$K473)/$K473,"")</x:f>
        <x:v>0.9739413680781759</x:v>
      </x:c>
      <x:c r="Q473" s="14" t="n">
        <x:f>IFERROR((J473-$K473)/$K473,"")</x:f>
        <x:v>0.1465798045602606</x:v>
      </x:c>
      <x:c r="R473" t="n">
        <x:f>--(F473=$K473)</x:f>
        <x:v>1</x:v>
      </x:c>
      <x:c r="S473" t="n">
        <x:f>--(G473=$K473)</x:f>
        <x:v>0</x:v>
      </x:c>
      <x:c r="T473" t="n">
        <x:f>--(H473=$K473)</x:f>
        <x:v>0</x:v>
      </x:c>
      <x:c r="U473" t="n">
        <x:f>--(I473=$K473)</x:f>
        <x:v>0</x:v>
      </x:c>
      <x:c r="V473" t="n">
        <x:f>--(J473=$K473)</x:f>
        <x:v>0</x:v>
      </x:c>
    </x:row>
    <x:row r="474" ht="18" customHeight="1">
      <x:c r="A474" t="str">
        <x:v>bpps_d200n200m5w30_60s20_40f0_seed0</x:v>
      </x:c>
      <x:c r="B474" s="16" t="n">
        <x:v>200</x:v>
      </x:c>
      <x:c r="C474" s="16" t="n">
        <x:v>5</x:v>
      </x:c>
      <x:c r="D474" s="16" t="n">
        <x:v>200</x:v>
      </x:c>
      <x:c r="E474" s="16" t="n">
        <x:v>1921</x:v>
      </x:c>
      <x:c r="F474" s="12" t="n">
        <x:v>58</x:v>
      </x:c>
      <x:c r="G474" s="12" t="n">
        <x:v>71</x:v>
      </x:c>
      <x:c r="H474" s="12" t="n">
        <x:v>71</x:v>
      </x:c>
      <x:c r="I474" s="12" t="n">
        <x:v>72</x:v>
      </x:c>
      <x:c r="J474" s="12" t="n">
        <x:v>59</x:v>
      </x:c>
      <x:c r="K474" s="12" t="n">
        <x:f>MIN(F474:J474)</x:f>
        <x:v>58</x:v>
      </x:c>
      <x:c r="L474" t="str">
        <x:f>TEXTJOIN(", ",TRUE,IF(F474=K474,"IG",""),IF(G474=K474,"FFD",""),IF(H474=K474,"BFD",""),IF(I474=K474,"WFD",""),IF(J474=K474,"CTP",""))</x:f>
        <x:v>IG</x:v>
      </x:c>
      <x:c r="M474" s="14" t="n">
        <x:f>IFERROR((F474-$K474)/$K474,"")</x:f>
        <x:v>0</x:v>
      </x:c>
      <x:c r="N474" s="14" t="n">
        <x:f>IFERROR((G474-$K474)/$K474,"")</x:f>
        <x:v>0.22413793103448276</x:v>
      </x:c>
      <x:c r="O474" s="14" t="n">
        <x:f>IFERROR((H474-$K474)/$K474,"")</x:f>
        <x:v>0.22413793103448276</x:v>
      </x:c>
      <x:c r="P474" s="14" t="n">
        <x:f>IFERROR((I474-$K474)/$K474,"")</x:f>
        <x:v>0.2413793103448276</x:v>
      </x:c>
      <x:c r="Q474" s="14" t="n">
        <x:f>IFERROR((J474-$K474)/$K474,"")</x:f>
        <x:v>0.017241379310344827</x:v>
      </x:c>
      <x:c r="R474" t="n">
        <x:f>--(F474=$K474)</x:f>
        <x:v>1</x:v>
      </x:c>
      <x:c r="S474" t="n">
        <x:f>--(G474=$K474)</x:f>
        <x:v>0</x:v>
      </x:c>
      <x:c r="T474" t="n">
        <x:f>--(H474=$K474)</x:f>
        <x:v>0</x:v>
      </x:c>
      <x:c r="U474" t="n">
        <x:f>--(I474=$K474)</x:f>
        <x:v>0</x:v>
      </x:c>
      <x:c r="V474" t="n">
        <x:f>--(J474=$K474)</x:f>
        <x:v>0</x:v>
      </x:c>
    </x:row>
    <x:row r="475" ht="18" customHeight="1">
      <x:c r="A475" t="str">
        <x:v>bpps_d200n200m5w30_60s20_40f0_seed1</x:v>
      </x:c>
      <x:c r="B475" s="16" t="n">
        <x:v>200</x:v>
      </x:c>
      <x:c r="C475" s="16" t="n">
        <x:v>5</x:v>
      </x:c>
      <x:c r="D475" s="16" t="n">
        <x:v>200</x:v>
      </x:c>
      <x:c r="E475" s="16" t="n">
        <x:v>2058</x:v>
      </x:c>
      <x:c r="F475" s="12" t="n">
        <x:v>58</x:v>
      </x:c>
      <x:c r="G475" s="12" t="n">
        <x:v>69</x:v>
      </x:c>
      <x:c r="H475" s="12" t="n">
        <x:v>69</x:v>
      </x:c>
      <x:c r="I475" s="12" t="n">
        <x:v>68</x:v>
      </x:c>
      <x:c r="J475" s="12" t="n">
        <x:v>58</x:v>
      </x:c>
      <x:c r="K475" s="12" t="n">
        <x:f>MIN(F475:J475)</x:f>
        <x:v>58</x:v>
      </x:c>
      <x:c r="L475" t="str">
        <x:f>TEXTJOIN(", ",TRUE,IF(F475=K475,"IG",""),IF(G475=K475,"FFD",""),IF(H475=K475,"BFD",""),IF(I475=K475,"WFD",""),IF(J475=K475,"CTP",""))</x:f>
        <x:v>IG, CTP</x:v>
      </x:c>
      <x:c r="M475" s="14" t="n">
        <x:f>IFERROR((F475-$K475)/$K475,"")</x:f>
        <x:v>0</x:v>
      </x:c>
      <x:c r="N475" s="14" t="n">
        <x:f>IFERROR((G475-$K475)/$K475,"")</x:f>
        <x:v>0.1896551724137931</x:v>
      </x:c>
      <x:c r="O475" s="14" t="n">
        <x:f>IFERROR((H475-$K475)/$K475,"")</x:f>
        <x:v>0.1896551724137931</x:v>
      </x:c>
      <x:c r="P475" s="14" t="n">
        <x:f>IFERROR((I475-$K475)/$K475,"")</x:f>
        <x:v>0.1724137931034483</x:v>
      </x:c>
      <x:c r="Q475" s="14" t="n">
        <x:f>IFERROR((J475-$K475)/$K475,"")</x:f>
        <x:v>0</x:v>
      </x:c>
      <x:c r="R475" t="n">
        <x:f>--(F475=$K475)</x:f>
        <x:v>1</x:v>
      </x:c>
      <x:c r="S475" t="n">
        <x:f>--(G475=$K475)</x:f>
        <x:v>0</x:v>
      </x:c>
      <x:c r="T475" t="n">
        <x:f>--(H475=$K475)</x:f>
        <x:v>0</x:v>
      </x:c>
      <x:c r="U475" t="n">
        <x:f>--(I475=$K475)</x:f>
        <x:v>0</x:v>
      </x:c>
      <x:c r="V475" t="n">
        <x:f>--(J475=$K475)</x:f>
        <x:v>1</x:v>
      </x:c>
    </x:row>
    <x:row r="476" ht="18" customHeight="1">
      <x:c r="A476" t="str">
        <x:v>bpps_d200n200m5w30_60s20_40f1_seed0</x:v>
      </x:c>
      <x:c r="B476" s="16" t="n">
        <x:v>200</x:v>
      </x:c>
      <x:c r="C476" s="16" t="n">
        <x:v>5</x:v>
      </x:c>
      <x:c r="D476" s="16" t="n">
        <x:v>200</x:v>
      </x:c>
      <x:c r="E476" s="16" t="n">
        <x:v>1905</x:v>
      </x:c>
      <x:c r="F476" s="12" t="n">
        <x:v>723</x:v>
      </x:c>
      <x:c r="G476" s="12" t="n">
        <x:v>1008</x:v>
      </x:c>
      <x:c r="H476" s="12" t="n">
        <x:v>1013</x:v>
      </x:c>
      <x:c r="I476" s="12" t="n">
        <x:v>1054</x:v>
      </x:c>
      <x:c r="J476" s="12" t="n">
        <x:v>756</x:v>
      </x:c>
      <x:c r="K476" s="12" t="n">
        <x:f>MIN(F476:J476)</x:f>
        <x:v>723</x:v>
      </x:c>
      <x:c r="L476" t="str">
        <x:f>TEXTJOIN(", ",TRUE,IF(F476=K476,"IG",""),IF(G476=K476,"FFD",""),IF(H476=K476,"BFD",""),IF(I476=K476,"WFD",""),IF(J476=K476,"CTP",""))</x:f>
        <x:v>IG</x:v>
      </x:c>
      <x:c r="M476" s="14" t="n">
        <x:f>IFERROR((F476-$K476)/$K476,"")</x:f>
        <x:v>0</x:v>
      </x:c>
      <x:c r="N476" s="14" t="n">
        <x:f>IFERROR((G476-$K476)/$K476,"")</x:f>
        <x:v>0.3941908713692946</x:v>
      </x:c>
      <x:c r="O476" s="14" t="n">
        <x:f>IFERROR((H476-$K476)/$K476,"")</x:f>
        <x:v>0.40110650069156295</x:v>
      </x:c>
      <x:c r="P476" s="14" t="n">
        <x:f>IFERROR((I476-$K476)/$K476,"")</x:f>
        <x:v>0.4578146611341632</x:v>
      </x:c>
      <x:c r="Q476" s="14" t="n">
        <x:f>IFERROR((J476-$K476)/$K476,"")</x:f>
        <x:v>0.04564315352697095</x:v>
      </x:c>
      <x:c r="R476" t="n">
        <x:f>--(F476=$K476)</x:f>
        <x:v>1</x:v>
      </x:c>
      <x:c r="S476" t="n">
        <x:f>--(G476=$K476)</x:f>
        <x:v>0</x:v>
      </x:c>
      <x:c r="T476" t="n">
        <x:f>--(H476=$K476)</x:f>
        <x:v>0</x:v>
      </x:c>
      <x:c r="U476" t="n">
        <x:f>--(I476=$K476)</x:f>
        <x:v>0</x:v>
      </x:c>
      <x:c r="V476" t="n">
        <x:f>--(J476=$K476)</x:f>
        <x:v>0</x:v>
      </x:c>
    </x:row>
    <x:row r="477" ht="18" customHeight="1">
      <x:c r="A477" t="str">
        <x:v>bpps_d200n200m5w30_60s20_40f1_seed1</x:v>
      </x:c>
      <x:c r="B477" s="16" t="n">
        <x:v>200</x:v>
      </x:c>
      <x:c r="C477" s="16" t="n">
        <x:v>5</x:v>
      </x:c>
      <x:c r="D477" s="16" t="n">
        <x:v>200</x:v>
      </x:c>
      <x:c r="E477" s="16" t="n">
        <x:v>2019</x:v>
      </x:c>
      <x:c r="F477" s="12" t="n">
        <x:v>691</x:v>
      </x:c>
      <x:c r="G477" s="12" t="n">
        <x:v>982</x:v>
      </x:c>
      <x:c r="H477" s="12" t="n">
        <x:v>999</x:v>
      </x:c>
      <x:c r="I477" s="12" t="n">
        <x:v>1003</x:v>
      </x:c>
      <x:c r="J477" s="12" t="n">
        <x:v>720</x:v>
      </x:c>
      <x:c r="K477" s="12" t="n">
        <x:f>MIN(F477:J477)</x:f>
        <x:v>691</x:v>
      </x:c>
      <x:c r="L477" t="str">
        <x:f>TEXTJOIN(", ",TRUE,IF(F477=K477,"IG",""),IF(G477=K477,"FFD",""),IF(H477=K477,"BFD",""),IF(I477=K477,"WFD",""),IF(J477=K477,"CTP",""))</x:f>
        <x:v>IG</x:v>
      </x:c>
      <x:c r="M477" s="14" t="n">
        <x:f>IFERROR((F477-$K477)/$K477,"")</x:f>
        <x:v>0</x:v>
      </x:c>
      <x:c r="N477" s="14" t="n">
        <x:f>IFERROR((G477-$K477)/$K477,"")</x:f>
        <x:v>0.4211287988422576</x:v>
      </x:c>
      <x:c r="O477" s="14" t="n">
        <x:f>IFERROR((H477-$K477)/$K477,"")</x:f>
        <x:v>0.44573082489146165</x:v>
      </x:c>
      <x:c r="P477" s="14" t="n">
        <x:f>IFERROR((I477-$K477)/$K477,"")</x:f>
        <x:v>0.4515195369030391</x:v>
      </x:c>
      <x:c r="Q477" s="14" t="n">
        <x:f>IFERROR((J477-$K477)/$K477,"")</x:f>
        <x:v>0.041968162083936326</x:v>
      </x:c>
      <x:c r="R477" t="n">
        <x:f>--(F477=$K477)</x:f>
        <x:v>1</x:v>
      </x:c>
      <x:c r="S477" t="n">
        <x:f>--(G477=$K477)</x:f>
        <x:v>0</x:v>
      </x:c>
      <x:c r="T477" t="n">
        <x:f>--(H477=$K477)</x:f>
        <x:v>0</x:v>
      </x:c>
      <x:c r="U477" t="n">
        <x:f>--(I477=$K477)</x:f>
        <x:v>0</x:v>
      </x:c>
      <x:c r="V477" t="n">
        <x:f>--(J477=$K477)</x:f>
        <x:v>0</x:v>
      </x:c>
    </x:row>
    <x:row r="478" ht="18" customHeight="1">
      <x:c r="A478" t="str">
        <x:v>bpps_d200n200m5w30_60s2_20f0_seed0</x:v>
      </x:c>
      <x:c r="B478" s="16" t="n">
        <x:v>200</x:v>
      </x:c>
      <x:c r="C478" s="16" t="n">
        <x:v>5</x:v>
      </x:c>
      <x:c r="D478" s="16" t="n">
        <x:v>200</x:v>
      </x:c>
      <x:c r="E478" s="16" t="n">
        <x:v>1997</x:v>
      </x:c>
      <x:c r="F478" s="12" t="n">
        <x:v>53</x:v>
      </x:c>
      <x:c r="G478" s="12" t="n">
        <x:v>57</x:v>
      </x:c>
      <x:c r="H478" s="12" t="n">
        <x:v>57</x:v>
      </x:c>
      <x:c r="I478" s="12" t="n">
        <x:v>57</x:v>
      </x:c>
      <x:c r="J478" s="12" t="n">
        <x:v>55</x:v>
      </x:c>
      <x:c r="K478" s="12" t="n">
        <x:f>MIN(F478:J478)</x:f>
        <x:v>53</x:v>
      </x:c>
      <x:c r="L478" t="str">
        <x:f>TEXTJOIN(", ",TRUE,IF(F478=K478,"IG",""),IF(G478=K478,"FFD",""),IF(H478=K478,"BFD",""),IF(I478=K478,"WFD",""),IF(J478=K478,"CTP",""))</x:f>
        <x:v>IG</x:v>
      </x:c>
      <x:c r="M478" s="14" t="n">
        <x:f>IFERROR((F478-$K478)/$K478,"")</x:f>
        <x:v>0</x:v>
      </x:c>
      <x:c r="N478" s="14" t="n">
        <x:f>IFERROR((G478-$K478)/$K478,"")</x:f>
        <x:v>0.07547169811320754</x:v>
      </x:c>
      <x:c r="O478" s="14" t="n">
        <x:f>IFERROR((H478-$K478)/$K478,"")</x:f>
        <x:v>0.07547169811320754</x:v>
      </x:c>
      <x:c r="P478" s="14" t="n">
        <x:f>IFERROR((I478-$K478)/$K478,"")</x:f>
        <x:v>0.07547169811320754</x:v>
      </x:c>
      <x:c r="Q478" s="14" t="n">
        <x:f>IFERROR((J478-$K478)/$K478,"")</x:f>
        <x:v>0.03773584905660377</x:v>
      </x:c>
      <x:c r="R478" t="n">
        <x:f>--(F478=$K478)</x:f>
        <x:v>1</x:v>
      </x:c>
      <x:c r="S478" t="n">
        <x:f>--(G478=$K478)</x:f>
        <x:v>0</x:v>
      </x:c>
      <x:c r="T478" t="n">
        <x:f>--(H478=$K478)</x:f>
        <x:v>0</x:v>
      </x:c>
      <x:c r="U478" t="n">
        <x:f>--(I478=$K478)</x:f>
        <x:v>0</x:v>
      </x:c>
      <x:c r="V478" t="n">
        <x:f>--(J478=$K478)</x:f>
        <x:v>0</x:v>
      </x:c>
    </x:row>
    <x:row r="479" ht="18" customHeight="1">
      <x:c r="A479" t="str">
        <x:v>bpps_d200n200m5w30_60s2_20f0_seed1</x:v>
      </x:c>
      <x:c r="B479" s="16" t="n">
        <x:v>200</x:v>
      </x:c>
      <x:c r="C479" s="16" t="n">
        <x:v>5</x:v>
      </x:c>
      <x:c r="D479" s="16" t="n">
        <x:v>200</x:v>
      </x:c>
      <x:c r="E479" s="16" t="n">
        <x:v>1955</x:v>
      </x:c>
      <x:c r="F479" s="12" t="n">
        <x:v>52</x:v>
      </x:c>
      <x:c r="G479" s="12" t="n">
        <x:v>57</x:v>
      </x:c>
      <x:c r="H479" s="12" t="n">
        <x:v>57</x:v>
      </x:c>
      <x:c r="I479" s="12" t="n">
        <x:v>58</x:v>
      </x:c>
      <x:c r="J479" s="12" t="n">
        <x:v>53</x:v>
      </x:c>
      <x:c r="K479" s="12" t="n">
        <x:f>MIN(F479:J479)</x:f>
        <x:v>52</x:v>
      </x:c>
      <x:c r="L479" t="str">
        <x:f>TEXTJOIN(", ",TRUE,IF(F479=K479,"IG",""),IF(G479=K479,"FFD",""),IF(H479=K479,"BFD",""),IF(I479=K479,"WFD",""),IF(J479=K479,"CTP",""))</x:f>
        <x:v>IG</x:v>
      </x:c>
      <x:c r="M479" s="14" t="n">
        <x:f>IFERROR((F479-$K479)/$K479,"")</x:f>
        <x:v>0</x:v>
      </x:c>
      <x:c r="N479" s="14" t="n">
        <x:f>IFERROR((G479-$K479)/$K479,"")</x:f>
        <x:v>0.09615384615384616</x:v>
      </x:c>
      <x:c r="O479" s="14" t="n">
        <x:f>IFERROR((H479-$K479)/$K479,"")</x:f>
        <x:v>0.09615384615384616</x:v>
      </x:c>
      <x:c r="P479" s="14" t="n">
        <x:f>IFERROR((I479-$K479)/$K479,"")</x:f>
        <x:v>0.11538461538461539</x:v>
      </x:c>
      <x:c r="Q479" s="14" t="n">
        <x:f>IFERROR((J479-$K479)/$K479,"")</x:f>
        <x:v>0.019230769230769232</x:v>
      </x:c>
      <x:c r="R479" t="n">
        <x:f>--(F479=$K479)</x:f>
        <x:v>1</x:v>
      </x:c>
      <x:c r="S479" t="n">
        <x:f>--(G479=$K479)</x:f>
        <x:v>0</x:v>
      </x:c>
      <x:c r="T479" t="n">
        <x:f>--(H479=$K479)</x:f>
        <x:v>0</x:v>
      </x:c>
      <x:c r="U479" t="n">
        <x:f>--(I479=$K479)</x:f>
        <x:v>0</x:v>
      </x:c>
      <x:c r="V479" t="n">
        <x:f>--(J479=$K479)</x:f>
        <x:v>0</x:v>
      </x:c>
    </x:row>
    <x:row r="480" ht="18" customHeight="1">
      <x:c r="A480" t="str">
        <x:v>bpps_d200n200m5w30_60s2_20f1_seed0</x:v>
      </x:c>
      <x:c r="B480" s="16" t="n">
        <x:v>200</x:v>
      </x:c>
      <x:c r="C480" s="16" t="n">
        <x:v>5</x:v>
      </x:c>
      <x:c r="D480" s="16" t="n">
        <x:v>200</x:v>
      </x:c>
      <x:c r="E480" s="16" t="n">
        <x:v>1972</x:v>
      </x:c>
      <x:c r="F480" s="12" t="n">
        <x:v>651</x:v>
      </x:c>
      <x:c r="G480" s="12" t="n">
        <x:v>914</x:v>
      </x:c>
      <x:c r="H480" s="12" t="n">
        <x:v>929</x:v>
      </x:c>
      <x:c r="I480" s="12" t="n">
        <x:v>931</x:v>
      </x:c>
      <x:c r="J480" s="12" t="n">
        <x:v>692</x:v>
      </x:c>
      <x:c r="K480" s="12" t="n">
        <x:f>MIN(F480:J480)</x:f>
        <x:v>651</x:v>
      </x:c>
      <x:c r="L480" t="str">
        <x:f>TEXTJOIN(", ",TRUE,IF(F480=K480,"IG",""),IF(G480=K480,"FFD",""),IF(H480=K480,"BFD",""),IF(I480=K480,"WFD",""),IF(J480=K480,"CTP",""))</x:f>
        <x:v>IG</x:v>
      </x:c>
      <x:c r="M480" s="14" t="n">
        <x:f>IFERROR((F480-$K480)/$K480,"")</x:f>
        <x:v>0</x:v>
      </x:c>
      <x:c r="N480" s="14" t="n">
        <x:f>IFERROR((G480-$K480)/$K480,"")</x:f>
        <x:v>0.4039938556067588</x:v>
      </x:c>
      <x:c r="O480" s="14" t="n">
        <x:f>IFERROR((H480-$K480)/$K480,"")</x:f>
        <x:v>0.4270353302611367</x:v>
      </x:c>
      <x:c r="P480" s="14" t="n">
        <x:f>IFERROR((I480-$K480)/$K480,"")</x:f>
        <x:v>0.43010752688172044</x:v>
      </x:c>
      <x:c r="Q480" s="14" t="n">
        <x:f>IFERROR((J480-$K480)/$K480,"")</x:f>
        <x:v>0.0629800307219662</x:v>
      </x:c>
      <x:c r="R480" t="n">
        <x:f>--(F480=$K480)</x:f>
        <x:v>1</x:v>
      </x:c>
      <x:c r="S480" t="n">
        <x:f>--(G480=$K480)</x:f>
        <x:v>0</x:v>
      </x:c>
      <x:c r="T480" t="n">
        <x:f>--(H480=$K480)</x:f>
        <x:v>0</x:v>
      </x:c>
      <x:c r="U480" t="n">
        <x:f>--(I480=$K480)</x:f>
        <x:v>0</x:v>
      </x:c>
      <x:c r="V480" t="n">
        <x:f>--(J480=$K480)</x:f>
        <x:v>0</x:v>
      </x:c>
    </x:row>
    <x:row r="481" ht="18" customHeight="1">
      <x:c r="A481" t="str">
        <x:v>bpps_d200n200m5w30_60s2_20f1_seed1</x:v>
      </x:c>
      <x:c r="B481" s="16" t="n">
        <x:v>200</x:v>
      </x:c>
      <x:c r="C481" s="16" t="n">
        <x:v>5</x:v>
      </x:c>
      <x:c r="D481" s="16" t="n">
        <x:v>200</x:v>
      </x:c>
      <x:c r="E481" s="16" t="n">
        <x:v>1887</x:v>
      </x:c>
      <x:c r="F481" s="12" t="n">
        <x:v>620</x:v>
      </x:c>
      <x:c r="G481" s="12" t="n">
        <x:v>876</x:v>
      </x:c>
      <x:c r="H481" s="12" t="n">
        <x:v>892</x:v>
      </x:c>
      <x:c r="I481" s="12" t="n">
        <x:v>876</x:v>
      </x:c>
      <x:c r="J481" s="12" t="n">
        <x:v>659</x:v>
      </x:c>
      <x:c r="K481" s="12" t="n">
        <x:f>MIN(F481:J481)</x:f>
        <x:v>620</x:v>
      </x:c>
      <x:c r="L481" t="str">
        <x:f>TEXTJOIN(", ",TRUE,IF(F481=K481,"IG",""),IF(G481=K481,"FFD",""),IF(H481=K481,"BFD",""),IF(I481=K481,"WFD",""),IF(J481=K481,"CTP",""))</x:f>
        <x:v>IG</x:v>
      </x:c>
      <x:c r="M481" s="14" t="n">
        <x:f>IFERROR((F481-$K481)/$K481,"")</x:f>
        <x:v>0</x:v>
      </x:c>
      <x:c r="N481" s="14" t="n">
        <x:f>IFERROR((G481-$K481)/$K481,"")</x:f>
        <x:v>0.4129032258064516</x:v>
      </x:c>
      <x:c r="O481" s="14" t="n">
        <x:f>IFERROR((H481-$K481)/$K481,"")</x:f>
        <x:v>0.43870967741935485</x:v>
      </x:c>
      <x:c r="P481" s="14" t="n">
        <x:f>IFERROR((I481-$K481)/$K481,"")</x:f>
        <x:v>0.4129032258064516</x:v>
      </x:c>
      <x:c r="Q481" s="14" t="n">
        <x:f>IFERROR((J481-$K481)/$K481,"")</x:f>
        <x:v>0.06290322580645161</x:v>
      </x:c>
      <x:c r="R481" t="n">
        <x:f>--(F481=$K481)</x:f>
        <x:v>1</x:v>
      </x:c>
      <x:c r="S481" t="n">
        <x:f>--(G481=$K481)</x:f>
        <x:v>0</x:v>
      </x:c>
      <x:c r="T481" t="n">
        <x:f>--(H481=$K481)</x:f>
        <x:v>0</x:v>
      </x:c>
      <x:c r="U481" t="n">
        <x:f>--(I481=$K481)</x:f>
        <x:v>0</x:v>
      </x:c>
      <x:c r="V481" t="n">
        <x:f>--(J481=$K481)</x:f>
        <x:v>0</x:v>
      </x:c>
    </x:row>
    <x:row r="482" ht="18" customHeight="1"/>
    <x:row r="483" ht="18" customHeight="1"/>
    <x:row r="484" ht="18" customHeight="1"/>
    <x:row r="485" ht="18" customHeight="1"/>
    <x:row r="486" ht="18" customHeight="1"/>
    <x:row r="487" ht="18" customHeight="1"/>
    <x:row r="488" ht="18" customHeight="1"/>
    <x:row r="489" ht="18" customHeight="1"/>
    <x:row r="490" ht="18" customHeight="1"/>
    <x:row r="491" ht="18" customHeight="1"/>
    <x:row r="492" ht="18" customHeight="1"/>
    <x:row r="493" ht="18" customHeight="1"/>
    <x:row r="494" ht="18" customHeight="1"/>
    <x:row r="495" ht="18" customHeight="1"/>
    <x:row r="496" ht="18" customHeight="1"/>
    <x:row r="497" ht="18" customHeight="1"/>
    <x:row r="498" ht="18" customHeight="1"/>
    <x:row r="499" ht="18" customHeight="1"/>
    <x:row r="500" ht="18" customHeight="1"/>
    <x:row r="501" ht="18" customHeight="1"/>
    <x:row r="502" ht="18" customHeight="1"/>
    <x:row r="503" ht="18" customHeight="1"/>
    <x:row r="504" ht="18" customHeight="1"/>
    <x:row r="505" ht="18" customHeight="1"/>
    <x:row r="506" ht="18" customHeight="1"/>
    <x:row r="507" ht="18" customHeight="1"/>
    <x:row r="508" ht="18" customHeight="1"/>
    <x:row r="509" ht="18" customHeight="1"/>
    <x:row r="510" ht="18" customHeight="1"/>
    <x:row r="511" ht="18" customHeight="1"/>
    <x:row r="512" ht="18" customHeight="1"/>
    <x:row r="513" ht="18" customHeight="1"/>
    <x:row r="514" ht="18" customHeight="1"/>
    <x:row r="515" ht="18" customHeight="1"/>
    <x:row r="516" ht="18" customHeight="1"/>
    <x:row r="517" ht="18" customHeight="1"/>
    <x:row r="518" ht="18" customHeight="1"/>
    <x:row r="519" ht="18" customHeight="1"/>
    <x:row r="520" ht="18" customHeight="1"/>
    <x:row r="521" ht="18" customHeight="1"/>
    <x:row r="522" ht="18" customHeight="1"/>
    <x:row r="523" ht="18" customHeight="1"/>
    <x:row r="524" ht="18" customHeight="1"/>
    <x:row r="525" ht="18" customHeight="1"/>
    <x:row r="526" ht="18" customHeight="1"/>
    <x:row r="527" ht="18" customHeight="1"/>
    <x:row r="528" ht="18" customHeight="1"/>
    <x:row r="529" ht="18" customHeight="1"/>
    <x:row r="530" ht="18" customHeight="1"/>
    <x:row r="531" ht="18" customHeight="1"/>
    <x:row r="532" ht="18" customHeight="1"/>
    <x:row r="533" ht="18" customHeight="1"/>
    <x:row r="534" ht="18" customHeight="1"/>
    <x:row r="535" ht="18" customHeight="1"/>
    <x:row r="536" ht="18" customHeight="1"/>
    <x:row r="537" ht="18" customHeight="1"/>
    <x:row r="538" ht="18" customHeight="1"/>
    <x:row r="539" ht="18" customHeight="1"/>
    <x:row r="540" ht="18" customHeight="1"/>
    <x:row r="541" ht="18" customHeight="1"/>
    <x:row r="542" ht="18" customHeight="1"/>
    <x:row r="543" ht="18" customHeight="1"/>
    <x:row r="544" ht="18" customHeight="1"/>
    <x:row r="545" ht="18" customHeight="1"/>
    <x:row r="546" ht="18" customHeight="1"/>
    <x:row r="547" ht="18" customHeight="1"/>
    <x:row r="548" ht="18" customHeight="1"/>
    <x:row r="549" ht="18" customHeight="1"/>
    <x:row r="550" ht="18" customHeight="1"/>
    <x:row r="551" ht="18" customHeight="1"/>
    <x:row r="552" ht="18" customHeight="1"/>
    <x:row r="553" ht="18" customHeight="1"/>
    <x:row r="554" ht="18" customHeight="1"/>
    <x:row r="555" ht="18" customHeight="1"/>
    <x:row r="556" ht="18" customHeight="1"/>
    <x:row r="557" ht="18" customHeight="1"/>
    <x:row r="558" ht="18" customHeight="1"/>
    <x:row r="559" ht="18" customHeight="1"/>
    <x:row r="560" ht="18" customHeight="1"/>
    <x:row r="561" ht="18" customHeight="1"/>
    <x:row r="562" ht="18" customHeight="1"/>
    <x:row r="563" ht="18" customHeight="1"/>
    <x:row r="564" ht="18" customHeight="1"/>
    <x:row r="565" ht="18" customHeight="1"/>
    <x:row r="566" ht="18" customHeight="1"/>
    <x:row r="567" ht="18" customHeight="1"/>
    <x:row r="568" ht="18" customHeight="1"/>
    <x:row r="569" ht="18" customHeight="1"/>
    <x:row r="570" ht="18" customHeight="1"/>
    <x:row r="571" ht="18" customHeight="1"/>
    <x:row r="572" ht="18" customHeight="1"/>
    <x:row r="573" ht="18" customHeight="1"/>
    <x:row r="574" ht="18" customHeight="1"/>
    <x:row r="575" ht="18" customHeight="1"/>
    <x:row r="576" ht="18" customHeight="1"/>
    <x:row r="577" ht="18" customHeight="1"/>
    <x:row r="578" ht="18" customHeight="1"/>
    <x:row r="579" ht="18" customHeight="1"/>
    <x:row r="580" ht="18" customHeight="1"/>
    <x:row r="581" ht="18" customHeight="1"/>
    <x:row r="582" ht="18" customHeight="1"/>
    <x:row r="583" ht="18" customHeight="1"/>
    <x:row r="584" ht="18" customHeight="1"/>
    <x:row r="585" ht="18" customHeight="1"/>
    <x:row r="586" ht="18" customHeight="1"/>
    <x:row r="587" ht="18" customHeight="1"/>
    <x:row r="588" ht="18" customHeight="1"/>
    <x:row r="589" ht="18" customHeight="1"/>
    <x:row r="590" ht="18" customHeight="1"/>
    <x:row r="591" ht="18" customHeight="1"/>
    <x:row r="592" ht="18" customHeight="1"/>
    <x:row r="593" ht="18" customHeight="1"/>
    <x:row r="594" ht="18" customHeight="1"/>
    <x:row r="595" ht="18" customHeight="1"/>
    <x:row r="596" ht="18" customHeight="1"/>
    <x:row r="597" ht="18" customHeight="1"/>
    <x:row r="598" ht="18" customHeight="1"/>
    <x:row r="599" ht="18" customHeight="1"/>
    <x:row r="600" ht="18" customHeight="1"/>
    <x:row r="601" ht="18" customHeight="1"/>
    <x:row r="602" ht="18" customHeight="1"/>
    <x:row r="603" ht="18" customHeight="1"/>
    <x:row r="604" ht="18" customHeight="1"/>
    <x:row r="605" ht="18" customHeight="1"/>
    <x:row r="606" ht="18" customHeight="1"/>
    <x:row r="607" ht="18" customHeight="1"/>
    <x:row r="608" ht="18" customHeight="1"/>
    <x:row r="609" ht="18" customHeight="1"/>
    <x:row r="610" ht="18" customHeight="1"/>
    <x:row r="611" ht="18" customHeight="1"/>
    <x:row r="612" ht="18" customHeight="1"/>
    <x:row r="613" ht="18" customHeight="1"/>
    <x:row r="614" ht="18" customHeight="1"/>
    <x:row r="615" ht="18" customHeight="1"/>
    <x:row r="616" ht="18" customHeight="1"/>
    <x:row r="617" ht="18" customHeight="1"/>
    <x:row r="618" ht="18" customHeight="1"/>
    <x:row r="619" ht="18" customHeight="1"/>
    <x:row r="620" ht="18" customHeight="1"/>
    <x:row r="621" ht="18" customHeight="1"/>
    <x:row r="622" ht="18" customHeight="1"/>
    <x:row r="623" ht="18" customHeight="1"/>
    <x:row r="624" ht="18" customHeight="1"/>
    <x:row r="625" ht="18" customHeight="1"/>
    <x:row r="626" ht="18" customHeight="1"/>
    <x:row r="627" ht="18" customHeight="1"/>
    <x:row r="628" ht="18" customHeight="1"/>
    <x:row r="629" ht="18" customHeight="1"/>
    <x:row r="630" ht="18" customHeight="1"/>
    <x:row r="631" ht="18" customHeight="1"/>
    <x:row r="632" ht="18" customHeight="1"/>
    <x:row r="633" ht="18" customHeight="1"/>
    <x:row r="634" ht="18" customHeight="1"/>
    <x:row r="635" ht="18" customHeight="1"/>
    <x:row r="636" ht="18" customHeight="1"/>
    <x:row r="637" ht="18" customHeight="1"/>
    <x:row r="638" ht="18" customHeight="1"/>
    <x:row r="639" ht="18" customHeight="1"/>
    <x:row r="640" ht="18" customHeight="1"/>
    <x:row r="641" ht="18" customHeight="1"/>
    <x:row r="642" ht="18" customHeight="1"/>
    <x:row r="643" ht="18" customHeight="1"/>
    <x:row r="644" ht="18" customHeight="1"/>
    <x:row r="645" ht="18" customHeight="1"/>
    <x:row r="646" ht="18" customHeight="1"/>
    <x:row r="647" ht="18" customHeight="1"/>
    <x:row r="648" ht="18" customHeight="1"/>
    <x:row r="649" ht="18" customHeight="1"/>
    <x:row r="650" ht="18" customHeight="1"/>
    <x:row r="651" ht="18" customHeight="1"/>
    <x:row r="652" ht="18" customHeight="1"/>
    <x:row r="653" ht="18" customHeight="1"/>
    <x:row r="654" ht="18" customHeight="1"/>
    <x:row r="655" ht="18" customHeight="1"/>
    <x:row r="656" ht="18" customHeight="1"/>
    <x:row r="657" ht="18" customHeight="1"/>
    <x:row r="658" ht="18" customHeight="1"/>
    <x:row r="659" ht="18" customHeight="1"/>
    <x:row r="660" ht="18" customHeight="1"/>
    <x:row r="661" ht="18" customHeight="1"/>
    <x:row r="662" ht="18" customHeight="1"/>
    <x:row r="663" ht="18" customHeight="1"/>
    <x:row r="664" ht="18" customHeight="1"/>
    <x:row r="665" ht="18" customHeight="1"/>
    <x:row r="666" ht="18" customHeight="1"/>
    <x:row r="667" ht="18" customHeight="1"/>
    <x:row r="668" ht="18" customHeight="1"/>
    <x:row r="669" ht="18" customHeight="1"/>
    <x:row r="670" ht="18" customHeight="1"/>
    <x:row r="671" ht="18" customHeight="1"/>
    <x:row r="672" ht="18" customHeight="1"/>
    <x:row r="673" ht="18" customHeight="1"/>
    <x:row r="674" ht="18" customHeight="1"/>
    <x:row r="675" ht="18" customHeight="1"/>
    <x:row r="676" ht="18" customHeight="1"/>
    <x:row r="677" ht="18" customHeight="1"/>
    <x:row r="678" ht="18" customHeight="1"/>
    <x:row r="679" ht="18" customHeight="1"/>
    <x:row r="680" ht="18" customHeight="1"/>
    <x:row r="681" ht="18" customHeight="1"/>
    <x:row r="682" ht="18" customHeight="1"/>
    <x:row r="683" ht="18" customHeight="1"/>
    <x:row r="684" ht="18" customHeight="1"/>
    <x:row r="685" ht="18" customHeight="1"/>
    <x:row r="686" ht="18" customHeight="1"/>
    <x:row r="687" ht="18" customHeight="1"/>
    <x:row r="688" ht="18" customHeight="1"/>
    <x:row r="689" ht="18" customHeight="1"/>
    <x:row r="690" ht="18" customHeight="1"/>
    <x:row r="691" ht="18" customHeight="1"/>
    <x:row r="692" ht="18" customHeight="1"/>
    <x:row r="693" ht="18" customHeight="1"/>
    <x:row r="694" ht="18" customHeight="1"/>
    <x:row r="695" ht="18" customHeight="1"/>
    <x:row r="696" ht="18" customHeight="1"/>
    <x:row r="697" ht="18" customHeight="1"/>
    <x:row r="698" ht="18" customHeight="1"/>
    <x:row r="699" ht="18" customHeight="1"/>
    <x:row r="700" ht="18" customHeight="1"/>
    <x:row r="701" ht="18" customHeight="1"/>
    <x:row r="702" ht="18" customHeight="1"/>
    <x:row r="703" ht="18" customHeight="1"/>
    <x:row r="704" ht="18" customHeight="1"/>
    <x:row r="705" ht="18" customHeight="1"/>
    <x:row r="706" ht="18" customHeight="1"/>
    <x:row r="707" ht="18" customHeight="1"/>
    <x:row r="708" ht="18" customHeight="1"/>
    <x:row r="709" ht="18" customHeight="1"/>
    <x:row r="710" ht="18" customHeight="1"/>
    <x:row r="711" ht="18" customHeight="1"/>
    <x:row r="712" ht="18" customHeight="1"/>
    <x:row r="713" ht="18" customHeight="1"/>
    <x:row r="714" ht="18" customHeight="1"/>
    <x:row r="715" ht="18" customHeight="1"/>
    <x:row r="716" ht="18" customHeight="1"/>
    <x:row r="717" ht="18" customHeight="1"/>
    <x:row r="718" ht="18" customHeight="1"/>
    <x:row r="719" ht="18" customHeight="1"/>
    <x:row r="720" ht="18" customHeight="1"/>
    <x:row r="721" ht="18" customHeight="1"/>
    <x:row r="722" ht="18" customHeight="1"/>
    <x:row r="723" ht="18" customHeight="1"/>
    <x:row r="724" ht="18" customHeight="1"/>
    <x:row r="725" ht="18" customHeight="1"/>
    <x:row r="726" ht="18" customHeight="1"/>
    <x:row r="727" ht="18" customHeight="1"/>
    <x:row r="728" ht="18" customHeight="1"/>
    <x:row r="729" ht="18" customHeight="1"/>
    <x:row r="730" ht="18" customHeight="1"/>
    <x:row r="731" ht="18" customHeight="1"/>
    <x:row r="732" ht="18" customHeight="1"/>
    <x:row r="733" ht="18" customHeight="1"/>
    <x:row r="734" ht="18" customHeight="1"/>
    <x:row r="735" ht="18" customHeight="1"/>
    <x:row r="736" ht="18" customHeight="1"/>
    <x:row r="737" ht="18" customHeight="1"/>
    <x:row r="738" ht="18" customHeight="1"/>
    <x:row r="739" ht="18" customHeight="1"/>
    <x:row r="740" ht="18" customHeight="1"/>
    <x:row r="741" ht="18" customHeight="1"/>
    <x:row r="742" ht="18" customHeight="1"/>
    <x:row r="743" ht="18" customHeight="1"/>
    <x:row r="744" ht="18" customHeight="1"/>
    <x:row r="745" ht="18" customHeight="1"/>
    <x:row r="746" ht="18" customHeight="1"/>
    <x:row r="747" ht="18" customHeight="1"/>
    <x:row r="748" ht="18" customHeight="1"/>
    <x:row r="749" ht="18" customHeight="1"/>
    <x:row r="750" ht="18" customHeight="1"/>
    <x:row r="751" ht="18" customHeight="1"/>
    <x:row r="752" ht="18" customHeight="1"/>
    <x:row r="753" ht="18" customHeight="1"/>
    <x:row r="754" ht="18" customHeight="1"/>
    <x:row r="755" ht="18" customHeight="1"/>
    <x:row r="756" ht="18" customHeight="1"/>
    <x:row r="757" ht="18" customHeight="1"/>
    <x:row r="758" ht="18" customHeight="1"/>
    <x:row r="759" ht="18" customHeight="1"/>
    <x:row r="760" ht="18" customHeight="1"/>
    <x:row r="761" ht="18" customHeight="1"/>
    <x:row r="762" ht="18" customHeight="1"/>
    <x:row r="763" ht="18" customHeight="1"/>
    <x:row r="764" ht="18" customHeight="1"/>
    <x:row r="765" ht="18" customHeight="1"/>
    <x:row r="766" ht="18" customHeight="1"/>
    <x:row r="767" ht="18" customHeight="1"/>
    <x:row r="768" ht="18" customHeight="1"/>
    <x:row r="769" ht="18" customHeight="1"/>
    <x:row r="770" ht="18" customHeight="1"/>
    <x:row r="771" ht="18" customHeight="1"/>
    <x:row r="772" ht="18" customHeight="1"/>
    <x:row r="773" ht="18" customHeight="1"/>
    <x:row r="774" ht="18" customHeight="1"/>
    <x:row r="775" ht="18" customHeight="1"/>
    <x:row r="776" ht="18" customHeight="1"/>
    <x:row r="777" ht="18" customHeight="1"/>
    <x:row r="778" ht="18" customHeight="1"/>
    <x:row r="779" ht="18" customHeight="1"/>
    <x:row r="780" ht="18" customHeight="1"/>
    <x:row r="781" ht="18" customHeight="1"/>
    <x:row r="782" ht="18" customHeight="1"/>
    <x:row r="783" ht="18" customHeight="1"/>
    <x:row r="784" ht="18" customHeight="1"/>
    <x:row r="785" ht="18" customHeight="1"/>
    <x:row r="786" ht="18" customHeight="1"/>
    <x:row r="787" ht="18" customHeight="1"/>
    <x:row r="788" ht="18" customHeight="1"/>
    <x:row r="789" ht="18" customHeight="1"/>
    <x:row r="790" ht="18" customHeight="1"/>
    <x:row r="791" ht="18" customHeight="1"/>
    <x:row r="792" ht="18" customHeight="1"/>
    <x:row r="793" ht="18" customHeight="1"/>
    <x:row r="794" ht="18" customHeight="1"/>
    <x:row r="795" ht="18" customHeight="1"/>
    <x:row r="796" ht="18" customHeight="1"/>
    <x:row r="797" ht="18" customHeight="1"/>
    <x:row r="798" ht="18" customHeight="1"/>
    <x:row r="799" ht="18" customHeight="1"/>
    <x:row r="800" ht="18" customHeight="1"/>
    <x:row r="801" ht="18" customHeight="1"/>
    <x:row r="802" ht="18" customHeight="1"/>
    <x:row r="803" ht="18" customHeight="1"/>
    <x:row r="804" ht="18" customHeight="1"/>
    <x:row r="805" ht="18" customHeight="1"/>
    <x:row r="806" ht="18" customHeight="1"/>
    <x:row r="807" ht="18" customHeight="1"/>
    <x:row r="808" ht="18" customHeight="1"/>
    <x:row r="809" ht="18" customHeight="1"/>
    <x:row r="810" ht="18" customHeight="1"/>
    <x:row r="811" ht="18" customHeight="1"/>
    <x:row r="812" ht="18" customHeight="1"/>
    <x:row r="813" ht="18" customHeight="1"/>
    <x:row r="814" ht="18" customHeight="1"/>
    <x:row r="815" ht="18" customHeight="1"/>
    <x:row r="816" ht="18" customHeight="1"/>
    <x:row r="817" ht="18" customHeight="1"/>
    <x:row r="818" ht="18" customHeight="1"/>
    <x:row r="819" ht="18" customHeight="1"/>
    <x:row r="820" ht="18" customHeight="1"/>
    <x:row r="821" ht="18" customHeight="1"/>
    <x:row r="822" ht="18" customHeight="1"/>
    <x:row r="823" ht="18" customHeight="1"/>
    <x:row r="824" ht="18" customHeight="1"/>
    <x:row r="825" ht="18" customHeight="1"/>
    <x:row r="826" ht="18" customHeight="1"/>
    <x:row r="827" ht="18" customHeight="1"/>
    <x:row r="828" ht="18" customHeight="1"/>
    <x:row r="829" ht="18" customHeight="1"/>
    <x:row r="830" ht="18" customHeight="1"/>
    <x:row r="831" ht="18" customHeight="1"/>
    <x:row r="832" ht="18" customHeight="1"/>
    <x:row r="833" ht="18" customHeight="1"/>
    <x:row r="834" ht="18" customHeight="1"/>
    <x:row r="835" ht="18" customHeight="1"/>
    <x:row r="836" ht="18" customHeight="1"/>
    <x:row r="837" ht="18" customHeight="1"/>
    <x:row r="838" ht="18" customHeight="1"/>
    <x:row r="839" ht="18" customHeight="1"/>
    <x:row r="840" ht="18" customHeight="1"/>
    <x:row r="841" ht="18" customHeight="1"/>
    <x:row r="842" ht="18" customHeight="1"/>
    <x:row r="843" ht="18" customHeight="1"/>
    <x:row r="844" ht="18" customHeight="1"/>
    <x:row r="845" ht="18" customHeight="1"/>
    <x:row r="846" ht="18" customHeight="1"/>
    <x:row r="847" ht="18" customHeight="1"/>
    <x:row r="848" ht="18" customHeight="1"/>
    <x:row r="849" ht="18" customHeight="1"/>
    <x:row r="850" ht="18" customHeight="1"/>
    <x:row r="851" ht="18" customHeight="1"/>
    <x:row r="852" ht="18" customHeight="1"/>
    <x:row r="853" ht="18" customHeight="1"/>
    <x:row r="854" ht="18" customHeight="1"/>
    <x:row r="855" ht="18" customHeight="1"/>
    <x:row r="856" ht="18" customHeight="1"/>
    <x:row r="857" ht="18" customHeight="1"/>
    <x:row r="858" ht="18" customHeight="1"/>
    <x:row r="859" ht="18" customHeight="1"/>
    <x:row r="860" ht="18" customHeight="1"/>
    <x:row r="861" ht="18" customHeight="1"/>
    <x:row r="862" ht="18" customHeight="1"/>
    <x:row r="863" ht="18" customHeight="1"/>
    <x:row r="864" ht="18" customHeight="1"/>
    <x:row r="865" ht="18" customHeight="1"/>
    <x:row r="866" ht="18" customHeight="1"/>
    <x:row r="867" ht="18" customHeight="1"/>
    <x:row r="868" ht="18" customHeight="1"/>
    <x:row r="869" ht="18" customHeight="1"/>
    <x:row r="870" ht="18" customHeight="1"/>
    <x:row r="871" ht="18" customHeight="1"/>
    <x:row r="872" ht="18" customHeight="1"/>
    <x:row r="873" ht="18" customHeight="1"/>
    <x:row r="874" ht="18" customHeight="1"/>
    <x:row r="875" ht="18" customHeight="1"/>
    <x:row r="876" ht="18" customHeight="1"/>
    <x:row r="877" ht="18" customHeight="1"/>
    <x:row r="878" ht="18" customHeight="1"/>
    <x:row r="879" ht="18" customHeight="1"/>
    <x:row r="880" ht="18" customHeight="1"/>
    <x:row r="881" ht="18" customHeight="1"/>
    <x:row r="882" ht="18" customHeight="1"/>
    <x:row r="883" ht="18" customHeight="1"/>
    <x:row r="884" ht="18" customHeight="1"/>
    <x:row r="885" ht="18" customHeight="1"/>
    <x:row r="886" ht="18" customHeight="1"/>
    <x:row r="887" ht="18" customHeight="1"/>
    <x:row r="888" ht="18" customHeight="1"/>
    <x:row r="889" ht="18" customHeight="1"/>
    <x:row r="890" ht="18" customHeight="1"/>
    <x:row r="891" ht="18" customHeight="1"/>
    <x:row r="892" ht="18" customHeight="1"/>
    <x:row r="893" ht="18" customHeight="1"/>
    <x:row r="894" ht="18" customHeight="1"/>
    <x:row r="895" ht="18" customHeight="1"/>
    <x:row r="896" ht="18" customHeight="1"/>
    <x:row r="897" ht="18" customHeight="1"/>
    <x:row r="898" ht="18" customHeight="1"/>
    <x:row r="899" ht="18" customHeight="1"/>
    <x:row r="900" ht="18" customHeight="1"/>
    <x:row r="901" ht="18" customHeight="1"/>
    <x:row r="902" ht="18" customHeight="1"/>
    <x:row r="903" ht="18" customHeight="1"/>
    <x:row r="904" ht="18" customHeight="1"/>
    <x:row r="905" ht="18" customHeight="1"/>
    <x:row r="906" ht="18" customHeight="1"/>
    <x:row r="907" ht="18" customHeight="1"/>
    <x:row r="908" ht="18" customHeight="1"/>
    <x:row r="909" ht="18" customHeight="1"/>
    <x:row r="910" ht="18" customHeight="1"/>
    <x:row r="911" ht="18" customHeight="1"/>
    <x:row r="912" ht="18" customHeight="1"/>
    <x:row r="913" ht="18" customHeight="1"/>
    <x:row r="914" ht="18" customHeight="1"/>
    <x:row r="915" ht="18" customHeight="1"/>
    <x:row r="916" ht="18" customHeight="1"/>
    <x:row r="917" ht="18" customHeight="1"/>
    <x:row r="918" ht="18" customHeight="1"/>
    <x:row r="919" ht="18" customHeight="1"/>
    <x:row r="920" ht="18" customHeight="1"/>
    <x:row r="921" ht="18" customHeight="1"/>
    <x:row r="922" ht="18" customHeight="1"/>
    <x:row r="923" ht="18" customHeight="1"/>
    <x:row r="924" ht="18" customHeight="1"/>
    <x:row r="925" ht="18" customHeight="1"/>
    <x:row r="926" ht="18" customHeight="1"/>
    <x:row r="927" ht="18" customHeight="1"/>
    <x:row r="928" ht="18" customHeight="1"/>
    <x:row r="929" ht="18" customHeight="1"/>
    <x:row r="930" ht="18" customHeight="1"/>
    <x:row r="931" ht="18" customHeight="1"/>
    <x:row r="932" ht="18" customHeight="1"/>
    <x:row r="933" ht="18" customHeight="1"/>
    <x:row r="934" ht="18" customHeight="1"/>
    <x:row r="935" ht="18" customHeight="1"/>
    <x:row r="936" ht="18" customHeight="1"/>
    <x:row r="937" ht="18" customHeight="1"/>
    <x:row r="938" ht="18" customHeight="1"/>
    <x:row r="939" ht="18" customHeight="1"/>
    <x:row r="940" ht="18" customHeight="1"/>
    <x:row r="941" ht="18" customHeight="1"/>
    <x:row r="942" ht="18" customHeight="1"/>
    <x:row r="943" ht="18" customHeight="1"/>
    <x:row r="944" ht="18" customHeight="1"/>
    <x:row r="945" ht="18" customHeight="1"/>
    <x:row r="946" ht="18" customHeight="1"/>
    <x:row r="947" ht="18" customHeight="1"/>
    <x:row r="948" ht="18" customHeight="1"/>
    <x:row r="949" ht="18" customHeight="1"/>
    <x:row r="950" ht="18" customHeight="1"/>
    <x:row r="951" ht="18" customHeight="1"/>
    <x:row r="952" ht="18" customHeight="1"/>
    <x:row r="953" ht="18" customHeight="1"/>
    <x:row r="954" ht="18" customHeight="1"/>
    <x:row r="955" ht="18" customHeight="1"/>
    <x:row r="956" ht="18" customHeight="1"/>
    <x:row r="957" ht="18" customHeight="1"/>
    <x:row r="958" ht="18" customHeight="1"/>
    <x:row r="959" ht="18" customHeight="1"/>
    <x:row r="960" ht="18" customHeight="1"/>
    <x:row r="961" ht="18" customHeight="1"/>
    <x:row r="962" ht="18" customHeight="1"/>
    <x:row r="963" ht="18" customHeight="1"/>
    <x:row r="964" ht="18" customHeight="1"/>
    <x:row r="965" ht="18" customHeight="1"/>
    <x:row r="966" ht="18" customHeight="1"/>
    <x:row r="967" ht="18" customHeight="1"/>
    <x:row r="968" ht="18" customHeight="1"/>
    <x:row r="969" ht="18" customHeight="1"/>
    <x:row r="970" ht="18" customHeight="1"/>
    <x:row r="971" ht="18" customHeight="1"/>
    <x:row r="972" ht="18" customHeight="1"/>
    <x:row r="973" ht="18" customHeight="1"/>
    <x:row r="974" ht="18" customHeight="1"/>
    <x:row r="975" ht="18" customHeight="1"/>
    <x:row r="976" ht="18" customHeight="1"/>
    <x:row r="977" ht="18" customHeight="1"/>
    <x:row r="978" ht="18" customHeight="1"/>
    <x:row r="979" ht="18" customHeight="1"/>
    <x:row r="980" ht="18" customHeight="1"/>
    <x:row r="981" ht="18" customHeight="1"/>
    <x:row r="982" ht="18" customHeight="1"/>
    <x:row r="983" ht="18" customHeight="1"/>
    <x:row r="984" ht="18" customHeight="1"/>
    <x:row r="985" ht="18" customHeight="1"/>
    <x:row r="986" ht="18" customHeight="1"/>
    <x:row r="987" ht="18" customHeight="1"/>
    <x:row r="988" ht="18" customHeight="1"/>
    <x:row r="989" ht="18" customHeight="1"/>
    <x:row r="990" ht="18" customHeight="1"/>
    <x:row r="991" ht="18" customHeight="1"/>
    <x:row r="992" ht="18" customHeight="1"/>
    <x:row r="993" ht="18" customHeight="1"/>
    <x:row r="994" ht="18" customHeight="1"/>
    <x:row r="995" ht="18" customHeight="1"/>
    <x:row r="996" ht="18" customHeight="1"/>
    <x:row r="997" ht="18" customHeight="1"/>
    <x:row r="998" ht="18" customHeight="1"/>
    <x:row r="999" ht="18" customHeight="1"/>
    <x:row r="1000" ht="18" customHeight="1"/>
    <x:row r="1001" ht="18" customHeight="1"/>
    <x:row r="1002" ht="18" customHeight="1"/>
    <x:row r="1003" ht="18" customHeight="1"/>
    <x:row r="1004" ht="18" customHeight="1"/>
    <x:row r="1005" ht="18" customHeight="1"/>
    <x:row r="1006" ht="18" customHeight="1"/>
    <x:row r="1007" ht="18" customHeight="1"/>
    <x:row r="1008" ht="18" customHeight="1"/>
    <x:row r="1009" ht="18" customHeight="1"/>
    <x:row r="1010" ht="18" customHeight="1"/>
    <x:row r="1011" ht="18" customHeight="1"/>
    <x:row r="1012" ht="18" customHeight="1"/>
    <x:row r="1013" ht="18" customHeight="1"/>
    <x:row r="1014" ht="18" customHeight="1"/>
    <x:row r="1015" ht="18" customHeight="1"/>
    <x:row r="1016" ht="18" customHeight="1"/>
    <x:row r="1017" ht="18" customHeight="1"/>
    <x:row r="1018" ht="18" customHeight="1"/>
    <x:row r="1019" ht="18" customHeight="1"/>
    <x:row r="1020" ht="18" customHeight="1"/>
    <x:row r="1021" ht="18" customHeight="1"/>
    <x:row r="1022" ht="18" customHeight="1"/>
    <x:row r="1023" ht="18" customHeight="1"/>
    <x:row r="1024" ht="18" customHeight="1"/>
    <x:row r="1025" ht="18" customHeight="1"/>
    <x:row r="1026" ht="18" customHeight="1"/>
    <x:row r="1027" ht="18" customHeight="1"/>
    <x:row r="1028" ht="18" customHeight="1"/>
    <x:row r="1029" ht="18" customHeight="1"/>
    <x:row r="1030" ht="18" customHeight="1"/>
    <x:row r="1031" ht="18" customHeight="1"/>
    <x:row r="1032" ht="18" customHeight="1"/>
    <x:row r="1033" ht="18" customHeight="1"/>
    <x:row r="1034" ht="18" customHeight="1"/>
    <x:row r="1035" ht="18" customHeight="1"/>
    <x:row r="1036" ht="18" customHeight="1"/>
    <x:row r="1037" ht="18" customHeight="1"/>
    <x:row r="1038" ht="18" customHeight="1"/>
    <x:row r="1039" ht="18" customHeight="1"/>
    <x:row r="1040" ht="18" customHeight="1"/>
    <x:row r="1041" ht="18" customHeight="1"/>
    <x:row r="1042" ht="18" customHeight="1"/>
    <x:row r="1043" ht="18" customHeight="1"/>
    <x:row r="1044" ht="18" customHeight="1"/>
    <x:row r="1045" ht="18" customHeight="1"/>
    <x:row r="1046" ht="18" customHeight="1"/>
    <x:row r="1047" ht="18" customHeight="1"/>
    <x:row r="1048" ht="18" customHeight="1"/>
    <x:row r="1049" ht="18" customHeight="1"/>
    <x:row r="1050" ht="18" customHeight="1"/>
    <x:row r="1051" ht="18" customHeight="1"/>
    <x:row r="1052" ht="18" customHeight="1"/>
    <x:row r="1053" ht="18" customHeight="1"/>
    <x:row r="1054" ht="18" customHeight="1"/>
    <x:row r="1055" ht="18" customHeight="1"/>
    <x:row r="1056" ht="18" customHeight="1"/>
    <x:row r="1057" ht="18" customHeight="1"/>
    <x:row r="1058" ht="18" customHeight="1"/>
    <x:row r="1059" ht="18" customHeight="1"/>
    <x:row r="1060" ht="18" customHeight="1"/>
    <x:row r="1061" ht="18" customHeight="1"/>
    <x:row r="1062" ht="18" customHeight="1"/>
    <x:row r="1063" ht="18" customHeight="1"/>
    <x:row r="1064" ht="18" customHeight="1"/>
    <x:row r="1065" ht="18" customHeight="1"/>
    <x:row r="1066" ht="18" customHeight="1"/>
    <x:row r="1067" ht="18" customHeight="1"/>
    <x:row r="1068" ht="18" customHeight="1"/>
    <x:row r="1069" ht="18" customHeight="1"/>
    <x:row r="1070" ht="18" customHeight="1"/>
    <x:row r="1071" ht="18" customHeight="1"/>
    <x:row r="1072" ht="18" customHeight="1"/>
    <x:row r="1073" ht="18" customHeight="1"/>
    <x:row r="1074" ht="18" customHeight="1"/>
    <x:row r="1075" ht="18" customHeight="1"/>
    <x:row r="1076" ht="18" customHeight="1"/>
    <x:row r="1077" ht="18" customHeight="1"/>
    <x:row r="1078" ht="18" customHeight="1"/>
    <x:row r="1079" ht="18" customHeight="1"/>
    <x:row r="1080" ht="18" customHeight="1"/>
    <x:row r="1081" ht="18" customHeight="1"/>
    <x:row r="1082" ht="18" customHeight="1"/>
    <x:row r="1083" ht="18" customHeight="1"/>
    <x:row r="1084" ht="18" customHeight="1"/>
    <x:row r="1085" ht="18" customHeight="1"/>
    <x:row r="1086" ht="18" customHeight="1"/>
    <x:row r="1087" ht="18" customHeight="1"/>
    <x:row r="1088" ht="18" customHeight="1"/>
    <x:row r="1089" ht="18" customHeight="1"/>
    <x:row r="1090" ht="18" customHeight="1"/>
    <x:row r="1091" ht="18" customHeight="1"/>
    <x:row r="1092" ht="18" customHeight="1"/>
    <x:row r="1093" ht="18" customHeight="1"/>
    <x:row r="1094" ht="18" customHeight="1"/>
    <x:row r="1095" ht="18" customHeight="1"/>
    <x:row r="1096" ht="18" customHeight="1"/>
    <x:row r="1097" ht="18" customHeight="1"/>
    <x:row r="1098" ht="18" customHeight="1"/>
    <x:row r="1099" ht="18" customHeight="1"/>
    <x:row r="1100" ht="18" customHeight="1"/>
    <x:row r="1101" ht="18" customHeight="1"/>
    <x:row r="1102" ht="18" customHeight="1"/>
    <x:row r="1103" ht="18" customHeight="1"/>
    <x:row r="1104" ht="18" customHeight="1"/>
    <x:row r="1105" ht="18" customHeight="1"/>
    <x:row r="1106" ht="18" customHeight="1"/>
    <x:row r="1107" ht="18" customHeight="1"/>
    <x:row r="1108" ht="18" customHeight="1"/>
    <x:row r="1109" ht="18" customHeight="1"/>
    <x:row r="1110" ht="18" customHeight="1"/>
    <x:row r="1111" ht="18" customHeight="1"/>
    <x:row r="1112" ht="18" customHeight="1"/>
    <x:row r="1113" ht="18" customHeight="1"/>
    <x:row r="1114" ht="18" customHeight="1"/>
    <x:row r="1115" ht="18" customHeight="1"/>
    <x:row r="1116" ht="18" customHeight="1"/>
    <x:row r="1117" ht="18" customHeight="1"/>
    <x:row r="1118" ht="18" customHeight="1"/>
    <x:row r="1119" ht="18" customHeight="1"/>
    <x:row r="1120" ht="18" customHeight="1"/>
    <x:row r="1121" ht="18" customHeight="1"/>
    <x:row r="1122" ht="18" customHeight="1"/>
    <x:row r="1123" ht="18" customHeight="1"/>
    <x:row r="1124" ht="18" customHeight="1"/>
    <x:row r="1125" ht="18" customHeight="1"/>
    <x:row r="1126" ht="18" customHeight="1"/>
    <x:row r="1127" ht="18" customHeight="1"/>
    <x:row r="1128" ht="18" customHeight="1"/>
    <x:row r="1129" ht="18" customHeight="1"/>
    <x:row r="1130" ht="18" customHeight="1"/>
    <x:row r="1131" ht="18" customHeight="1"/>
    <x:row r="1132" ht="18" customHeight="1"/>
    <x:row r="1133" ht="18" customHeight="1"/>
    <x:row r="1134" ht="18" customHeight="1"/>
    <x:row r="1135" ht="18" customHeight="1"/>
    <x:row r="1136" ht="18" customHeight="1"/>
    <x:row r="1137" ht="18" customHeight="1"/>
    <x:row r="1138" ht="18" customHeight="1"/>
    <x:row r="1139" ht="18" customHeight="1"/>
    <x:row r="1140" ht="18" customHeight="1"/>
    <x:row r="1141" ht="18" customHeight="1"/>
    <x:row r="1142" ht="18" customHeight="1"/>
    <x:row r="1143" ht="18" customHeight="1"/>
    <x:row r="1144" ht="18" customHeight="1"/>
    <x:row r="1145" ht="18" customHeight="1"/>
    <x:row r="1146" ht="18" customHeight="1"/>
    <x:row r="1147" ht="18" customHeight="1"/>
    <x:row r="1148" ht="18" customHeight="1"/>
    <x:row r="1149" ht="18" customHeight="1"/>
    <x:row r="1150" ht="18" customHeight="1"/>
    <x:row r="1151" ht="18" customHeight="1"/>
    <x:row r="1152" ht="18" customHeight="1"/>
    <x:row r="1153" ht="18" customHeight="1"/>
    <x:row r="1154" ht="18" customHeight="1"/>
    <x:row r="1155" ht="18" customHeight="1"/>
    <x:row r="1156" ht="18" customHeight="1"/>
    <x:row r="1157" ht="18" customHeight="1"/>
    <x:row r="1158" ht="18" customHeight="1"/>
    <x:row r="1159" ht="18" customHeight="1"/>
    <x:row r="1160" ht="18" customHeight="1"/>
    <x:row r="1161" ht="18" customHeight="1"/>
    <x:row r="1162" ht="18" customHeight="1"/>
    <x:row r="1163" ht="18" customHeight="1"/>
    <x:row r="1164" ht="18" customHeight="1"/>
    <x:row r="1165" ht="18" customHeight="1"/>
    <x:row r="1166" ht="18" customHeight="1"/>
    <x:row r="1167" ht="18" customHeight="1"/>
    <x:row r="1168" ht="18" customHeight="1"/>
    <x:row r="1169" ht="18" customHeight="1"/>
    <x:row r="1170" ht="18" customHeight="1"/>
    <x:row r="1171" ht="18" customHeight="1"/>
    <x:row r="1172" ht="18" customHeight="1"/>
    <x:row r="1173" ht="18" customHeight="1"/>
    <x:row r="1174" ht="18" customHeight="1"/>
    <x:row r="1175" ht="18" customHeight="1"/>
    <x:row r="1176" ht="18" customHeight="1"/>
    <x:row r="1177" ht="18" customHeight="1"/>
    <x:row r="1178" ht="18" customHeight="1"/>
    <x:row r="1179" ht="18" customHeight="1"/>
    <x:row r="1180" ht="18" customHeight="1"/>
    <x:row r="1181" ht="18" customHeight="1"/>
    <x:row r="1182" ht="18" customHeight="1"/>
    <x:row r="1183" ht="18" customHeight="1"/>
    <x:row r="1184" ht="18" customHeight="1"/>
    <x:row r="1185" ht="18" customHeight="1"/>
    <x:row r="1186" ht="18" customHeight="1"/>
    <x:row r="1187" ht="18" customHeight="1"/>
    <x:row r="1188" ht="18" customHeight="1"/>
    <x:row r="1189" ht="18" customHeight="1"/>
    <x:row r="1190" ht="18" customHeight="1"/>
    <x:row r="1191" ht="18" customHeight="1"/>
    <x:row r="1192" ht="18" customHeight="1"/>
    <x:row r="1193" ht="18" customHeight="1"/>
    <x:row r="1194" ht="18" customHeight="1"/>
    <x:row r="1195" ht="18" customHeight="1"/>
    <x:row r="1196" ht="18" customHeight="1"/>
    <x:row r="1197" ht="18" customHeight="1"/>
    <x:row r="1198" ht="18" customHeight="1"/>
    <x:row r="1199" ht="18" customHeight="1"/>
    <x:row r="1200" ht="18" customHeight="1"/>
    <x:row r="1201" ht="18" customHeight="1"/>
    <x:row r="1202" ht="18" customHeight="1"/>
    <x:row r="1203" ht="18" customHeight="1"/>
    <x:row r="1204" ht="18" customHeight="1"/>
    <x:row r="1205" ht="18" customHeight="1"/>
    <x:row r="1206" ht="18" customHeight="1"/>
    <x:row r="1207" ht="18" customHeight="1"/>
    <x:row r="1208" ht="18" customHeight="1"/>
    <x:row r="1209" ht="18" customHeight="1"/>
    <x:row r="1210" ht="18" customHeight="1"/>
    <x:row r="1211" ht="18" customHeight="1"/>
    <x:row r="1212" ht="18" customHeight="1"/>
    <x:row r="1213" ht="18" customHeight="1"/>
    <x:row r="1214" ht="18" customHeight="1"/>
    <x:row r="1215" ht="18" customHeight="1"/>
    <x:row r="1216" ht="18" customHeight="1"/>
    <x:row r="1217" ht="18" customHeight="1"/>
    <x:row r="1218" ht="18" customHeight="1"/>
    <x:row r="1219" ht="18" customHeight="1"/>
    <x:row r="1220" ht="18" customHeight="1"/>
    <x:row r="1221" ht="18" customHeight="1"/>
    <x:row r="1222" ht="18" customHeight="1"/>
    <x:row r="1223" ht="18" customHeight="1"/>
    <x:row r="1224" ht="18" customHeight="1"/>
    <x:row r="1225" ht="18" customHeight="1"/>
    <x:row r="1226" ht="18" customHeight="1"/>
    <x:row r="1227" ht="18" customHeight="1"/>
    <x:row r="1228" ht="18" customHeight="1"/>
    <x:row r="1229" ht="18" customHeight="1"/>
    <x:row r="1230" ht="18" customHeight="1"/>
    <x:row r="1231" ht="18" customHeight="1"/>
    <x:row r="1232" ht="18" customHeight="1"/>
    <x:row r="1233" ht="18" customHeight="1"/>
    <x:row r="1234" ht="18" customHeight="1"/>
    <x:row r="1235" ht="18" customHeight="1"/>
    <x:row r="1236" ht="18" customHeight="1"/>
    <x:row r="1237" ht="18" customHeight="1"/>
    <x:row r="1238" ht="18" customHeight="1"/>
    <x:row r="1239" ht="18" customHeight="1"/>
    <x:row r="1240" ht="18" customHeight="1"/>
    <x:row r="1241" ht="18" customHeight="1"/>
    <x:row r="1242" ht="18" customHeight="1"/>
    <x:row r="1243" ht="18" customHeight="1"/>
    <x:row r="1244" ht="18" customHeight="1"/>
    <x:row r="1245" ht="18" customHeight="1"/>
    <x:row r="1246" ht="18" customHeight="1"/>
    <x:row r="1247" ht="18" customHeight="1"/>
    <x:row r="1248" ht="18" customHeight="1"/>
    <x:row r="1249" ht="18" customHeight="1"/>
    <x:row r="1250" ht="18" customHeight="1"/>
    <x:row r="1251" ht="18" customHeight="1"/>
    <x:row r="1252" ht="18" customHeight="1"/>
    <x:row r="1253" ht="18" customHeight="1"/>
    <x:row r="1254" ht="18" customHeight="1"/>
    <x:row r="1255" ht="18" customHeight="1"/>
    <x:row r="1256" ht="18" customHeight="1"/>
    <x:row r="1257" ht="18" customHeight="1"/>
    <x:row r="1258" ht="18" customHeight="1"/>
    <x:row r="1259" ht="18" customHeight="1"/>
    <x:row r="1260" ht="18" customHeight="1"/>
    <x:row r="1261" ht="18" customHeight="1"/>
    <x:row r="1262" ht="18" customHeight="1"/>
    <x:row r="1263" ht="18" customHeight="1"/>
    <x:row r="1264" ht="18" customHeight="1"/>
    <x:row r="1265" ht="18" customHeight="1"/>
    <x:row r="1266" ht="18" customHeight="1"/>
    <x:row r="1267" ht="18" customHeight="1"/>
    <x:row r="1268" ht="18" customHeight="1"/>
    <x:row r="1269" ht="18" customHeight="1"/>
    <x:row r="1270" ht="18" customHeight="1"/>
    <x:row r="1271" ht="18" customHeight="1"/>
    <x:row r="1272" ht="18" customHeight="1"/>
    <x:row r="1273" ht="18" customHeight="1"/>
    <x:row r="1274" ht="18" customHeight="1"/>
    <x:row r="1275" ht="18" customHeight="1"/>
    <x:row r="1276" ht="18" customHeight="1"/>
    <x:row r="1277" ht="18" customHeight="1"/>
    <x:row r="1278" ht="18" customHeight="1"/>
    <x:row r="1279" ht="18" customHeight="1"/>
    <x:row r="1280" ht="18" customHeight="1"/>
    <x:row r="1281" ht="18" customHeight="1"/>
    <x:row r="1282" ht="18" customHeight="1"/>
    <x:row r="1283" ht="18" customHeight="1"/>
    <x:row r="1284" ht="18" customHeight="1"/>
    <x:row r="1285" ht="18" customHeight="1"/>
    <x:row r="1286" ht="18" customHeight="1"/>
    <x:row r="1287" ht="18" customHeight="1"/>
    <x:row r="1288" ht="18" customHeight="1"/>
    <x:row r="1289" ht="18" customHeight="1"/>
    <x:row r="1290" ht="18" customHeight="1"/>
    <x:row r="1291" ht="18" customHeight="1"/>
    <x:row r="1292" ht="18" customHeight="1"/>
    <x:row r="1293" ht="18" customHeight="1"/>
    <x:row r="1294" ht="18" customHeight="1"/>
    <x:row r="1295" ht="18" customHeight="1"/>
    <x:row r="1296" ht="18" customHeight="1"/>
    <x:row r="1297" ht="18" customHeight="1"/>
    <x:row r="1298" ht="18" customHeight="1"/>
    <x:row r="1299" ht="18" customHeight="1"/>
    <x:row r="1300" ht="18" customHeight="1"/>
    <x:row r="1301" ht="18" customHeight="1"/>
    <x:row r="1302" ht="18" customHeight="1"/>
    <x:row r="1303" ht="18" customHeight="1"/>
    <x:row r="1304" ht="18" customHeight="1"/>
    <x:row r="1305" ht="18" customHeight="1"/>
    <x:row r="1306" ht="18" customHeight="1"/>
    <x:row r="1307" ht="18" customHeight="1"/>
    <x:row r="1308" ht="18" customHeight="1"/>
    <x:row r="1309" ht="18" customHeight="1"/>
    <x:row r="1310" ht="18" customHeight="1"/>
    <x:row r="1311" ht="18" customHeight="1"/>
    <x:row r="1312" ht="18" customHeight="1"/>
    <x:row r="1313" ht="18" customHeight="1"/>
    <x:row r="1314" ht="18" customHeight="1"/>
    <x:row r="1315" ht="18" customHeight="1"/>
    <x:row r="1316" ht="18" customHeight="1"/>
    <x:row r="1317" ht="18" customHeight="1"/>
    <x:row r="1318" ht="18" customHeight="1"/>
    <x:row r="1319" ht="18" customHeight="1"/>
    <x:row r="1320" ht="18" customHeight="1"/>
    <x:row r="1321" ht="18" customHeight="1"/>
    <x:row r="1322" ht="18" customHeight="1"/>
    <x:row r="1323" ht="18" customHeight="1"/>
    <x:row r="1324" ht="18" customHeight="1"/>
    <x:row r="1325" ht="18" customHeight="1"/>
    <x:row r="1326" ht="18" customHeight="1"/>
    <x:row r="1327" ht="18" customHeight="1"/>
    <x:row r="1328" ht="18" customHeight="1"/>
    <x:row r="1329" ht="18" customHeight="1"/>
    <x:row r="1330" ht="18" customHeight="1"/>
    <x:row r="1331" ht="18" customHeight="1"/>
    <x:row r="1332" ht="18" customHeight="1"/>
    <x:row r="1333" ht="18" customHeight="1"/>
    <x:row r="1334" ht="18" customHeight="1"/>
    <x:row r="1335" ht="18" customHeight="1"/>
    <x:row r="1336" ht="18" customHeight="1"/>
    <x:row r="1337" ht="18" customHeight="1"/>
    <x:row r="1338" ht="18" customHeight="1"/>
    <x:row r="1339" ht="18" customHeight="1"/>
    <x:row r="1340" ht="18" customHeight="1"/>
    <x:row r="1341" ht="18" customHeight="1"/>
    <x:row r="1342" ht="18" customHeight="1"/>
    <x:row r="1343" ht="18" customHeight="1"/>
    <x:row r="1344" ht="18" customHeight="1"/>
    <x:row r="1345" ht="18" customHeight="1"/>
    <x:row r="1346" ht="18" customHeight="1"/>
    <x:row r="1347" ht="18" customHeight="1"/>
    <x:row r="1348" ht="18" customHeight="1"/>
    <x:row r="1349" ht="18" customHeight="1"/>
    <x:row r="1350" ht="18" customHeight="1"/>
    <x:row r="1351" ht="18" customHeight="1"/>
    <x:row r="1352" ht="18" customHeight="1"/>
    <x:row r="1353" ht="18" customHeight="1"/>
    <x:row r="1354" ht="18" customHeight="1"/>
    <x:row r="1355" ht="18" customHeight="1"/>
    <x:row r="1356" ht="18" customHeight="1"/>
    <x:row r="1357" ht="18" customHeight="1"/>
    <x:row r="1358" ht="18" customHeight="1"/>
    <x:row r="1359" ht="18" customHeight="1"/>
    <x:row r="1360" ht="18" customHeight="1"/>
    <x:row r="1361" ht="18" customHeight="1"/>
    <x:row r="1362" ht="18" customHeight="1"/>
    <x:row r="1363" ht="18" customHeight="1"/>
    <x:row r="1364" ht="18" customHeight="1"/>
    <x:row r="1365" ht="18" customHeight="1"/>
    <x:row r="1366" ht="18" customHeight="1"/>
    <x:row r="1367" ht="18" customHeight="1"/>
    <x:row r="1368" ht="18" customHeight="1"/>
    <x:row r="1369" ht="18" customHeight="1"/>
    <x:row r="1370" ht="18" customHeight="1"/>
    <x:row r="1371" ht="18" customHeight="1"/>
    <x:row r="1372" ht="18" customHeight="1"/>
    <x:row r="1373" ht="18" customHeight="1"/>
    <x:row r="1374" ht="18" customHeight="1"/>
    <x:row r="1375" ht="18" customHeight="1"/>
    <x:row r="1376" ht="18" customHeight="1"/>
    <x:row r="1377" ht="18" customHeight="1"/>
    <x:row r="1378" ht="18" customHeight="1"/>
    <x:row r="1379" ht="18" customHeight="1"/>
    <x:row r="1380" ht="18" customHeight="1"/>
    <x:row r="1381" ht="18" customHeight="1"/>
    <x:row r="1382" ht="18" customHeight="1"/>
    <x:row r="1383" ht="18" customHeight="1"/>
    <x:row r="1384" ht="18" customHeight="1"/>
    <x:row r="1385" ht="18" customHeight="1"/>
    <x:row r="1386" ht="18" customHeight="1"/>
    <x:row r="1387" ht="18" customHeight="1"/>
    <x:row r="1388" ht="18" customHeight="1"/>
    <x:row r="1389" ht="18" customHeight="1"/>
    <x:row r="1390" ht="18" customHeight="1"/>
    <x:row r="1391" ht="18" customHeight="1"/>
    <x:row r="1392" ht="18" customHeight="1"/>
    <x:row r="1393" ht="18" customHeight="1"/>
    <x:row r="1394" ht="18" customHeight="1"/>
    <x:row r="1395" ht="18" customHeight="1"/>
    <x:row r="1396" ht="18" customHeight="1"/>
    <x:row r="1397" ht="18" customHeight="1"/>
    <x:row r="1398" ht="18" customHeight="1"/>
    <x:row r="1399" ht="18" customHeight="1"/>
    <x:row r="1400" ht="18" customHeight="1"/>
    <x:row r="1401" ht="18" customHeight="1"/>
    <x:row r="1402" ht="18" customHeight="1"/>
    <x:row r="1403" ht="18" customHeight="1"/>
    <x:row r="1404" ht="18" customHeight="1"/>
    <x:row r="1405" ht="18" customHeight="1"/>
    <x:row r="1406" ht="18" customHeight="1"/>
    <x:row r="1407" ht="18" customHeight="1"/>
    <x:row r="1408" ht="18" customHeight="1"/>
    <x:row r="1409" ht="18" customHeight="1"/>
    <x:row r="1410" ht="18" customHeight="1"/>
    <x:row r="1411" ht="18" customHeight="1"/>
    <x:row r="1412" ht="18" customHeight="1"/>
    <x:row r="1413" ht="18" customHeight="1"/>
    <x:row r="1414" ht="18" customHeight="1"/>
    <x:row r="1415" ht="18" customHeight="1"/>
    <x:row r="1416" ht="18" customHeight="1"/>
    <x:row r="1417" ht="18" customHeight="1"/>
    <x:row r="1418" ht="18" customHeight="1"/>
    <x:row r="1419" ht="18" customHeight="1"/>
    <x:row r="1420" ht="18" customHeight="1"/>
    <x:row r="1421" ht="18" customHeight="1"/>
    <x:row r="1422" ht="18" customHeight="1"/>
    <x:row r="1423" ht="18" customHeight="1"/>
    <x:row r="1424" ht="18" customHeight="1"/>
    <x:row r="1425" ht="18" customHeight="1"/>
    <x:row r="1426" ht="18" customHeight="1"/>
    <x:row r="1427" ht="18" customHeight="1"/>
    <x:row r="1428" ht="18" customHeight="1"/>
    <x:row r="1429" ht="18" customHeight="1"/>
    <x:row r="1430" ht="18" customHeight="1"/>
    <x:row r="1431" ht="18" customHeight="1"/>
    <x:row r="1432" ht="18" customHeight="1"/>
    <x:row r="1433" ht="18" customHeight="1"/>
    <x:row r="1434" ht="18" customHeight="1"/>
    <x:row r="1435" ht="18" customHeight="1"/>
    <x:row r="1436" ht="18" customHeight="1"/>
    <x:row r="1437" ht="18" customHeight="1"/>
    <x:row r="1438" ht="18" customHeight="1"/>
    <x:row r="1439" ht="18" customHeight="1"/>
    <x:row r="1440" ht="18" customHeight="1"/>
    <x:row r="1441" ht="18" customHeight="1"/>
    <x:row r="1442" ht="18" customHeight="1"/>
    <x:row r="1443" ht="18" customHeight="1"/>
    <x:row r="1444" ht="18" customHeight="1"/>
    <x:row r="1445" ht="18" customHeight="1"/>
    <x:row r="1446" ht="18" customHeight="1"/>
    <x:row r="1447" ht="18" customHeight="1"/>
    <x:row r="1448" ht="18" customHeight="1"/>
    <x:row r="1449" ht="18" customHeight="1"/>
    <x:row r="1450" ht="18" customHeight="1"/>
    <x:row r="1451" ht="18" customHeight="1"/>
    <x:row r="1452" ht="18" customHeight="1"/>
    <x:row r="1453" ht="18" customHeight="1"/>
    <x:row r="1454" ht="18" customHeight="1"/>
    <x:row r="1455" ht="18" customHeight="1"/>
    <x:row r="1456" ht="18" customHeight="1"/>
    <x:row r="1457" ht="18" customHeight="1"/>
    <x:row r="1458" ht="18" customHeight="1"/>
    <x:row r="1459" ht="18" customHeight="1"/>
    <x:row r="1460" ht="18" customHeight="1"/>
    <x:row r="1461" ht="18" customHeight="1"/>
    <x:row r="1462" ht="18" customHeight="1"/>
    <x:row r="1463" ht="18" customHeight="1"/>
    <x:row r="1464" ht="18" customHeight="1"/>
    <x:row r="1465" ht="18" customHeight="1"/>
    <x:row r="1466" ht="18" customHeight="1"/>
    <x:row r="1467" ht="18" customHeight="1"/>
    <x:row r="1468" ht="18" customHeight="1"/>
    <x:row r="1469" ht="18" customHeight="1"/>
    <x:row r="1470" ht="18" customHeight="1"/>
    <x:row r="1471" ht="18" customHeight="1"/>
    <x:row r="1472" ht="18" customHeight="1"/>
    <x:row r="1473" ht="18" customHeight="1"/>
    <x:row r="1474" ht="18" customHeight="1"/>
    <x:row r="1475" ht="18" customHeight="1"/>
    <x:row r="1476" ht="18" customHeight="1"/>
    <x:row r="1477" ht="18" customHeight="1"/>
    <x:row r="1478" ht="18" customHeight="1"/>
    <x:row r="1479" ht="18" customHeight="1"/>
    <x:row r="1480" ht="18" customHeight="1"/>
    <x:row r="1481" ht="18" customHeight="1"/>
    <x:row r="1482" ht="18" customHeight="1"/>
    <x:row r="1483" ht="18" customHeight="1"/>
    <x:row r="1484" ht="18" customHeight="1"/>
    <x:row r="1485" ht="18" customHeight="1"/>
    <x:row r="1486" ht="18" customHeight="1"/>
    <x:row r="1487" ht="18" customHeight="1"/>
    <x:row r="1488" ht="18" customHeight="1"/>
    <x:row r="1489" ht="18" customHeight="1"/>
    <x:row r="1490" ht="18" customHeight="1"/>
    <x:row r="1491" ht="18" customHeight="1"/>
    <x:row r="1492" ht="18" customHeight="1"/>
    <x:row r="1493" ht="18" customHeight="1"/>
    <x:row r="1494" ht="18" customHeight="1"/>
    <x:row r="1495" ht="18" customHeight="1"/>
    <x:row r="1496" ht="18" customHeight="1"/>
    <x:row r="1497" ht="18" customHeight="1"/>
    <x:row r="1498" ht="18" customHeight="1"/>
    <x:row r="1499" ht="18" customHeight="1"/>
    <x:row r="1500" ht="18" customHeight="1"/>
    <x:row r="1501" ht="18" customHeight="1"/>
    <x:row r="1502" ht="18" customHeight="1"/>
    <x:row r="1503" ht="18" customHeight="1"/>
    <x:row r="1504" ht="18" customHeight="1"/>
    <x:row r="1505" ht="18" customHeight="1"/>
    <x:row r="1506" ht="18" customHeight="1"/>
    <x:row r="1507" ht="18" customHeight="1"/>
    <x:row r="1508" ht="18" customHeight="1"/>
    <x:row r="1509" ht="18" customHeight="1"/>
    <x:row r="1510" ht="18" customHeight="1"/>
    <x:row r="1511" ht="18" customHeight="1"/>
    <x:row r="1512" ht="18" customHeight="1"/>
    <x:row r="1513" ht="18" customHeight="1"/>
    <x:row r="1514" ht="18" customHeight="1"/>
    <x:row r="1515" ht="18" customHeight="1"/>
    <x:row r="1516" ht="18" customHeight="1"/>
    <x:row r="1517" ht="18" customHeight="1"/>
    <x:row r="1518" ht="18" customHeight="1"/>
    <x:row r="1519" ht="18" customHeight="1"/>
    <x:row r="1520" ht="18" customHeight="1"/>
    <x:row r="1521" ht="18" customHeight="1"/>
    <x:row r="1522" ht="18" customHeight="1"/>
    <x:row r="1523" ht="18" customHeight="1"/>
    <x:row r="1524" ht="18" customHeight="1"/>
    <x:row r="1525" ht="18" customHeight="1"/>
    <x:row r="1526" ht="18" customHeight="1"/>
    <x:row r="1527" ht="18" customHeight="1"/>
    <x:row r="1528" ht="18" customHeight="1"/>
    <x:row r="1529" ht="18" customHeight="1"/>
    <x:row r="1530" ht="18" customHeight="1"/>
    <x:row r="1531" ht="18" customHeight="1"/>
    <x:row r="1532" ht="18" customHeight="1"/>
    <x:row r="1533" ht="18" customHeight="1"/>
    <x:row r="1534" ht="18" customHeight="1"/>
    <x:row r="1535" ht="18" customHeight="1"/>
    <x:row r="1536" ht="18" customHeight="1"/>
    <x:row r="1537" ht="18" customHeight="1"/>
    <x:row r="1538" ht="18" customHeight="1"/>
    <x:row r="1539" ht="18" customHeight="1"/>
    <x:row r="1540" ht="18" customHeight="1"/>
    <x:row r="1541" ht="18" customHeight="1"/>
    <x:row r="1542" ht="18" customHeight="1"/>
    <x:row r="1543" ht="18" customHeight="1"/>
    <x:row r="1544" ht="18" customHeight="1"/>
    <x:row r="1545" ht="18" customHeight="1"/>
    <x:row r="1546" ht="18" customHeight="1"/>
    <x:row r="1547" ht="18" customHeight="1"/>
    <x:row r="1548" ht="18" customHeight="1"/>
    <x:row r="1549" ht="18" customHeight="1"/>
    <x:row r="1550" ht="18" customHeight="1"/>
    <x:row r="1551" ht="18" customHeight="1"/>
    <x:row r="1552" ht="18" customHeight="1"/>
    <x:row r="1553" ht="18" customHeight="1"/>
    <x:row r="1554" ht="18" customHeight="1"/>
    <x:row r="1555" ht="18" customHeight="1"/>
    <x:row r="1556" ht="18" customHeight="1"/>
    <x:row r="1557" ht="18" customHeight="1"/>
    <x:row r="1558" ht="18" customHeight="1"/>
    <x:row r="1559" ht="18" customHeight="1"/>
    <x:row r="1560" ht="18" customHeight="1"/>
    <x:row r="1561" ht="18" customHeight="1"/>
    <x:row r="1562" ht="18" customHeight="1"/>
    <x:row r="1563" ht="18" customHeight="1"/>
    <x:row r="1564" ht="18" customHeight="1"/>
    <x:row r="1565" ht="18" customHeight="1"/>
    <x:row r="1566" ht="18" customHeight="1"/>
    <x:row r="1567" ht="18" customHeight="1"/>
    <x:row r="1568" ht="18" customHeight="1"/>
    <x:row r="1569" ht="18" customHeight="1"/>
    <x:row r="1570" ht="18" customHeight="1"/>
    <x:row r="1571" ht="18" customHeight="1"/>
    <x:row r="1572" ht="18" customHeight="1"/>
    <x:row r="1573" ht="18" customHeight="1"/>
    <x:row r="1574" ht="18" customHeight="1"/>
    <x:row r="1575" ht="18" customHeight="1"/>
    <x:row r="1576" ht="18" customHeight="1"/>
    <x:row r="1577" ht="18" customHeight="1"/>
    <x:row r="1578" ht="18" customHeight="1"/>
    <x:row r="1579" ht="18" customHeight="1"/>
    <x:row r="1580" ht="18" customHeight="1"/>
    <x:row r="1581" ht="18" customHeight="1"/>
    <x:row r="1582" ht="18" customHeight="1"/>
    <x:row r="1583" ht="18" customHeight="1"/>
    <x:row r="1584" ht="18" customHeight="1"/>
    <x:row r="1585" ht="18" customHeight="1"/>
    <x:row r="1586" ht="18" customHeight="1"/>
    <x:row r="1587" ht="18" customHeight="1"/>
    <x:row r="1588" ht="18" customHeight="1"/>
    <x:row r="1589" ht="18" customHeight="1"/>
    <x:row r="1590" ht="18" customHeight="1"/>
    <x:row r="1591" ht="18" customHeight="1"/>
    <x:row r="1592" ht="18" customHeight="1"/>
    <x:row r="1593" ht="18" customHeight="1"/>
    <x:row r="1594" ht="18" customHeight="1"/>
    <x:row r="1595" ht="18" customHeight="1"/>
    <x:row r="1596" ht="18" customHeight="1"/>
    <x:row r="1597" ht="18" customHeight="1"/>
    <x:row r="1598" ht="18" customHeight="1"/>
    <x:row r="1599" ht="18" customHeight="1"/>
    <x:row r="1600" ht="18" customHeight="1"/>
    <x:row r="1601" ht="18" customHeight="1"/>
    <x:row r="1602" ht="18" customHeight="1"/>
    <x:row r="1603" ht="18" customHeight="1"/>
    <x:row r="1604" ht="18" customHeight="1"/>
    <x:row r="1605" ht="18" customHeight="1"/>
    <x:row r="1606" ht="18" customHeight="1"/>
    <x:row r="1607" ht="18" customHeight="1"/>
    <x:row r="1608" ht="18" customHeight="1"/>
    <x:row r="1609" ht="18" customHeight="1"/>
    <x:row r="1610" ht="18" customHeight="1"/>
    <x:row r="1611" ht="18" customHeight="1"/>
    <x:row r="1612" ht="18" customHeight="1"/>
    <x:row r="1613" ht="18" customHeight="1"/>
    <x:row r="1614" ht="18" customHeight="1"/>
    <x:row r="1615" ht="18" customHeight="1"/>
    <x:row r="1616" ht="18" customHeight="1"/>
    <x:row r="1617" ht="18" customHeight="1"/>
    <x:row r="1618" ht="18" customHeight="1"/>
    <x:row r="1619" ht="18" customHeight="1"/>
    <x:row r="1620" ht="18" customHeight="1"/>
    <x:row r="1621" ht="18" customHeight="1"/>
    <x:row r="1622" ht="18" customHeight="1"/>
    <x:row r="1623" ht="18" customHeight="1"/>
    <x:row r="1624" ht="18" customHeight="1"/>
    <x:row r="1625" ht="18" customHeight="1"/>
    <x:row r="1626" ht="18" customHeight="1"/>
    <x:row r="1627" ht="18" customHeight="1"/>
    <x:row r="1628" ht="18" customHeight="1"/>
    <x:row r="1629" ht="18" customHeight="1"/>
    <x:row r="1630" ht="18" customHeight="1"/>
    <x:row r="1631" ht="18" customHeight="1"/>
    <x:row r="1632" ht="18" customHeight="1"/>
    <x:row r="1633" ht="18" customHeight="1"/>
    <x:row r="1634" ht="18" customHeight="1"/>
    <x:row r="1635" ht="18" customHeight="1"/>
    <x:row r="1636" ht="18" customHeight="1"/>
    <x:row r="1637" ht="18" customHeight="1"/>
    <x:row r="1638" ht="18" customHeight="1"/>
    <x:row r="1639" ht="18" customHeight="1"/>
    <x:row r="1640" ht="18" customHeight="1"/>
    <x:row r="1641" ht="18" customHeight="1"/>
    <x:row r="1642" ht="18" customHeight="1"/>
    <x:row r="1643" ht="18" customHeight="1"/>
    <x:row r="1644" ht="18" customHeight="1"/>
    <x:row r="1645" ht="18" customHeight="1"/>
    <x:row r="1646" ht="18" customHeight="1"/>
    <x:row r="1647" ht="18" customHeight="1"/>
    <x:row r="1648" ht="18" customHeight="1"/>
    <x:row r="1649" ht="18" customHeight="1"/>
    <x:row r="1650" ht="18" customHeight="1"/>
    <x:row r="1651" ht="18" customHeight="1"/>
    <x:row r="1652" ht="18" customHeight="1"/>
    <x:row r="1653" ht="18" customHeight="1"/>
    <x:row r="1654" ht="18" customHeight="1"/>
    <x:row r="1655" ht="18" customHeight="1"/>
    <x:row r="1656" ht="18" customHeight="1"/>
    <x:row r="1657" ht="18" customHeight="1"/>
    <x:row r="1658" ht="18" customHeight="1"/>
    <x:row r="1659" ht="18" customHeight="1"/>
    <x:row r="1660" ht="18" customHeight="1"/>
    <x:row r="1661" ht="18" customHeight="1"/>
    <x:row r="1662" ht="18" customHeight="1"/>
    <x:row r="1663" ht="18" customHeight="1"/>
    <x:row r="1664" ht="18" customHeight="1"/>
    <x:row r="1665" ht="18" customHeight="1"/>
    <x:row r="1666" ht="18" customHeight="1"/>
    <x:row r="1667" ht="18" customHeight="1"/>
    <x:row r="1668" ht="18" customHeight="1"/>
    <x:row r="1669" ht="18" customHeight="1"/>
    <x:row r="1670" ht="18" customHeight="1"/>
    <x:row r="1671" ht="18" customHeight="1"/>
    <x:row r="1672" ht="18" customHeight="1"/>
    <x:row r="1673" ht="18" customHeight="1"/>
    <x:row r="1674" ht="18" customHeight="1"/>
    <x:row r="1675" ht="18" customHeight="1"/>
    <x:row r="1676" ht="18" customHeight="1"/>
    <x:row r="1677" ht="18" customHeight="1"/>
    <x:row r="1678" ht="18" customHeight="1"/>
    <x:row r="1679" ht="18" customHeight="1"/>
    <x:row r="1680" ht="18" customHeight="1"/>
    <x:row r="1681" ht="18" customHeight="1"/>
    <x:row r="1682" ht="18" customHeight="1"/>
    <x:row r="1683" ht="18" customHeight="1"/>
    <x:row r="1684" ht="18" customHeight="1"/>
    <x:row r="1685" ht="18" customHeight="1"/>
    <x:row r="1686" ht="18" customHeight="1"/>
    <x:row r="1687" ht="18" customHeight="1"/>
    <x:row r="1688" ht="18" customHeight="1"/>
    <x:row r="1689" ht="18" customHeight="1"/>
    <x:row r="1690" ht="18" customHeight="1"/>
    <x:row r="1691" ht="18" customHeight="1"/>
    <x:row r="1692" ht="18" customHeight="1"/>
    <x:row r="1693" ht="18" customHeight="1"/>
    <x:row r="1694" ht="18" customHeight="1"/>
    <x:row r="1695" ht="18" customHeight="1"/>
    <x:row r="1696" ht="18" customHeight="1"/>
    <x:row r="1697" ht="18" customHeight="1"/>
    <x:row r="1698" ht="18" customHeight="1"/>
    <x:row r="1699" ht="18" customHeight="1"/>
    <x:row r="1700" ht="18" customHeight="1"/>
    <x:row r="1701" ht="18" customHeight="1"/>
    <x:row r="1702" ht="18" customHeight="1"/>
    <x:row r="1703" ht="18" customHeight="1"/>
    <x:row r="1704" ht="18" customHeight="1"/>
    <x:row r="1705" ht="18" customHeight="1"/>
    <x:row r="1706" ht="18" customHeight="1"/>
    <x:row r="1707" ht="18" customHeight="1"/>
    <x:row r="1708" ht="18" customHeight="1"/>
    <x:row r="1709" ht="18" customHeight="1"/>
    <x:row r="1710" ht="18" customHeight="1"/>
    <x:row r="1711" ht="18" customHeight="1"/>
    <x:row r="1712" ht="18" customHeight="1"/>
    <x:row r="1713" ht="18" customHeight="1"/>
    <x:row r="1714" ht="18" customHeight="1"/>
    <x:row r="1715" ht="18" customHeight="1"/>
    <x:row r="1716" ht="18" customHeight="1"/>
    <x:row r="1717" ht="18" customHeight="1"/>
    <x:row r="1718" ht="18" customHeight="1"/>
    <x:row r="1719" ht="18" customHeight="1"/>
    <x:row r="1720" ht="18" customHeight="1"/>
    <x:row r="1721" ht="18" customHeight="1"/>
    <x:row r="1722" ht="18" customHeight="1"/>
    <x:row r="1723" ht="18" customHeight="1"/>
    <x:row r="1724" ht="18" customHeight="1"/>
    <x:row r="1725" ht="18" customHeight="1"/>
    <x:row r="1726" ht="18" customHeight="1"/>
    <x:row r="1727" ht="18" customHeight="1"/>
    <x:row r="1728" ht="18" customHeight="1"/>
    <x:row r="1729" ht="18" customHeight="1"/>
    <x:row r="1730" ht="18" customHeight="1"/>
    <x:row r="1731" ht="18" customHeight="1"/>
    <x:row r="1732" ht="18" customHeight="1"/>
    <x:row r="1733" ht="18" customHeight="1"/>
    <x:row r="1734" ht="18" customHeight="1"/>
    <x:row r="1735" ht="18" customHeight="1"/>
    <x:row r="1736" ht="18" customHeight="1"/>
    <x:row r="1737" ht="18" customHeight="1"/>
    <x:row r="1738" ht="18" customHeight="1"/>
    <x:row r="1739" ht="18" customHeight="1"/>
    <x:row r="1740" ht="18" customHeight="1"/>
    <x:row r="1741" ht="18" customHeight="1"/>
    <x:row r="1742" ht="18" customHeight="1"/>
    <x:row r="1743" ht="18" customHeight="1"/>
    <x:row r="1744" ht="18" customHeight="1"/>
    <x:row r="1745" ht="18" customHeight="1"/>
    <x:row r="1746" ht="18" customHeight="1"/>
    <x:row r="1747" ht="18" customHeight="1"/>
    <x:row r="1748" ht="18" customHeight="1"/>
    <x:row r="1749" ht="18" customHeight="1"/>
    <x:row r="1750" ht="18" customHeight="1"/>
    <x:row r="1751" ht="18" customHeight="1"/>
    <x:row r="1752" ht="18" customHeight="1"/>
    <x:row r="1753" ht="18" customHeight="1"/>
    <x:row r="1754" ht="18" customHeight="1"/>
    <x:row r="1755" ht="18" customHeight="1"/>
    <x:row r="1756" ht="18" customHeight="1"/>
    <x:row r="1757" ht="18" customHeight="1"/>
    <x:row r="1758" ht="18" customHeight="1"/>
    <x:row r="1759" ht="18" customHeight="1"/>
    <x:row r="1760" ht="18" customHeight="1"/>
    <x:row r="1761" ht="18" customHeight="1"/>
    <x:row r="1762" ht="18" customHeight="1"/>
    <x:row r="1763" ht="18" customHeight="1"/>
    <x:row r="1764" ht="18" customHeight="1"/>
    <x:row r="1765" ht="18" customHeight="1"/>
    <x:row r="1766" ht="18" customHeight="1"/>
    <x:row r="1767" ht="18" customHeight="1"/>
    <x:row r="1768" ht="18" customHeight="1"/>
    <x:row r="1769" ht="18" customHeight="1"/>
    <x:row r="1770" ht="18" customHeight="1"/>
    <x:row r="1771" ht="18" customHeight="1"/>
    <x:row r="1772" ht="18" customHeight="1"/>
    <x:row r="1773" ht="18" customHeight="1"/>
    <x:row r="1774" ht="18" customHeight="1"/>
    <x:row r="1775" ht="18" customHeight="1"/>
    <x:row r="1776" ht="18" customHeight="1"/>
    <x:row r="1777" ht="18" customHeight="1"/>
    <x:row r="1778" ht="18" customHeight="1"/>
    <x:row r="1779" ht="18" customHeight="1"/>
    <x:row r="1780" ht="18" customHeight="1"/>
    <x:row r="1781" ht="18" customHeight="1"/>
    <x:row r="1782" ht="18" customHeight="1"/>
    <x:row r="1783" ht="18" customHeight="1"/>
    <x:row r="1784" ht="18" customHeight="1"/>
    <x:row r="1785" ht="18" customHeight="1"/>
    <x:row r="1786" ht="18" customHeight="1"/>
    <x:row r="1787" ht="18" customHeight="1"/>
    <x:row r="1788" ht="18" customHeight="1"/>
    <x:row r="1789" ht="18" customHeight="1"/>
    <x:row r="1790" ht="18" customHeight="1"/>
    <x:row r="1791" ht="18" customHeight="1"/>
    <x:row r="1792" ht="18" customHeight="1"/>
    <x:row r="1793" ht="18" customHeight="1"/>
    <x:row r="1794" ht="18" customHeight="1"/>
    <x:row r="1795" ht="18" customHeight="1"/>
    <x:row r="1796" ht="18" customHeight="1"/>
    <x:row r="1797" ht="18" customHeight="1"/>
    <x:row r="1798" ht="18" customHeight="1"/>
    <x:row r="1799" ht="18" customHeight="1"/>
    <x:row r="1800" ht="18" customHeight="1"/>
    <x:row r="1801" ht="18" customHeight="1"/>
    <x:row r="1802" ht="18" customHeight="1"/>
    <x:row r="1803" ht="18" customHeight="1"/>
    <x:row r="1804" ht="18" customHeight="1"/>
    <x:row r="1805" ht="18" customHeight="1"/>
    <x:row r="1806" ht="18" customHeight="1"/>
    <x:row r="1807" ht="18" customHeight="1"/>
    <x:row r="1808" ht="18" customHeight="1"/>
    <x:row r="1809" ht="18" customHeight="1"/>
    <x:row r="1810" ht="18" customHeight="1"/>
    <x:row r="1811" ht="18" customHeight="1"/>
    <x:row r="1812" ht="18" customHeight="1"/>
    <x:row r="1813" ht="18" customHeight="1"/>
    <x:row r="1814" ht="18" customHeight="1"/>
    <x:row r="1815" ht="18" customHeight="1"/>
    <x:row r="1816" ht="18" customHeight="1"/>
    <x:row r="1817" ht="18" customHeight="1"/>
    <x:row r="1818" ht="18" customHeight="1"/>
    <x:row r="1819" ht="18" customHeight="1"/>
    <x:row r="1820" ht="18" customHeight="1"/>
    <x:row r="1821" ht="18" customHeight="1"/>
    <x:row r="1822" ht="18" customHeight="1"/>
    <x:row r="1823" ht="18" customHeight="1"/>
    <x:row r="1824" ht="18" customHeight="1"/>
    <x:row r="1825" ht="18" customHeight="1"/>
    <x:row r="1826" ht="18" customHeight="1"/>
    <x:row r="1827" ht="18" customHeight="1"/>
    <x:row r="1828" ht="18" customHeight="1"/>
    <x:row r="1829" ht="18" customHeight="1"/>
    <x:row r="1830" ht="18" customHeight="1"/>
    <x:row r="1831" ht="18" customHeight="1"/>
    <x:row r="1832" ht="18" customHeight="1"/>
    <x:row r="1833" ht="18" customHeight="1"/>
    <x:row r="1834" ht="18" customHeight="1"/>
    <x:row r="1835" ht="18" customHeight="1"/>
    <x:row r="1836" ht="18" customHeight="1"/>
    <x:row r="1837" ht="18" customHeight="1"/>
    <x:row r="1838" ht="18" customHeight="1"/>
    <x:row r="1839" ht="18" customHeight="1"/>
    <x:row r="1840" ht="18" customHeight="1"/>
    <x:row r="1841" ht="18" customHeight="1"/>
    <x:row r="1842" ht="18" customHeight="1"/>
    <x:row r="1843" ht="18" customHeight="1"/>
    <x:row r="1844" ht="18" customHeight="1"/>
    <x:row r="1845" ht="18" customHeight="1"/>
    <x:row r="1846" ht="18" customHeight="1"/>
    <x:row r="1847" ht="18" customHeight="1"/>
    <x:row r="1848" ht="18" customHeight="1"/>
    <x:row r="1849" ht="18" customHeight="1"/>
    <x:row r="1850" ht="18" customHeight="1"/>
    <x:row r="1851" ht="18" customHeight="1"/>
    <x:row r="1852" ht="18" customHeight="1"/>
    <x:row r="1853" ht="18" customHeight="1"/>
    <x:row r="1854" ht="18" customHeight="1"/>
    <x:row r="1855" ht="18" customHeight="1"/>
    <x:row r="1856" ht="18" customHeight="1"/>
    <x:row r="1857" ht="18" customHeight="1"/>
    <x:row r="1858" ht="18" customHeight="1"/>
    <x:row r="1859" ht="18" customHeight="1"/>
    <x:row r="1860" ht="18" customHeight="1"/>
    <x:row r="1861" ht="18" customHeight="1"/>
    <x:row r="1862" ht="18" customHeight="1"/>
    <x:row r="1863" ht="18" customHeight="1"/>
    <x:row r="1864" ht="18" customHeight="1"/>
    <x:row r="1865" ht="18" customHeight="1"/>
    <x:row r="1866" ht="18" customHeight="1"/>
    <x:row r="1867" ht="18" customHeight="1"/>
    <x:row r="1868" ht="18" customHeight="1"/>
    <x:row r="1869" ht="18" customHeight="1"/>
    <x:row r="1870" ht="18" customHeight="1"/>
    <x:row r="1871" ht="18" customHeight="1"/>
    <x:row r="1872" ht="18" customHeight="1"/>
    <x:row r="1873" ht="18" customHeight="1"/>
    <x:row r="1874" ht="18" customHeight="1"/>
    <x:row r="1875" ht="18" customHeight="1"/>
    <x:row r="1876" ht="18" customHeight="1"/>
    <x:row r="1877" ht="18" customHeight="1"/>
    <x:row r="1878" ht="18" customHeight="1"/>
    <x:row r="1879" ht="18" customHeight="1"/>
    <x:row r="1880" ht="18" customHeight="1"/>
    <x:row r="1881" ht="18" customHeight="1"/>
    <x:row r="1882" ht="18" customHeight="1"/>
    <x:row r="1883" ht="18" customHeight="1"/>
    <x:row r="1884" ht="18" customHeight="1"/>
    <x:row r="1885" ht="18" customHeight="1"/>
    <x:row r="1886" ht="18" customHeight="1"/>
    <x:row r="1887" ht="18" customHeight="1"/>
    <x:row r="1888" ht="18" customHeight="1"/>
    <x:row r="1889" ht="18" customHeight="1"/>
    <x:row r="1890" ht="18" customHeight="1"/>
    <x:row r="1891" ht="18" customHeight="1"/>
    <x:row r="1892" ht="18" customHeight="1"/>
    <x:row r="1893" ht="18" customHeight="1"/>
    <x:row r="1894" ht="18" customHeight="1"/>
    <x:row r="1895" ht="18" customHeight="1"/>
    <x:row r="1896" ht="18" customHeight="1"/>
    <x:row r="1897" ht="18" customHeight="1"/>
    <x:row r="1898" ht="18" customHeight="1"/>
    <x:row r="1899" ht="18" customHeight="1"/>
    <x:row r="1900" ht="18" customHeight="1"/>
    <x:row r="1901" ht="18" customHeight="1"/>
    <x:row r="1902" ht="18" customHeight="1"/>
    <x:row r="1903" ht="18" customHeight="1"/>
    <x:row r="1904" ht="18" customHeight="1"/>
    <x:row r="1905" ht="18" customHeight="1"/>
    <x:row r="1906" ht="18" customHeight="1"/>
    <x:row r="1907" ht="18" customHeight="1"/>
    <x:row r="1908" ht="18" customHeight="1"/>
    <x:row r="1909" ht="18" customHeight="1"/>
    <x:row r="1910" ht="18" customHeight="1"/>
    <x:row r="1911" ht="18" customHeight="1"/>
    <x:row r="1912" ht="18" customHeight="1"/>
    <x:row r="1913" ht="18" customHeight="1"/>
    <x:row r="1914" ht="18" customHeight="1"/>
    <x:row r="1915" ht="18" customHeight="1"/>
    <x:row r="1916" ht="18" customHeight="1"/>
    <x:row r="1917" ht="18" customHeight="1"/>
    <x:row r="1918" ht="18" customHeight="1"/>
    <x:row r="1919" ht="18" customHeight="1"/>
    <x:row r="1920" ht="18" customHeight="1"/>
    <x:row r="1921" ht="18" customHeight="1"/>
    <x:row r="1922" ht="18" customHeight="1"/>
    <x:row r="1923" ht="18" customHeight="1"/>
    <x:row r="1924" ht="18" customHeight="1"/>
    <x:row r="1925" ht="18" customHeight="1"/>
    <x:row r="1926" ht="18" customHeight="1"/>
    <x:row r="1927" ht="18" customHeight="1"/>
    <x:row r="1928" ht="18" customHeight="1"/>
    <x:row r="1929" ht="18" customHeight="1"/>
    <x:row r="1930" ht="18" customHeight="1"/>
    <x:row r="1931" ht="18" customHeight="1"/>
    <x:row r="1932" ht="18" customHeight="1"/>
    <x:row r="1933" ht="18" customHeight="1"/>
    <x:row r="1934" ht="18" customHeight="1"/>
    <x:row r="1935" ht="18" customHeight="1"/>
    <x:row r="1936" ht="18" customHeight="1"/>
    <x:row r="1937" ht="18" customHeight="1"/>
    <x:row r="1938" ht="18" customHeight="1"/>
    <x:row r="1939" ht="18" customHeight="1"/>
    <x:row r="1940" ht="18" customHeight="1"/>
    <x:row r="1941" ht="18" customHeight="1"/>
    <x:row r="1942" ht="18" customHeight="1"/>
    <x:row r="1943" ht="18" customHeight="1"/>
    <x:row r="1944" ht="18" customHeight="1"/>
    <x:row r="1945" ht="18" customHeight="1"/>
    <x:row r="1946" ht="18" customHeight="1"/>
    <x:row r="1947" ht="18" customHeight="1"/>
    <x:row r="1948" ht="18" customHeight="1"/>
    <x:row r="1949" ht="18" customHeight="1"/>
    <x:row r="1950" ht="18" customHeight="1"/>
    <x:row r="1951" ht="18" customHeight="1"/>
    <x:row r="1952" ht="18" customHeight="1"/>
    <x:row r="1953" ht="18" customHeight="1"/>
    <x:row r="1954" ht="18" customHeight="1"/>
    <x:row r="1955" ht="18" customHeight="1"/>
    <x:row r="1956" ht="18" customHeight="1"/>
    <x:row r="1957" ht="18" customHeight="1"/>
    <x:row r="1958" ht="18" customHeight="1"/>
    <x:row r="1959" ht="18" customHeight="1"/>
    <x:row r="1960" ht="18" customHeight="1"/>
    <x:row r="1961" ht="18" customHeight="1"/>
    <x:row r="1962" ht="18" customHeight="1"/>
    <x:row r="1963" ht="18" customHeight="1"/>
    <x:row r="1964" ht="18" customHeight="1"/>
    <x:row r="1965" ht="18" customHeight="1"/>
    <x:row r="1966" ht="18" customHeight="1"/>
    <x:row r="1967" ht="18" customHeight="1"/>
    <x:row r="1968" ht="18" customHeight="1"/>
    <x:row r="1969" ht="18" customHeight="1"/>
    <x:row r="1970" ht="18" customHeight="1"/>
    <x:row r="1971" ht="18" customHeight="1"/>
    <x:row r="1972" ht="18" customHeight="1"/>
    <x:row r="1973" ht="18" customHeight="1"/>
    <x:row r="1974" ht="18" customHeight="1"/>
    <x:row r="1975" ht="18" customHeight="1"/>
    <x:row r="1976" ht="18" customHeight="1"/>
    <x:row r="1977" ht="18" customHeight="1"/>
    <x:row r="1978" ht="18" customHeight="1"/>
    <x:row r="1979" ht="18" customHeight="1"/>
    <x:row r="1980" ht="18" customHeight="1"/>
    <x:row r="1981" ht="18" customHeight="1"/>
    <x:row r="1982" ht="18" customHeight="1"/>
    <x:row r="1983" ht="18" customHeight="1"/>
    <x:row r="1984" ht="18" customHeight="1"/>
    <x:row r="1985" ht="18" customHeight="1"/>
    <x:row r="1986" ht="18" customHeight="1"/>
    <x:row r="1987" ht="18" customHeight="1"/>
    <x:row r="1988" ht="18" customHeight="1"/>
    <x:row r="1989" ht="18" customHeight="1"/>
    <x:row r="1990" ht="18" customHeight="1"/>
    <x:row r="1991" ht="18" customHeight="1"/>
    <x:row r="1992" ht="18" customHeight="1"/>
    <x:row r="1993" ht="18" customHeight="1"/>
    <x:row r="1994" ht="18" customHeight="1"/>
    <x:row r="1995" ht="18" customHeight="1"/>
    <x:row r="1996" ht="18" customHeight="1"/>
    <x:row r="1997" ht="18" customHeight="1"/>
    <x:row r="1998" ht="18" customHeight="1"/>
    <x:row r="1999" ht="18" customHeight="1"/>
    <x:row r="2000" ht="18" customHeight="1"/>
  </x:sheetData>
  <x:conditionalFormatting sqref="M2:Q481">
    <x:cfRule type="colorScale" priority="1">
      <x:colorScale>
        <x:cfvo type="min"/>
        <x:cfvo type="percentile" val="50"/>
        <x:cfvo type="max"/>
        <x:color rgb="DCFCE7"/>
        <x:color rgb="FEF3C7"/>
        <x:color rgb="FECACA"/>
      </x:colorScale>
    </x:cfRule>
  </x:conditionalFormatting>
  <x:conditionalFormatting sqref="R2:V481">
    <x:cfRule type="expression" dxfId="0" priority="2">
      <x:formula>R2=1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2e74bb4e98f4e6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 ht="18" customHeight="1">
      <x:c r="A1" s="60" t="str">
        <x:v>n_items</x:v>
      </x:c>
      <x:c r="B1" s="60" t="str">
        <x:v>Instances</x:v>
      </x:c>
      <x:c r="C1" s="60" t="str">
        <x:v>IG Best Count incl. Ties</x:v>
      </x:c>
      <x:c r="D1" s="60" t="str">
        <x:v>IG Avg Gap to Best</x:v>
      </x:c>
      <x:c r="E1" s="60" t="str">
        <x:v>IG Avg Cost</x:v>
      </x:c>
      <x:c r="F1" s="60" t="str">
        <x:v>FFD Best Count incl. Ties</x:v>
      </x:c>
      <x:c r="G1" s="60" t="str">
        <x:v>FFD Avg Gap to Best</x:v>
      </x:c>
      <x:c r="H1" s="60" t="str">
        <x:v>FFD Avg Cost</x:v>
      </x:c>
      <x:c r="I1" s="60" t="str">
        <x:v>BFD Best Count incl. Ties</x:v>
      </x:c>
      <x:c r="J1" s="60" t="str">
        <x:v>BFD Avg Gap to Best</x:v>
      </x:c>
      <x:c r="K1" s="60" t="str">
        <x:v>BFD Avg Cost</x:v>
      </x:c>
      <x:c r="L1" s="60" t="str">
        <x:v>WFD Best Count incl. Ties</x:v>
      </x:c>
      <x:c r="M1" s="60" t="str">
        <x:v>WFD Avg Gap to Best</x:v>
      </x:c>
      <x:c r="N1" s="60" t="str">
        <x:v>WFD Avg Cost</x:v>
      </x:c>
      <x:c r="O1" s="60" t="str">
        <x:v>CTP Best Count incl. Ties</x:v>
      </x:c>
      <x:c r="P1" s="60" t="str">
        <x:v>CTP Avg Gap to Best</x:v>
      </x:c>
      <x:c r="Q1" s="60" t="str">
        <x:v>CTP Avg Cost</x:v>
      </x:c>
      <x:c r="R1" s="57"/>
      <x:c r="S1" s="57"/>
      <x:c r="T1" s="57"/>
      <x:c r="U1" s="57"/>
      <x:c r="V1" s="57"/>
      <x:c r="W1" s="57"/>
      <x:c r="X1" s="57"/>
      <x:c r="Y1" s="57"/>
      <x:c r="Z1" s="57"/>
    </x:row>
    <x:row r="2" ht="18" customHeight="1">
      <x:c r="A2" t="n">
        <x:v>25</x:v>
      </x:c>
      <x:c r="B2" t="n">
        <x:f>COUNTIF(Comparison_All!$B$2:$B$481,A2)</x:f>
        <x:v>96</x:v>
      </x:c>
      <x:c r="C2" t="n">
        <x:f>SUMIFS(Comparison_All!$R$2:$R$481,Comparison_All!$B$2:$B$481,A2)</x:f>
        <x:v>94</x:v>
      </x:c>
      <x:c r="D2" s="14" t="n">
        <x:f>AVERAGEIFS(Comparison_All!$M$2:$M$481,Comparison_All!$B$2:$B$481,A2)</x:f>
        <x:v>0.00032133983180428135</x:v>
      </x:c>
      <x:c r="E2" s="12" t="n">
        <x:f>AVERAGEIFS(Comparison_All!$F$2:$F$481,Comparison_All!$B$2:$B$481,A2)</x:f>
        <x:v>49.90625</x:v>
      </x:c>
      <x:c r="F2" t="n">
        <x:f>SUMIFS(Comparison_All!$S$2:$S$481,Comparison_All!$B$2:$B$481,A2)</x:f>
        <x:v>31</x:v>
      </x:c>
      <x:c r="G2" s="14" t="n">
        <x:f>AVERAGEIFS(Comparison_All!$N$2:$N$481,Comparison_All!$B$2:$B$481,A2)</x:f>
        <x:v>0.15382036328804286</x:v>
      </x:c>
      <x:c r="H2" s="12" t="n">
        <x:f>AVERAGEIFS(Comparison_All!$G$2:$G$481,Comparison_All!$B$2:$B$481,A2)</x:f>
        <x:v>61.635416666666664</x:v>
      </x:c>
      <x:c r="I2" t="n">
        <x:f>SUMIFS(Comparison_All!$T$2:$T$481,Comparison_All!$B$2:$B$481,A2)</x:f>
        <x:v>31</x:v>
      </x:c>
      <x:c r="J2" s="14" t="n">
        <x:f>AVERAGEIFS(Comparison_All!$O$2:$O$481,Comparison_All!$B$2:$B$481,A2)</x:f>
        <x:v>0.15983912149362858</x:v>
      </x:c>
      <x:c r="K2" s="12" t="n">
        <x:f>AVERAGEIFS(Comparison_All!$H$2:$H$481,Comparison_All!$B$2:$B$481,A2)</x:f>
        <x:v>62.21875</x:v>
      </x:c>
      <x:c r="L2" t="n">
        <x:f>SUMIFS(Comparison_All!$U$2:$U$481,Comparison_All!$B$2:$B$481,A2)</x:f>
        <x:v>30</x:v>
      </x:c>
      <x:c r="M2" s="14" t="n">
        <x:f>AVERAGEIFS(Comparison_All!$P$2:$P$481,Comparison_All!$B$2:$B$481,A2)</x:f>
        <x:v>0.1651897570298151</x:v>
      </x:c>
      <x:c r="N2" s="12" t="n">
        <x:f>AVERAGEIFS(Comparison_All!$I$2:$I$481,Comparison_All!$B$2:$B$481,A2)</x:f>
        <x:v>62.552083333333336</x:v>
      </x:c>
      <x:c r="O2" t="n">
        <x:f>SUMIFS(Comparison_All!$V$2:$V$481,Comparison_All!$B$2:$B$481,A2)</x:f>
        <x:v>39</x:v>
      </x:c>
      <x:c r="P2" s="14" t="n">
        <x:f>AVERAGEIFS(Comparison_All!$Q$2:$Q$481,Comparison_All!$B$2:$B$481,A2)</x:f>
        <x:v>0.08789952673836178</x:v>
      </x:c>
      <x:c r="Q2" s="12" t="n">
        <x:f>AVERAGEIFS(Comparison_All!$J$2:$J$481,Comparison_All!$B$2:$B$481,A2)</x:f>
        <x:v>53.302083333333336</x:v>
      </x:c>
    </x:row>
    <x:row r="3" ht="18" customHeight="1">
      <x:c r="A3" t="n">
        <x:v>50</x:v>
      </x:c>
      <x:c r="B3" t="n">
        <x:f>COUNTIF(Comparison_All!$B$2:$B$481,A3)</x:f>
        <x:v>96</x:v>
      </x:c>
      <x:c r="C3" t="n">
        <x:f>SUMIFS(Comparison_All!$R$2:$R$481,Comparison_All!$B$2:$B$481,A3)</x:f>
        <x:v>94</x:v>
      </x:c>
      <x:c r="D3" s="14" t="n">
        <x:f>AVERAGEIFS(Comparison_All!$M$2:$M$481,Comparison_All!$B$2:$B$481,A3)</x:f>
        <x:v>0.0018518518518518517</x:v>
      </x:c>
      <x:c r="E3" s="12" t="n">
        <x:f>AVERAGEIFS(Comparison_All!$F$2:$F$481,Comparison_All!$B$2:$B$481,A3)</x:f>
        <x:v>86.86458333333333</x:v>
      </x:c>
      <x:c r="F3" t="n">
        <x:f>SUMIFS(Comparison_All!$S$2:$S$481,Comparison_All!$B$2:$B$481,A3)</x:f>
        <x:v>7</x:v>
      </x:c>
      <x:c r="G3" s="14" t="n">
        <x:f>AVERAGEIFS(Comparison_All!$N$2:$N$481,Comparison_All!$B$2:$B$481,A3)</x:f>
        <x:v>0.30340388633992604</x:v>
      </x:c>
      <x:c r="H3" s="12" t="n">
        <x:f>AVERAGEIFS(Comparison_All!$G$2:$G$481,Comparison_All!$B$2:$B$481,A3)</x:f>
        <x:v>124.19791666666667</x:v>
      </x:c>
      <x:c r="I3" t="n">
        <x:f>SUMIFS(Comparison_All!$T$2:$T$481,Comparison_All!$B$2:$B$481,A3)</x:f>
        <x:v>8</x:v>
      </x:c>
      <x:c r="J3" s="14" t="n">
        <x:f>AVERAGEIFS(Comparison_All!$O$2:$O$481,Comparison_All!$B$2:$B$481,A3)</x:f>
        <x:v>0.30741460655605496</x:v>
      </x:c>
      <x:c r="K3" s="12" t="n">
        <x:f>AVERAGEIFS(Comparison_All!$H$2:$H$481,Comparison_All!$B$2:$B$481,A3)</x:f>
        <x:v>124.9375</x:v>
      </x:c>
      <x:c r="L3" t="n">
        <x:f>SUMIFS(Comparison_All!$U$2:$U$481,Comparison_All!$B$2:$B$481,A3)</x:f>
        <x:v>4</x:v>
      </x:c>
      <x:c r="M3" s="14" t="n">
        <x:f>AVERAGEIFS(Comparison_All!$P$2:$P$481,Comparison_All!$B$2:$B$481,A3)</x:f>
        <x:v>0.30990494807889174</x:v>
      </x:c>
      <x:c r="N3" s="12" t="n">
        <x:f>AVERAGEIFS(Comparison_All!$I$2:$I$481,Comparison_All!$B$2:$B$481,A3)</x:f>
        <x:v>124.83333333333333</x:v>
      </x:c>
      <x:c r="O3" t="n">
        <x:f>SUMIFS(Comparison_All!$V$2:$V$481,Comparison_All!$B$2:$B$481,A3)</x:f>
        <x:v>28</x:v>
      </x:c>
      <x:c r="P3" s="14" t="n">
        <x:f>AVERAGEIFS(Comparison_All!$Q$2:$Q$481,Comparison_All!$B$2:$B$481,A3)</x:f>
        <x:v>0.07685810601029856</x:v>
      </x:c>
      <x:c r="Q3" s="12" t="n">
        <x:f>AVERAGEIFS(Comparison_All!$J$2:$J$481,Comparison_All!$B$2:$B$481,A3)</x:f>
        <x:v>93.6875</x:v>
      </x:c>
    </x:row>
    <x:row r="4" ht="18" customHeight="1">
      <x:c r="A4" t="n">
        <x:v>75</x:v>
      </x:c>
      <x:c r="B4" t="n">
        <x:f>COUNTIF(Comparison_All!$B$2:$B$481,A4)</x:f>
        <x:v>96</x:v>
      </x:c>
      <x:c r="C4" t="n">
        <x:f>SUMIFS(Comparison_All!$R$2:$R$481,Comparison_All!$B$2:$B$481,A4)</x:f>
        <x:v>96</x:v>
      </x:c>
      <x:c r="D4" s="14" t="n">
        <x:f>AVERAGEIFS(Comparison_All!$M$2:$M$481,Comparison_All!$B$2:$B$481,A4)</x:f>
        <x:v>0</x:v>
      </x:c>
      <x:c r="E4" s="12" t="n">
        <x:f>AVERAGEIFS(Comparison_All!$F$2:$F$481,Comparison_All!$B$2:$B$481,A4)</x:f>
        <x:v>116.3125</x:v>
      </x:c>
      <x:c r="F4" t="n">
        <x:f>SUMIFS(Comparison_All!$S$2:$S$481,Comparison_All!$B$2:$B$481,A4)</x:f>
        <x:v>4</x:v>
      </x:c>
      <x:c r="G4" s="14" t="n">
        <x:f>AVERAGEIFS(Comparison_All!$N$2:$N$481,Comparison_All!$B$2:$B$481,A4)</x:f>
        <x:v>0.3561689324586879</x:v>
      </x:c>
      <x:c r="H4" s="12" t="n">
        <x:f>AVERAGEIFS(Comparison_All!$G$2:$G$481,Comparison_All!$B$2:$B$481,A4)</x:f>
        <x:v>174.875</x:v>
      </x:c>
      <x:c r="I4" t="n">
        <x:f>SUMIFS(Comparison_All!$T$2:$T$481,Comparison_All!$B$2:$B$481,A4)</x:f>
        <x:v>7</x:v>
      </x:c>
      <x:c r="J4" s="14" t="n">
        <x:f>AVERAGEIFS(Comparison_All!$O$2:$O$481,Comparison_All!$B$2:$B$481,A4)</x:f>
        <x:v>0.35958604752760376</x:v>
      </x:c>
      <x:c r="K4" s="12" t="n">
        <x:f>AVERAGEIFS(Comparison_All!$H$2:$H$481,Comparison_All!$B$2:$B$481,A4)</x:f>
        <x:v>175.40625</x:v>
      </x:c>
      <x:c r="L4" t="n">
        <x:f>SUMIFS(Comparison_All!$U$2:$U$481,Comparison_All!$B$2:$B$481,A4)</x:f>
        <x:v>2</x:v>
      </x:c>
      <x:c r="M4" s="14" t="n">
        <x:f>AVERAGEIFS(Comparison_All!$P$2:$P$481,Comparison_All!$B$2:$B$481,A4)</x:f>
        <x:v>0.3627143482779449</x:v>
      </x:c>
      <x:c r="N4" s="12" t="n">
        <x:f>AVERAGEIFS(Comparison_All!$I$2:$I$481,Comparison_All!$B$2:$B$481,A4)</x:f>
        <x:v>175.85416666666666</x:v>
      </x:c>
      <x:c r="O4" t="n">
        <x:f>SUMIFS(Comparison_All!$V$2:$V$481,Comparison_All!$B$2:$B$481,A4)</x:f>
        <x:v>22</x:v>
      </x:c>
      <x:c r="P4" s="14" t="n">
        <x:f>AVERAGEIFS(Comparison_All!$Q$2:$Q$481,Comparison_All!$B$2:$B$481,A4)</x:f>
        <x:v>0.08229489947629921</x:v>
      </x:c>
      <x:c r="Q4" s="12" t="n">
        <x:f>AVERAGEIFS(Comparison_All!$J$2:$J$481,Comparison_All!$B$2:$B$481,A4)</x:f>
        <x:v>127.5</x:v>
      </x:c>
    </x:row>
    <x:row r="5" ht="18" customHeight="1">
      <x:c r="A5" t="n">
        <x:v>100</x:v>
      </x:c>
      <x:c r="B5" t="n">
        <x:f>COUNTIF(Comparison_All!$B$2:$B$481,A5)</x:f>
        <x:v>96</x:v>
      </x:c>
      <x:c r="C5" t="n">
        <x:f>SUMIFS(Comparison_All!$R$2:$R$481,Comparison_All!$B$2:$B$481,A5)</x:f>
        <x:v>95</x:v>
      </x:c>
      <x:c r="D5" s="14" t="n">
        <x:f>AVERAGEIFS(Comparison_All!$M$2:$M$481,Comparison_All!$B$2:$B$481,A5)</x:f>
        <x:v>0.00033602150537634406</x:v>
      </x:c>
      <x:c r="E5" s="12" t="n">
        <x:f>AVERAGEIFS(Comparison_All!$F$2:$F$481,Comparison_All!$B$2:$B$481,A5)</x:f>
        <x:v>148.10416666666666</x:v>
      </x:c>
      <x:c r="F5" t="n">
        <x:f>SUMIFS(Comparison_All!$S$2:$S$481,Comparison_All!$B$2:$B$481,A5)</x:f>
        <x:v>0</x:v>
      </x:c>
      <x:c r="G5" s="14" t="n">
        <x:f>AVERAGEIFS(Comparison_All!$N$2:$N$481,Comparison_All!$B$2:$B$481,A5)</x:f>
        <x:v>0.4136526816575654</x:v>
      </x:c>
      <x:c r="H5" s="12" t="n">
        <x:f>AVERAGEIFS(Comparison_All!$G$2:$G$481,Comparison_All!$B$2:$B$481,A5)</x:f>
        <x:v>229.40625</x:v>
      </x:c>
      <x:c r="I5" t="n">
        <x:f>SUMIFS(Comparison_All!$T$2:$T$481,Comparison_All!$B$2:$B$481,A5)</x:f>
        <x:v>0</x:v>
      </x:c>
      <x:c r="J5" s="14" t="n">
        <x:f>AVERAGEIFS(Comparison_All!$O$2:$O$481,Comparison_All!$B$2:$B$481,A5)</x:f>
        <x:v>0.4212890410870653</x:v>
      </x:c>
      <x:c r="K5" s="12" t="n">
        <x:f>AVERAGEIFS(Comparison_All!$H$2:$H$481,Comparison_All!$B$2:$B$481,A5)</x:f>
        <x:v>231.05208333333334</x:v>
      </x:c>
      <x:c r="L5" t="n">
        <x:f>SUMIFS(Comparison_All!$U$2:$U$481,Comparison_All!$B$2:$B$481,A5)</x:f>
        <x:v>0</x:v>
      </x:c>
      <x:c r="M5" s="14" t="n">
        <x:f>AVERAGEIFS(Comparison_All!$P$2:$P$481,Comparison_All!$B$2:$B$481,A5)</x:f>
        <x:v>0.4139760292503729</x:v>
      </x:c>
      <x:c r="N5" s="12" t="n">
        <x:f>AVERAGEIFS(Comparison_All!$I$2:$I$481,Comparison_All!$B$2:$B$481,A5)</x:f>
        <x:v>231.11458333333334</x:v>
      </x:c>
      <x:c r="O5" t="n">
        <x:f>SUMIFS(Comparison_All!$V$2:$V$481,Comparison_All!$B$2:$B$481,A5)</x:f>
        <x:v>17</x:v>
      </x:c>
      <x:c r="P5" s="14" t="n">
        <x:f>AVERAGEIFS(Comparison_All!$Q$2:$Q$481,Comparison_All!$B$2:$B$481,A5)</x:f>
        <x:v>0.08004872861147692</x:v>
      </x:c>
      <x:c r="Q5" s="12" t="n">
        <x:f>AVERAGEIFS(Comparison_All!$J$2:$J$481,Comparison_All!$B$2:$B$481,A5)</x:f>
        <x:v>161.33333333333334</x:v>
      </x:c>
    </x:row>
    <x:row r="6" ht="18" customHeight="1">
      <x:c r="A6" t="n">
        <x:v>200</x:v>
      </x:c>
      <x:c r="B6" t="n">
        <x:f>COUNTIF(Comparison_All!$B$2:$B$481,A6)</x:f>
        <x:v>96</x:v>
      </x:c>
      <x:c r="C6" t="n">
        <x:f>SUMIFS(Comparison_All!$R$2:$R$481,Comparison_All!$B$2:$B$481,A6)</x:f>
        <x:v>96</x:v>
      </x:c>
      <x:c r="D6" s="14" t="n">
        <x:f>AVERAGEIFS(Comparison_All!$M$2:$M$481,Comparison_All!$B$2:$B$481,A6)</x:f>
        <x:v>0</x:v>
      </x:c>
      <x:c r="E6" s="12" t="n">
        <x:f>AVERAGEIFS(Comparison_All!$F$2:$F$481,Comparison_All!$B$2:$B$481,A6)</x:f>
        <x:v>270.6458333333333</x:v>
      </x:c>
      <x:c r="F6" t="n">
        <x:f>SUMIFS(Comparison_All!$S$2:$S$481,Comparison_All!$B$2:$B$481,A6)</x:f>
        <x:v>0</x:v>
      </x:c>
      <x:c r="G6" s="14" t="n">
        <x:f>AVERAGEIFS(Comparison_All!$N$2:$N$481,Comparison_All!$B$2:$B$481,A6)</x:f>
        <x:v>0.47490524465204276</x:v>
      </x:c>
      <x:c r="H6" s="12" t="n">
        <x:f>AVERAGEIFS(Comparison_All!$G$2:$G$481,Comparison_All!$B$2:$B$481,A6)</x:f>
        <x:v>436.09375</x:v>
      </x:c>
      <x:c r="I6" t="n">
        <x:f>SUMIFS(Comparison_All!$T$2:$T$481,Comparison_All!$B$2:$B$481,A6)</x:f>
        <x:v>0</x:v>
      </x:c>
      <x:c r="J6" s="14" t="n">
        <x:f>AVERAGEIFS(Comparison_All!$O$2:$O$481,Comparison_All!$B$2:$B$481,A6)</x:f>
        <x:v>0.4868276553642112</x:v>
      </x:c>
      <x:c r="K6" s="12" t="n">
        <x:f>AVERAGEIFS(Comparison_All!$H$2:$H$481,Comparison_All!$B$2:$B$481,A6)</x:f>
        <x:v>440.375</x:v>
      </x:c>
      <x:c r="L6" t="n">
        <x:f>SUMIFS(Comparison_All!$U$2:$U$481,Comparison_All!$B$2:$B$481,A6)</x:f>
        <x:v>0</x:v>
      </x:c>
      <x:c r="M6" s="14" t="n">
        <x:f>AVERAGEIFS(Comparison_All!$P$2:$P$481,Comparison_All!$B$2:$B$481,A6)</x:f>
        <x:v>0.47326105521720235</x:v>
      </x:c>
      <x:c r="N6" s="12" t="n">
        <x:f>AVERAGEIFS(Comparison_All!$I$2:$I$481,Comparison_All!$B$2:$B$481,A6)</x:f>
        <x:v>437.40625</x:v>
      </x:c>
      <x:c r="O6" t="n">
        <x:f>SUMIFS(Comparison_All!$V$2:$V$481,Comparison_All!$B$2:$B$481,A6)</x:f>
        <x:v>13</x:v>
      </x:c>
      <x:c r="P6" s="14" t="n">
        <x:f>AVERAGEIFS(Comparison_All!$Q$2:$Q$481,Comparison_All!$B$2:$B$481,A6)</x:f>
        <x:v>0.06375596977732324</x:v>
      </x:c>
      <x:c r="Q6" s="12" t="n">
        <x:f>AVERAGEIFS(Comparison_All!$J$2:$J$481,Comparison_All!$B$2:$B$481,A6)</x:f>
        <x:v>289.9895833333333</x:v>
      </x:c>
    </x:row>
    <x:row r="7" ht="18" customHeight="1"/>
    <x:row r="8" ht="18" customHeight="1"/>
    <x:row r="9" ht="18" customHeight="1"/>
    <x:row r="10" ht="18" customHeight="1"/>
    <x:row r="11" ht="18" customHeight="1"/>
    <x:row r="12" ht="18" customHeight="1"/>
    <x:row r="13" ht="18" customHeight="1"/>
    <x:row r="14" ht="18" customHeight="1"/>
    <x:row r="15" ht="18" customHeight="1"/>
    <x:row r="16" ht="18" customHeight="1"/>
    <x:row r="17" ht="18" customHeight="1"/>
    <x:row r="18" ht="18" customHeight="1"/>
    <x:row r="19" ht="18" customHeight="1"/>
    <x:row r="20" ht="18" customHeight="1"/>
    <x:row r="21" ht="18" customHeight="1"/>
    <x:row r="22" ht="18" customHeight="1"/>
    <x:row r="23" ht="18" customHeight="1"/>
    <x:row r="24" ht="18" customHeight="1"/>
    <x:row r="25" ht="18" customHeight="1"/>
    <x:row r="26" ht="18" customHeight="1"/>
    <x:row r="27" ht="18" customHeight="1"/>
    <x:row r="28" ht="18" customHeight="1"/>
    <x:row r="29" ht="18" customHeight="1"/>
    <x:row r="30" ht="18" customHeight="1"/>
    <x:row r="31" ht="18" customHeight="1"/>
    <x:row r="32" ht="18" customHeight="1"/>
    <x:row r="33" ht="18" customHeight="1"/>
    <x:row r="34" ht="18" customHeight="1"/>
    <x:row r="35" ht="18" customHeight="1"/>
    <x:row r="36" ht="18" customHeight="1"/>
    <x:row r="37" ht="18" customHeight="1"/>
    <x:row r="38" ht="18" customHeight="1"/>
    <x:row r="39" ht="18" customHeight="1"/>
    <x:row r="40" ht="18" customHeight="1"/>
    <x:row r="41" ht="18" customHeight="1"/>
    <x:row r="42" ht="18" customHeight="1"/>
    <x:row r="43" ht="18" customHeight="1"/>
    <x:row r="44" ht="18" customHeight="1"/>
    <x:row r="45" ht="18" customHeight="1"/>
    <x:row r="46" ht="18" customHeight="1"/>
    <x:row r="47" ht="18" customHeight="1"/>
    <x:row r="48" ht="18" customHeight="1"/>
    <x:row r="49" ht="18" customHeight="1"/>
    <x:row r="50" ht="18" customHeight="1"/>
    <x:row r="51" ht="18" customHeight="1"/>
    <x:row r="52" ht="18" customHeight="1"/>
    <x:row r="53" ht="18" customHeight="1"/>
    <x:row r="54" ht="18" customHeight="1"/>
    <x:row r="55" ht="18" customHeight="1"/>
    <x:row r="56" ht="18" customHeight="1"/>
    <x:row r="57" ht="18" customHeight="1"/>
    <x:row r="58" ht="18" customHeight="1"/>
    <x:row r="59" ht="18" customHeight="1"/>
    <x:row r="60" ht="18" customHeight="1"/>
    <x:row r="61" ht="18" customHeight="1"/>
    <x:row r="62" ht="18" customHeight="1"/>
    <x:row r="63" ht="18" customHeight="1"/>
    <x:row r="64" ht="18" customHeight="1"/>
    <x:row r="65" ht="18" customHeight="1"/>
    <x:row r="66" ht="18" customHeight="1"/>
    <x:row r="67" ht="18" customHeight="1"/>
    <x:row r="68" ht="18" customHeight="1"/>
    <x:row r="69" ht="18" customHeight="1"/>
    <x:row r="70" ht="18" customHeight="1"/>
    <x:row r="71" ht="18" customHeight="1"/>
    <x:row r="72" ht="18" customHeight="1"/>
    <x:row r="73" ht="18" customHeight="1"/>
    <x:row r="74" ht="18" customHeight="1"/>
    <x:row r="75" ht="18" customHeight="1"/>
    <x:row r="76" ht="18" customHeight="1"/>
    <x:row r="77" ht="18" customHeight="1"/>
    <x:row r="78" ht="18" customHeight="1"/>
    <x:row r="79" ht="18" customHeight="1"/>
    <x:row r="80" ht="18" customHeight="1"/>
    <x:row r="81" ht="18" customHeight="1"/>
    <x:row r="82" ht="18" customHeight="1"/>
    <x:row r="83" ht="18" customHeight="1"/>
    <x:row r="84" ht="18" customHeight="1"/>
    <x:row r="85" ht="18" customHeight="1"/>
    <x:row r="86" ht="18" customHeight="1"/>
    <x:row r="87" ht="18" customHeight="1"/>
    <x:row r="88" ht="18" customHeight="1"/>
    <x:row r="89" ht="18" customHeight="1"/>
    <x:row r="90" ht="18" customHeight="1"/>
    <x:row r="91" ht="18" customHeight="1"/>
    <x:row r="92" ht="18" customHeight="1"/>
    <x:row r="93" ht="18" customHeight="1"/>
    <x:row r="94" ht="18" customHeight="1"/>
    <x:row r="95" ht="18" customHeight="1"/>
    <x:row r="96" ht="18" customHeight="1"/>
    <x:row r="97" ht="18" customHeight="1"/>
    <x:row r="98" ht="18" customHeight="1"/>
    <x:row r="99" ht="18" customHeight="1"/>
    <x:row r="100" ht="18" customHeight="1"/>
    <x:row r="101" ht="18" customHeight="1"/>
    <x:row r="102" ht="18" customHeight="1"/>
    <x:row r="103" ht="18" customHeight="1"/>
    <x:row r="104" ht="18" customHeight="1"/>
    <x:row r="105" ht="18" customHeight="1"/>
    <x:row r="106" ht="18" customHeight="1"/>
    <x:row r="107" ht="18" customHeight="1"/>
    <x:row r="108" ht="18" customHeight="1"/>
    <x:row r="109" ht="18" customHeight="1"/>
    <x:row r="110" ht="18" customHeight="1"/>
    <x:row r="111" ht="18" customHeight="1"/>
    <x:row r="112" ht="18" customHeight="1"/>
    <x:row r="113" ht="18" customHeight="1"/>
    <x:row r="114" ht="18" customHeight="1"/>
    <x:row r="115" ht="18" customHeight="1"/>
    <x:row r="116" ht="18" customHeight="1"/>
    <x:row r="117" ht="18" customHeight="1"/>
    <x:row r="118" ht="18" customHeight="1"/>
    <x:row r="119" ht="18" customHeight="1"/>
    <x:row r="120" ht="18" customHeight="1"/>
    <x:row r="121" ht="18" customHeight="1"/>
    <x:row r="122" ht="18" customHeight="1"/>
    <x:row r="123" ht="18" customHeight="1"/>
    <x:row r="124" ht="18" customHeight="1"/>
    <x:row r="125" ht="18" customHeight="1"/>
    <x:row r="126" ht="18" customHeight="1"/>
    <x:row r="127" ht="18" customHeight="1"/>
    <x:row r="128" ht="18" customHeight="1"/>
    <x:row r="129" ht="18" customHeight="1"/>
    <x:row r="130" ht="18" customHeight="1"/>
    <x:row r="131" ht="18" customHeight="1"/>
    <x:row r="132" ht="18" customHeight="1"/>
    <x:row r="133" ht="18" customHeight="1"/>
    <x:row r="134" ht="18" customHeight="1"/>
    <x:row r="135" ht="18" customHeight="1"/>
    <x:row r="136" ht="18" customHeight="1"/>
    <x:row r="137" ht="18" customHeight="1"/>
    <x:row r="138" ht="18" customHeight="1"/>
    <x:row r="139" ht="18" customHeight="1"/>
    <x:row r="140" ht="18" customHeight="1"/>
    <x:row r="141" ht="18" customHeight="1"/>
    <x:row r="142" ht="18" customHeight="1"/>
    <x:row r="143" ht="18" customHeight="1"/>
    <x:row r="144" ht="18" customHeight="1"/>
    <x:row r="145" ht="18" customHeight="1"/>
    <x:row r="146" ht="18" customHeight="1"/>
    <x:row r="147" ht="18" customHeight="1"/>
    <x:row r="148" ht="18" customHeight="1"/>
    <x:row r="149" ht="18" customHeight="1"/>
    <x:row r="150" ht="18" customHeight="1"/>
    <x:row r="151" ht="18" customHeight="1"/>
    <x:row r="152" ht="18" customHeight="1"/>
    <x:row r="153" ht="18" customHeight="1"/>
    <x:row r="154" ht="18" customHeight="1"/>
    <x:row r="155" ht="18" customHeight="1"/>
    <x:row r="156" ht="18" customHeight="1"/>
    <x:row r="157" ht="18" customHeight="1"/>
    <x:row r="158" ht="18" customHeight="1"/>
    <x:row r="159" ht="18" customHeight="1"/>
    <x:row r="160" ht="18" customHeight="1"/>
    <x:row r="161" ht="18" customHeight="1"/>
    <x:row r="162" ht="18" customHeight="1"/>
    <x:row r="163" ht="18" customHeight="1"/>
    <x:row r="164" ht="18" customHeight="1"/>
    <x:row r="165" ht="18" customHeight="1"/>
    <x:row r="166" ht="18" customHeight="1"/>
    <x:row r="167" ht="18" customHeight="1"/>
    <x:row r="168" ht="18" customHeight="1"/>
    <x:row r="169" ht="18" customHeight="1"/>
    <x:row r="170" ht="18" customHeight="1"/>
    <x:row r="171" ht="18" customHeight="1"/>
    <x:row r="172" ht="18" customHeight="1"/>
    <x:row r="173" ht="18" customHeight="1"/>
    <x:row r="174" ht="18" customHeight="1"/>
    <x:row r="175" ht="18" customHeight="1"/>
    <x:row r="176" ht="18" customHeight="1"/>
    <x:row r="177" ht="18" customHeight="1"/>
    <x:row r="178" ht="18" customHeight="1"/>
    <x:row r="179" ht="18" customHeight="1"/>
    <x:row r="180" ht="18" customHeight="1"/>
    <x:row r="181" ht="18" customHeight="1"/>
    <x:row r="182" ht="18" customHeight="1"/>
    <x:row r="183" ht="18" customHeight="1"/>
    <x:row r="184" ht="18" customHeight="1"/>
    <x:row r="185" ht="18" customHeight="1"/>
    <x:row r="186" ht="18" customHeight="1"/>
    <x:row r="187" ht="18" customHeight="1"/>
    <x:row r="188" ht="18" customHeight="1"/>
    <x:row r="189" ht="18" customHeight="1"/>
    <x:row r="190" ht="18" customHeight="1"/>
    <x:row r="191" ht="18" customHeight="1"/>
    <x:row r="192" ht="18" customHeight="1"/>
    <x:row r="193" ht="18" customHeight="1"/>
    <x:row r="194" ht="18" customHeight="1"/>
    <x:row r="195" ht="18" customHeight="1"/>
    <x:row r="196" ht="18" customHeight="1"/>
    <x:row r="197" ht="18" customHeight="1"/>
    <x:row r="198" ht="18" customHeight="1"/>
    <x:row r="199" ht="18" customHeight="1"/>
    <x:row r="200" ht="18" customHeight="1"/>
    <x:row r="201" ht="18" customHeight="1"/>
    <x:row r="202" ht="18" customHeight="1"/>
    <x:row r="203" ht="18" customHeight="1"/>
    <x:row r="204" ht="18" customHeight="1"/>
    <x:row r="205" ht="18" customHeight="1"/>
    <x:row r="206" ht="18" customHeight="1"/>
    <x:row r="207" ht="18" customHeight="1"/>
    <x:row r="208" ht="18" customHeight="1"/>
    <x:row r="209" ht="18" customHeight="1"/>
    <x:row r="210" ht="18" customHeight="1"/>
    <x:row r="211" ht="18" customHeight="1"/>
    <x:row r="212" ht="18" customHeight="1"/>
    <x:row r="213" ht="18" customHeight="1"/>
    <x:row r="214" ht="18" customHeight="1"/>
    <x:row r="215" ht="18" customHeight="1"/>
    <x:row r="216" ht="18" customHeight="1"/>
    <x:row r="217" ht="18" customHeight="1"/>
    <x:row r="218" ht="18" customHeight="1"/>
    <x:row r="219" ht="18" customHeight="1"/>
    <x:row r="220" ht="18" customHeight="1"/>
    <x:row r="221" ht="18" customHeight="1"/>
    <x:row r="222" ht="18" customHeight="1"/>
    <x:row r="223" ht="18" customHeight="1"/>
    <x:row r="224" ht="18" customHeight="1"/>
    <x:row r="225" ht="18" customHeight="1"/>
    <x:row r="226" ht="18" customHeight="1"/>
    <x:row r="227" ht="18" customHeight="1"/>
    <x:row r="228" ht="18" customHeight="1"/>
    <x:row r="229" ht="18" customHeight="1"/>
    <x:row r="230" ht="18" customHeight="1"/>
    <x:row r="231" ht="18" customHeight="1"/>
    <x:row r="232" ht="18" customHeight="1"/>
    <x:row r="233" ht="18" customHeight="1"/>
    <x:row r="234" ht="18" customHeight="1"/>
    <x:row r="235" ht="18" customHeight="1"/>
    <x:row r="236" ht="18" customHeight="1"/>
    <x:row r="237" ht="18" customHeight="1"/>
    <x:row r="238" ht="18" customHeight="1"/>
    <x:row r="239" ht="18" customHeight="1"/>
    <x:row r="240" ht="18" customHeight="1"/>
    <x:row r="241" ht="18" customHeight="1"/>
    <x:row r="242" ht="18" customHeight="1"/>
    <x:row r="243" ht="18" customHeight="1"/>
    <x:row r="244" ht="18" customHeight="1"/>
    <x:row r="245" ht="18" customHeight="1"/>
    <x:row r="246" ht="18" customHeight="1"/>
    <x:row r="247" ht="18" customHeight="1"/>
    <x:row r="248" ht="18" customHeight="1"/>
    <x:row r="249" ht="18" customHeight="1"/>
    <x:row r="250" ht="18" customHeight="1"/>
    <x:row r="251" ht="18" customHeight="1"/>
    <x:row r="252" ht="18" customHeight="1"/>
    <x:row r="253" ht="18" customHeight="1"/>
    <x:row r="254" ht="18" customHeight="1"/>
    <x:row r="255" ht="18" customHeight="1"/>
    <x:row r="256" ht="18" customHeight="1"/>
    <x:row r="257" ht="18" customHeight="1"/>
    <x:row r="258" ht="18" customHeight="1"/>
    <x:row r="259" ht="18" customHeight="1"/>
    <x:row r="260" ht="18" customHeight="1"/>
    <x:row r="261" ht="18" customHeight="1"/>
    <x:row r="262" ht="18" customHeight="1"/>
    <x:row r="263" ht="18" customHeight="1"/>
    <x:row r="264" ht="18" customHeight="1"/>
    <x:row r="265" ht="18" customHeight="1"/>
    <x:row r="266" ht="18" customHeight="1"/>
    <x:row r="267" ht="18" customHeight="1"/>
    <x:row r="268" ht="18" customHeight="1"/>
    <x:row r="269" ht="18" customHeight="1"/>
    <x:row r="270" ht="18" customHeight="1"/>
    <x:row r="271" ht="18" customHeight="1"/>
    <x:row r="272" ht="18" customHeight="1"/>
    <x:row r="273" ht="18" customHeight="1"/>
    <x:row r="274" ht="18" customHeight="1"/>
    <x:row r="275" ht="18" customHeight="1"/>
    <x:row r="276" ht="18" customHeight="1"/>
    <x:row r="277" ht="18" customHeight="1"/>
    <x:row r="278" ht="18" customHeight="1"/>
    <x:row r="279" ht="18" customHeight="1"/>
    <x:row r="280" ht="18" customHeight="1"/>
    <x:row r="281" ht="18" customHeight="1"/>
    <x:row r="282" ht="18" customHeight="1"/>
    <x:row r="283" ht="18" customHeight="1"/>
    <x:row r="284" ht="18" customHeight="1"/>
    <x:row r="285" ht="18" customHeight="1"/>
    <x:row r="286" ht="18" customHeight="1"/>
    <x:row r="287" ht="18" customHeight="1"/>
    <x:row r="288" ht="18" customHeight="1"/>
    <x:row r="289" ht="18" customHeight="1"/>
    <x:row r="290" ht="18" customHeight="1"/>
    <x:row r="291" ht="18" customHeight="1"/>
    <x:row r="292" ht="18" customHeight="1"/>
    <x:row r="293" ht="18" customHeight="1"/>
    <x:row r="294" ht="18" customHeight="1"/>
    <x:row r="295" ht="18" customHeight="1"/>
    <x:row r="296" ht="18" customHeight="1"/>
    <x:row r="297" ht="18" customHeight="1"/>
    <x:row r="298" ht="18" customHeight="1"/>
    <x:row r="299" ht="18" customHeight="1"/>
    <x:row r="300" ht="18" customHeight="1"/>
    <x:row r="301" ht="18" customHeight="1"/>
    <x:row r="302" ht="18" customHeight="1"/>
    <x:row r="303" ht="18" customHeight="1"/>
    <x:row r="304" ht="18" customHeight="1"/>
    <x:row r="305" ht="18" customHeight="1"/>
    <x:row r="306" ht="18" customHeight="1"/>
    <x:row r="307" ht="18" customHeight="1"/>
    <x:row r="308" ht="18" customHeight="1"/>
    <x:row r="309" ht="18" customHeight="1"/>
    <x:row r="310" ht="18" customHeight="1"/>
    <x:row r="311" ht="18" customHeight="1"/>
    <x:row r="312" ht="18" customHeight="1"/>
    <x:row r="313" ht="18" customHeight="1"/>
    <x:row r="314" ht="18" customHeight="1"/>
    <x:row r="315" ht="18" customHeight="1"/>
    <x:row r="316" ht="18" customHeight="1"/>
    <x:row r="317" ht="18" customHeight="1"/>
    <x:row r="318" ht="18" customHeight="1"/>
    <x:row r="319" ht="18" customHeight="1"/>
    <x:row r="320" ht="18" customHeight="1"/>
    <x:row r="321" ht="18" customHeight="1"/>
    <x:row r="322" ht="18" customHeight="1"/>
    <x:row r="323" ht="18" customHeight="1"/>
    <x:row r="324" ht="18" customHeight="1"/>
    <x:row r="325" ht="18" customHeight="1"/>
    <x:row r="326" ht="18" customHeight="1"/>
    <x:row r="327" ht="18" customHeight="1"/>
    <x:row r="328" ht="18" customHeight="1"/>
    <x:row r="329" ht="18" customHeight="1"/>
    <x:row r="330" ht="18" customHeight="1"/>
    <x:row r="331" ht="18" customHeight="1"/>
    <x:row r="332" ht="18" customHeight="1"/>
    <x:row r="333" ht="18" customHeight="1"/>
    <x:row r="334" ht="18" customHeight="1"/>
    <x:row r="335" ht="18" customHeight="1"/>
    <x:row r="336" ht="18" customHeight="1"/>
    <x:row r="337" ht="18" customHeight="1"/>
    <x:row r="338" ht="18" customHeight="1"/>
    <x:row r="339" ht="18" customHeight="1"/>
    <x:row r="340" ht="18" customHeight="1"/>
    <x:row r="341" ht="18" customHeight="1"/>
    <x:row r="342" ht="18" customHeight="1"/>
    <x:row r="343" ht="18" customHeight="1"/>
    <x:row r="344" ht="18" customHeight="1"/>
    <x:row r="345" ht="18" customHeight="1"/>
    <x:row r="346" ht="18" customHeight="1"/>
    <x:row r="347" ht="18" customHeight="1"/>
    <x:row r="348" ht="18" customHeight="1"/>
    <x:row r="349" ht="18" customHeight="1"/>
    <x:row r="350" ht="18" customHeight="1"/>
    <x:row r="351" ht="18" customHeight="1"/>
    <x:row r="352" ht="18" customHeight="1"/>
    <x:row r="353" ht="18" customHeight="1"/>
    <x:row r="354" ht="18" customHeight="1"/>
    <x:row r="355" ht="18" customHeight="1"/>
    <x:row r="356" ht="18" customHeight="1"/>
    <x:row r="357" ht="18" customHeight="1"/>
    <x:row r="358" ht="18" customHeight="1"/>
    <x:row r="359" ht="18" customHeight="1"/>
    <x:row r="360" ht="18" customHeight="1"/>
    <x:row r="361" ht="18" customHeight="1"/>
    <x:row r="362" ht="18" customHeight="1"/>
    <x:row r="363" ht="18" customHeight="1"/>
    <x:row r="364" ht="18" customHeight="1"/>
    <x:row r="365" ht="18" customHeight="1"/>
    <x:row r="366" ht="18" customHeight="1"/>
    <x:row r="367" ht="18" customHeight="1"/>
    <x:row r="368" ht="18" customHeight="1"/>
    <x:row r="369" ht="18" customHeight="1"/>
    <x:row r="370" ht="18" customHeight="1"/>
    <x:row r="371" ht="18" customHeight="1"/>
    <x:row r="372" ht="18" customHeight="1"/>
    <x:row r="373" ht="18" customHeight="1"/>
    <x:row r="374" ht="18" customHeight="1"/>
    <x:row r="375" ht="18" customHeight="1"/>
    <x:row r="376" ht="18" customHeight="1"/>
    <x:row r="377" ht="18" customHeight="1"/>
    <x:row r="378" ht="18" customHeight="1"/>
    <x:row r="379" ht="18" customHeight="1"/>
    <x:row r="380" ht="18" customHeight="1"/>
    <x:row r="381" ht="18" customHeight="1"/>
    <x:row r="382" ht="18" customHeight="1"/>
    <x:row r="383" ht="18" customHeight="1"/>
    <x:row r="384" ht="18" customHeight="1"/>
    <x:row r="385" ht="18" customHeight="1"/>
    <x:row r="386" ht="18" customHeight="1"/>
    <x:row r="387" ht="18" customHeight="1"/>
    <x:row r="388" ht="18" customHeight="1"/>
    <x:row r="389" ht="18" customHeight="1"/>
    <x:row r="390" ht="18" customHeight="1"/>
    <x:row r="391" ht="18" customHeight="1"/>
    <x:row r="392" ht="18" customHeight="1"/>
    <x:row r="393" ht="18" customHeight="1"/>
    <x:row r="394" ht="18" customHeight="1"/>
    <x:row r="395" ht="18" customHeight="1"/>
    <x:row r="396" ht="18" customHeight="1"/>
    <x:row r="397" ht="18" customHeight="1"/>
    <x:row r="398" ht="18" customHeight="1"/>
    <x:row r="399" ht="18" customHeight="1"/>
    <x:row r="400" ht="18" customHeight="1"/>
    <x:row r="401" ht="18" customHeight="1"/>
    <x:row r="402" ht="18" customHeight="1"/>
    <x:row r="403" ht="18" customHeight="1"/>
    <x:row r="404" ht="18" customHeight="1"/>
    <x:row r="405" ht="18" customHeight="1"/>
    <x:row r="406" ht="18" customHeight="1"/>
    <x:row r="407" ht="18" customHeight="1"/>
    <x:row r="408" ht="18" customHeight="1"/>
    <x:row r="409" ht="18" customHeight="1"/>
    <x:row r="410" ht="18" customHeight="1"/>
    <x:row r="411" ht="18" customHeight="1"/>
    <x:row r="412" ht="18" customHeight="1"/>
    <x:row r="413" ht="18" customHeight="1"/>
    <x:row r="414" ht="18" customHeight="1"/>
    <x:row r="415" ht="18" customHeight="1"/>
    <x:row r="416" ht="18" customHeight="1"/>
    <x:row r="417" ht="18" customHeight="1"/>
    <x:row r="418" ht="18" customHeight="1"/>
    <x:row r="419" ht="18" customHeight="1"/>
    <x:row r="420" ht="18" customHeight="1"/>
    <x:row r="421" ht="18" customHeight="1"/>
    <x:row r="422" ht="18" customHeight="1"/>
    <x:row r="423" ht="18" customHeight="1"/>
    <x:row r="424" ht="18" customHeight="1"/>
    <x:row r="425" ht="18" customHeight="1"/>
    <x:row r="426" ht="18" customHeight="1"/>
    <x:row r="427" ht="18" customHeight="1"/>
    <x:row r="428" ht="18" customHeight="1"/>
    <x:row r="429" ht="18" customHeight="1"/>
    <x:row r="430" ht="18" customHeight="1"/>
    <x:row r="431" ht="18" customHeight="1"/>
    <x:row r="432" ht="18" customHeight="1"/>
    <x:row r="433" ht="18" customHeight="1"/>
    <x:row r="434" ht="18" customHeight="1"/>
    <x:row r="435" ht="18" customHeight="1"/>
    <x:row r="436" ht="18" customHeight="1"/>
    <x:row r="437" ht="18" customHeight="1"/>
    <x:row r="438" ht="18" customHeight="1"/>
    <x:row r="439" ht="18" customHeight="1"/>
    <x:row r="440" ht="18" customHeight="1"/>
    <x:row r="441" ht="18" customHeight="1"/>
    <x:row r="442" ht="18" customHeight="1"/>
    <x:row r="443" ht="18" customHeight="1"/>
    <x:row r="444" ht="18" customHeight="1"/>
    <x:row r="445" ht="18" customHeight="1"/>
    <x:row r="446" ht="18" customHeight="1"/>
    <x:row r="447" ht="18" customHeight="1"/>
    <x:row r="448" ht="18" customHeight="1"/>
    <x:row r="449" ht="18" customHeight="1"/>
    <x:row r="450" ht="18" customHeight="1"/>
    <x:row r="451" ht="18" customHeight="1"/>
    <x:row r="452" ht="18" customHeight="1"/>
    <x:row r="453" ht="18" customHeight="1"/>
    <x:row r="454" ht="18" customHeight="1"/>
    <x:row r="455" ht="18" customHeight="1"/>
    <x:row r="456" ht="18" customHeight="1"/>
    <x:row r="457" ht="18" customHeight="1"/>
    <x:row r="458" ht="18" customHeight="1"/>
    <x:row r="459" ht="18" customHeight="1"/>
    <x:row r="460" ht="18" customHeight="1"/>
    <x:row r="461" ht="18" customHeight="1"/>
    <x:row r="462" ht="18" customHeight="1"/>
    <x:row r="463" ht="18" customHeight="1"/>
    <x:row r="464" ht="18" customHeight="1"/>
    <x:row r="465" ht="18" customHeight="1"/>
    <x:row r="466" ht="18" customHeight="1"/>
    <x:row r="467" ht="18" customHeight="1"/>
    <x:row r="468" ht="18" customHeight="1"/>
    <x:row r="469" ht="18" customHeight="1"/>
    <x:row r="470" ht="18" customHeight="1"/>
    <x:row r="471" ht="18" customHeight="1"/>
    <x:row r="472" ht="18" customHeight="1"/>
    <x:row r="473" ht="18" customHeight="1"/>
    <x:row r="474" ht="18" customHeight="1"/>
    <x:row r="475" ht="18" customHeight="1"/>
    <x:row r="476" ht="18" customHeight="1"/>
    <x:row r="477" ht="18" customHeight="1"/>
    <x:row r="478" ht="18" customHeight="1"/>
    <x:row r="479" ht="18" customHeight="1"/>
    <x:row r="480" ht="18" customHeight="1"/>
    <x:row r="481" ht="18" customHeight="1"/>
    <x:row r="482" ht="18" customHeight="1"/>
    <x:row r="483" ht="18" customHeight="1"/>
    <x:row r="484" ht="18" customHeight="1"/>
    <x:row r="485" ht="18" customHeight="1"/>
    <x:row r="486" ht="18" customHeight="1"/>
    <x:row r="487" ht="18" customHeight="1"/>
    <x:row r="488" ht="18" customHeight="1"/>
    <x:row r="489" ht="18" customHeight="1"/>
    <x:row r="490" ht="18" customHeight="1"/>
    <x:row r="491" ht="18" customHeight="1"/>
    <x:row r="492" ht="18" customHeight="1"/>
    <x:row r="493" ht="18" customHeight="1"/>
    <x:row r="494" ht="18" customHeight="1"/>
    <x:row r="495" ht="18" customHeight="1"/>
    <x:row r="496" ht="18" customHeight="1"/>
    <x:row r="497" ht="18" customHeight="1"/>
    <x:row r="498" ht="18" customHeight="1"/>
    <x:row r="499" ht="18" customHeight="1"/>
    <x:row r="500" ht="18" customHeight="1"/>
    <x:row r="501" ht="18" customHeight="1"/>
    <x:row r="502" ht="18" customHeight="1"/>
    <x:row r="503" ht="18" customHeight="1"/>
    <x:row r="504" ht="18" customHeight="1"/>
    <x:row r="505" ht="18" customHeight="1"/>
    <x:row r="506" ht="18" customHeight="1"/>
    <x:row r="507" ht="18" customHeight="1"/>
    <x:row r="508" ht="18" customHeight="1"/>
    <x:row r="509" ht="18" customHeight="1"/>
    <x:row r="510" ht="18" customHeight="1"/>
    <x:row r="511" ht="18" customHeight="1"/>
    <x:row r="512" ht="18" customHeight="1"/>
    <x:row r="513" ht="18" customHeight="1"/>
    <x:row r="514" ht="18" customHeight="1"/>
    <x:row r="515" ht="18" customHeight="1"/>
    <x:row r="516" ht="18" customHeight="1"/>
    <x:row r="517" ht="18" customHeight="1"/>
    <x:row r="518" ht="18" customHeight="1"/>
    <x:row r="519" ht="18" customHeight="1"/>
    <x:row r="520" ht="18" customHeight="1"/>
    <x:row r="521" ht="18" customHeight="1"/>
    <x:row r="522" ht="18" customHeight="1"/>
    <x:row r="523" ht="18" customHeight="1"/>
    <x:row r="524" ht="18" customHeight="1"/>
    <x:row r="525" ht="18" customHeight="1"/>
    <x:row r="526" ht="18" customHeight="1"/>
    <x:row r="527" ht="18" customHeight="1"/>
    <x:row r="528" ht="18" customHeight="1"/>
    <x:row r="529" ht="18" customHeight="1"/>
    <x:row r="530" ht="18" customHeight="1"/>
    <x:row r="531" ht="18" customHeight="1"/>
    <x:row r="532" ht="18" customHeight="1"/>
    <x:row r="533" ht="18" customHeight="1"/>
    <x:row r="534" ht="18" customHeight="1"/>
    <x:row r="535" ht="18" customHeight="1"/>
    <x:row r="536" ht="18" customHeight="1"/>
    <x:row r="537" ht="18" customHeight="1"/>
    <x:row r="538" ht="18" customHeight="1"/>
    <x:row r="539" ht="18" customHeight="1"/>
    <x:row r="540" ht="18" customHeight="1"/>
    <x:row r="541" ht="18" customHeight="1"/>
    <x:row r="542" ht="18" customHeight="1"/>
    <x:row r="543" ht="18" customHeight="1"/>
    <x:row r="544" ht="18" customHeight="1"/>
    <x:row r="545" ht="18" customHeight="1"/>
    <x:row r="546" ht="18" customHeight="1"/>
    <x:row r="547" ht="18" customHeight="1"/>
    <x:row r="548" ht="18" customHeight="1"/>
    <x:row r="549" ht="18" customHeight="1"/>
    <x:row r="550" ht="18" customHeight="1"/>
    <x:row r="551" ht="18" customHeight="1"/>
    <x:row r="552" ht="18" customHeight="1"/>
    <x:row r="553" ht="18" customHeight="1"/>
    <x:row r="554" ht="18" customHeight="1"/>
    <x:row r="555" ht="18" customHeight="1"/>
    <x:row r="556" ht="18" customHeight="1"/>
    <x:row r="557" ht="18" customHeight="1"/>
    <x:row r="558" ht="18" customHeight="1"/>
    <x:row r="559" ht="18" customHeight="1"/>
    <x:row r="560" ht="18" customHeight="1"/>
    <x:row r="561" ht="18" customHeight="1"/>
    <x:row r="562" ht="18" customHeight="1"/>
    <x:row r="563" ht="18" customHeight="1"/>
    <x:row r="564" ht="18" customHeight="1"/>
    <x:row r="565" ht="18" customHeight="1"/>
    <x:row r="566" ht="18" customHeight="1"/>
    <x:row r="567" ht="18" customHeight="1"/>
    <x:row r="568" ht="18" customHeight="1"/>
    <x:row r="569" ht="18" customHeight="1"/>
    <x:row r="570" ht="18" customHeight="1"/>
    <x:row r="571" ht="18" customHeight="1"/>
    <x:row r="572" ht="18" customHeight="1"/>
    <x:row r="573" ht="18" customHeight="1"/>
    <x:row r="574" ht="18" customHeight="1"/>
    <x:row r="575" ht="18" customHeight="1"/>
    <x:row r="576" ht="18" customHeight="1"/>
    <x:row r="577" ht="18" customHeight="1"/>
    <x:row r="578" ht="18" customHeight="1"/>
    <x:row r="579" ht="18" customHeight="1"/>
    <x:row r="580" ht="18" customHeight="1"/>
    <x:row r="581" ht="18" customHeight="1"/>
    <x:row r="582" ht="18" customHeight="1"/>
    <x:row r="583" ht="18" customHeight="1"/>
    <x:row r="584" ht="18" customHeight="1"/>
    <x:row r="585" ht="18" customHeight="1"/>
    <x:row r="586" ht="18" customHeight="1"/>
    <x:row r="587" ht="18" customHeight="1"/>
    <x:row r="588" ht="18" customHeight="1"/>
    <x:row r="589" ht="18" customHeight="1"/>
    <x:row r="590" ht="18" customHeight="1"/>
    <x:row r="591" ht="18" customHeight="1"/>
    <x:row r="592" ht="18" customHeight="1"/>
    <x:row r="593" ht="18" customHeight="1"/>
    <x:row r="594" ht="18" customHeight="1"/>
    <x:row r="595" ht="18" customHeight="1"/>
    <x:row r="596" ht="18" customHeight="1"/>
    <x:row r="597" ht="18" customHeight="1"/>
    <x:row r="598" ht="18" customHeight="1"/>
    <x:row r="599" ht="18" customHeight="1"/>
    <x:row r="600" ht="18" customHeight="1"/>
    <x:row r="601" ht="18" customHeight="1"/>
    <x:row r="602" ht="18" customHeight="1"/>
    <x:row r="603" ht="18" customHeight="1"/>
    <x:row r="604" ht="18" customHeight="1"/>
    <x:row r="605" ht="18" customHeight="1"/>
    <x:row r="606" ht="18" customHeight="1"/>
    <x:row r="607" ht="18" customHeight="1"/>
    <x:row r="608" ht="18" customHeight="1"/>
    <x:row r="609" ht="18" customHeight="1"/>
    <x:row r="610" ht="18" customHeight="1"/>
    <x:row r="611" ht="18" customHeight="1"/>
    <x:row r="612" ht="18" customHeight="1"/>
    <x:row r="613" ht="18" customHeight="1"/>
    <x:row r="614" ht="18" customHeight="1"/>
    <x:row r="615" ht="18" customHeight="1"/>
    <x:row r="616" ht="18" customHeight="1"/>
    <x:row r="617" ht="18" customHeight="1"/>
    <x:row r="618" ht="18" customHeight="1"/>
    <x:row r="619" ht="18" customHeight="1"/>
    <x:row r="620" ht="18" customHeight="1"/>
    <x:row r="621" ht="18" customHeight="1"/>
    <x:row r="622" ht="18" customHeight="1"/>
    <x:row r="623" ht="18" customHeight="1"/>
    <x:row r="624" ht="18" customHeight="1"/>
    <x:row r="625" ht="18" customHeight="1"/>
    <x:row r="626" ht="18" customHeight="1"/>
    <x:row r="627" ht="18" customHeight="1"/>
    <x:row r="628" ht="18" customHeight="1"/>
    <x:row r="629" ht="18" customHeight="1"/>
    <x:row r="630" ht="18" customHeight="1"/>
    <x:row r="631" ht="18" customHeight="1"/>
    <x:row r="632" ht="18" customHeight="1"/>
    <x:row r="633" ht="18" customHeight="1"/>
    <x:row r="634" ht="18" customHeight="1"/>
    <x:row r="635" ht="18" customHeight="1"/>
    <x:row r="636" ht="18" customHeight="1"/>
    <x:row r="637" ht="18" customHeight="1"/>
    <x:row r="638" ht="18" customHeight="1"/>
    <x:row r="639" ht="18" customHeight="1"/>
    <x:row r="640" ht="18" customHeight="1"/>
    <x:row r="641" ht="18" customHeight="1"/>
    <x:row r="642" ht="18" customHeight="1"/>
    <x:row r="643" ht="18" customHeight="1"/>
    <x:row r="644" ht="18" customHeight="1"/>
    <x:row r="645" ht="18" customHeight="1"/>
    <x:row r="646" ht="18" customHeight="1"/>
    <x:row r="647" ht="18" customHeight="1"/>
    <x:row r="648" ht="18" customHeight="1"/>
    <x:row r="649" ht="18" customHeight="1"/>
    <x:row r="650" ht="18" customHeight="1"/>
    <x:row r="651" ht="18" customHeight="1"/>
    <x:row r="652" ht="18" customHeight="1"/>
    <x:row r="653" ht="18" customHeight="1"/>
    <x:row r="654" ht="18" customHeight="1"/>
    <x:row r="655" ht="18" customHeight="1"/>
    <x:row r="656" ht="18" customHeight="1"/>
    <x:row r="657" ht="18" customHeight="1"/>
    <x:row r="658" ht="18" customHeight="1"/>
    <x:row r="659" ht="18" customHeight="1"/>
    <x:row r="660" ht="18" customHeight="1"/>
    <x:row r="661" ht="18" customHeight="1"/>
    <x:row r="662" ht="18" customHeight="1"/>
    <x:row r="663" ht="18" customHeight="1"/>
    <x:row r="664" ht="18" customHeight="1"/>
    <x:row r="665" ht="18" customHeight="1"/>
    <x:row r="666" ht="18" customHeight="1"/>
    <x:row r="667" ht="18" customHeight="1"/>
    <x:row r="668" ht="18" customHeight="1"/>
    <x:row r="669" ht="18" customHeight="1"/>
    <x:row r="670" ht="18" customHeight="1"/>
    <x:row r="671" ht="18" customHeight="1"/>
    <x:row r="672" ht="18" customHeight="1"/>
    <x:row r="673" ht="18" customHeight="1"/>
    <x:row r="674" ht="18" customHeight="1"/>
    <x:row r="675" ht="18" customHeight="1"/>
    <x:row r="676" ht="18" customHeight="1"/>
    <x:row r="677" ht="18" customHeight="1"/>
    <x:row r="678" ht="18" customHeight="1"/>
    <x:row r="679" ht="18" customHeight="1"/>
    <x:row r="680" ht="18" customHeight="1"/>
    <x:row r="681" ht="18" customHeight="1"/>
    <x:row r="682" ht="18" customHeight="1"/>
    <x:row r="683" ht="18" customHeight="1"/>
    <x:row r="684" ht="18" customHeight="1"/>
    <x:row r="685" ht="18" customHeight="1"/>
    <x:row r="686" ht="18" customHeight="1"/>
    <x:row r="687" ht="18" customHeight="1"/>
    <x:row r="688" ht="18" customHeight="1"/>
    <x:row r="689" ht="18" customHeight="1"/>
    <x:row r="690" ht="18" customHeight="1"/>
    <x:row r="691" ht="18" customHeight="1"/>
    <x:row r="692" ht="18" customHeight="1"/>
    <x:row r="693" ht="18" customHeight="1"/>
    <x:row r="694" ht="18" customHeight="1"/>
    <x:row r="695" ht="18" customHeight="1"/>
    <x:row r="696" ht="18" customHeight="1"/>
    <x:row r="697" ht="18" customHeight="1"/>
    <x:row r="698" ht="18" customHeight="1"/>
    <x:row r="699" ht="18" customHeight="1"/>
    <x:row r="700" ht="18" customHeight="1"/>
    <x:row r="701" ht="18" customHeight="1"/>
    <x:row r="702" ht="18" customHeight="1"/>
    <x:row r="703" ht="18" customHeight="1"/>
    <x:row r="704" ht="18" customHeight="1"/>
    <x:row r="705" ht="18" customHeight="1"/>
    <x:row r="706" ht="18" customHeight="1"/>
    <x:row r="707" ht="18" customHeight="1"/>
    <x:row r="708" ht="18" customHeight="1"/>
    <x:row r="709" ht="18" customHeight="1"/>
    <x:row r="710" ht="18" customHeight="1"/>
    <x:row r="711" ht="18" customHeight="1"/>
    <x:row r="712" ht="18" customHeight="1"/>
    <x:row r="713" ht="18" customHeight="1"/>
    <x:row r="714" ht="18" customHeight="1"/>
    <x:row r="715" ht="18" customHeight="1"/>
    <x:row r="716" ht="18" customHeight="1"/>
    <x:row r="717" ht="18" customHeight="1"/>
    <x:row r="718" ht="18" customHeight="1"/>
    <x:row r="719" ht="18" customHeight="1"/>
    <x:row r="720" ht="18" customHeight="1"/>
    <x:row r="721" ht="18" customHeight="1"/>
    <x:row r="722" ht="18" customHeight="1"/>
    <x:row r="723" ht="18" customHeight="1"/>
    <x:row r="724" ht="18" customHeight="1"/>
    <x:row r="725" ht="18" customHeight="1"/>
    <x:row r="726" ht="18" customHeight="1"/>
    <x:row r="727" ht="18" customHeight="1"/>
    <x:row r="728" ht="18" customHeight="1"/>
    <x:row r="729" ht="18" customHeight="1"/>
    <x:row r="730" ht="18" customHeight="1"/>
    <x:row r="731" ht="18" customHeight="1"/>
    <x:row r="732" ht="18" customHeight="1"/>
    <x:row r="733" ht="18" customHeight="1"/>
    <x:row r="734" ht="18" customHeight="1"/>
    <x:row r="735" ht="18" customHeight="1"/>
    <x:row r="736" ht="18" customHeight="1"/>
    <x:row r="737" ht="18" customHeight="1"/>
    <x:row r="738" ht="18" customHeight="1"/>
    <x:row r="739" ht="18" customHeight="1"/>
    <x:row r="740" ht="18" customHeight="1"/>
    <x:row r="741" ht="18" customHeight="1"/>
    <x:row r="742" ht="18" customHeight="1"/>
    <x:row r="743" ht="18" customHeight="1"/>
    <x:row r="744" ht="18" customHeight="1"/>
    <x:row r="745" ht="18" customHeight="1"/>
    <x:row r="746" ht="18" customHeight="1"/>
    <x:row r="747" ht="18" customHeight="1"/>
    <x:row r="748" ht="18" customHeight="1"/>
    <x:row r="749" ht="18" customHeight="1"/>
    <x:row r="750" ht="18" customHeight="1"/>
    <x:row r="751" ht="18" customHeight="1"/>
    <x:row r="752" ht="18" customHeight="1"/>
    <x:row r="753" ht="18" customHeight="1"/>
    <x:row r="754" ht="18" customHeight="1"/>
    <x:row r="755" ht="18" customHeight="1"/>
    <x:row r="756" ht="18" customHeight="1"/>
    <x:row r="757" ht="18" customHeight="1"/>
    <x:row r="758" ht="18" customHeight="1"/>
    <x:row r="759" ht="18" customHeight="1"/>
    <x:row r="760" ht="18" customHeight="1"/>
    <x:row r="761" ht="18" customHeight="1"/>
    <x:row r="762" ht="18" customHeight="1"/>
    <x:row r="763" ht="18" customHeight="1"/>
    <x:row r="764" ht="18" customHeight="1"/>
    <x:row r="765" ht="18" customHeight="1"/>
    <x:row r="766" ht="18" customHeight="1"/>
    <x:row r="767" ht="18" customHeight="1"/>
    <x:row r="768" ht="18" customHeight="1"/>
    <x:row r="769" ht="18" customHeight="1"/>
    <x:row r="770" ht="18" customHeight="1"/>
    <x:row r="771" ht="18" customHeight="1"/>
    <x:row r="772" ht="18" customHeight="1"/>
    <x:row r="773" ht="18" customHeight="1"/>
    <x:row r="774" ht="18" customHeight="1"/>
    <x:row r="775" ht="18" customHeight="1"/>
    <x:row r="776" ht="18" customHeight="1"/>
    <x:row r="777" ht="18" customHeight="1"/>
    <x:row r="778" ht="18" customHeight="1"/>
    <x:row r="779" ht="18" customHeight="1"/>
    <x:row r="780" ht="18" customHeight="1"/>
    <x:row r="781" ht="18" customHeight="1"/>
    <x:row r="782" ht="18" customHeight="1"/>
    <x:row r="783" ht="18" customHeight="1"/>
    <x:row r="784" ht="18" customHeight="1"/>
    <x:row r="785" ht="18" customHeight="1"/>
    <x:row r="786" ht="18" customHeight="1"/>
    <x:row r="787" ht="18" customHeight="1"/>
    <x:row r="788" ht="18" customHeight="1"/>
    <x:row r="789" ht="18" customHeight="1"/>
    <x:row r="790" ht="18" customHeight="1"/>
    <x:row r="791" ht="18" customHeight="1"/>
    <x:row r="792" ht="18" customHeight="1"/>
    <x:row r="793" ht="18" customHeight="1"/>
    <x:row r="794" ht="18" customHeight="1"/>
    <x:row r="795" ht="18" customHeight="1"/>
    <x:row r="796" ht="18" customHeight="1"/>
    <x:row r="797" ht="18" customHeight="1"/>
    <x:row r="798" ht="18" customHeight="1"/>
    <x:row r="799" ht="18" customHeight="1"/>
    <x:row r="800" ht="18" customHeight="1"/>
    <x:row r="801" ht="18" customHeight="1"/>
    <x:row r="802" ht="18" customHeight="1"/>
    <x:row r="803" ht="18" customHeight="1"/>
    <x:row r="804" ht="18" customHeight="1"/>
    <x:row r="805" ht="18" customHeight="1"/>
    <x:row r="806" ht="18" customHeight="1"/>
    <x:row r="807" ht="18" customHeight="1"/>
    <x:row r="808" ht="18" customHeight="1"/>
    <x:row r="809" ht="18" customHeight="1"/>
    <x:row r="810" ht="18" customHeight="1"/>
    <x:row r="811" ht="18" customHeight="1"/>
    <x:row r="812" ht="18" customHeight="1"/>
    <x:row r="813" ht="18" customHeight="1"/>
    <x:row r="814" ht="18" customHeight="1"/>
    <x:row r="815" ht="18" customHeight="1"/>
    <x:row r="816" ht="18" customHeight="1"/>
    <x:row r="817" ht="18" customHeight="1"/>
    <x:row r="818" ht="18" customHeight="1"/>
    <x:row r="819" ht="18" customHeight="1"/>
    <x:row r="820" ht="18" customHeight="1"/>
    <x:row r="821" ht="18" customHeight="1"/>
    <x:row r="822" ht="18" customHeight="1"/>
    <x:row r="823" ht="18" customHeight="1"/>
    <x:row r="824" ht="18" customHeight="1"/>
    <x:row r="825" ht="18" customHeight="1"/>
    <x:row r="826" ht="18" customHeight="1"/>
    <x:row r="827" ht="18" customHeight="1"/>
    <x:row r="828" ht="18" customHeight="1"/>
    <x:row r="829" ht="18" customHeight="1"/>
    <x:row r="830" ht="18" customHeight="1"/>
    <x:row r="831" ht="18" customHeight="1"/>
    <x:row r="832" ht="18" customHeight="1"/>
    <x:row r="833" ht="18" customHeight="1"/>
    <x:row r="834" ht="18" customHeight="1"/>
    <x:row r="835" ht="18" customHeight="1"/>
    <x:row r="836" ht="18" customHeight="1"/>
    <x:row r="837" ht="18" customHeight="1"/>
    <x:row r="838" ht="18" customHeight="1"/>
    <x:row r="839" ht="18" customHeight="1"/>
    <x:row r="840" ht="18" customHeight="1"/>
    <x:row r="841" ht="18" customHeight="1"/>
    <x:row r="842" ht="18" customHeight="1"/>
    <x:row r="843" ht="18" customHeight="1"/>
    <x:row r="844" ht="18" customHeight="1"/>
    <x:row r="845" ht="18" customHeight="1"/>
    <x:row r="846" ht="18" customHeight="1"/>
    <x:row r="847" ht="18" customHeight="1"/>
    <x:row r="848" ht="18" customHeight="1"/>
    <x:row r="849" ht="18" customHeight="1"/>
    <x:row r="850" ht="18" customHeight="1"/>
    <x:row r="851" ht="18" customHeight="1"/>
    <x:row r="852" ht="18" customHeight="1"/>
    <x:row r="853" ht="18" customHeight="1"/>
    <x:row r="854" ht="18" customHeight="1"/>
    <x:row r="855" ht="18" customHeight="1"/>
    <x:row r="856" ht="18" customHeight="1"/>
    <x:row r="857" ht="18" customHeight="1"/>
    <x:row r="858" ht="18" customHeight="1"/>
    <x:row r="859" ht="18" customHeight="1"/>
    <x:row r="860" ht="18" customHeight="1"/>
    <x:row r="861" ht="18" customHeight="1"/>
    <x:row r="862" ht="18" customHeight="1"/>
    <x:row r="863" ht="18" customHeight="1"/>
    <x:row r="864" ht="18" customHeight="1"/>
    <x:row r="865" ht="18" customHeight="1"/>
    <x:row r="866" ht="18" customHeight="1"/>
    <x:row r="867" ht="18" customHeight="1"/>
    <x:row r="868" ht="18" customHeight="1"/>
    <x:row r="869" ht="18" customHeight="1"/>
    <x:row r="870" ht="18" customHeight="1"/>
    <x:row r="871" ht="18" customHeight="1"/>
    <x:row r="872" ht="18" customHeight="1"/>
    <x:row r="873" ht="18" customHeight="1"/>
    <x:row r="874" ht="18" customHeight="1"/>
    <x:row r="875" ht="18" customHeight="1"/>
    <x:row r="876" ht="18" customHeight="1"/>
    <x:row r="877" ht="18" customHeight="1"/>
    <x:row r="878" ht="18" customHeight="1"/>
    <x:row r="879" ht="18" customHeight="1"/>
    <x:row r="880" ht="18" customHeight="1"/>
    <x:row r="881" ht="18" customHeight="1"/>
    <x:row r="882" ht="18" customHeight="1"/>
    <x:row r="883" ht="18" customHeight="1"/>
    <x:row r="884" ht="18" customHeight="1"/>
    <x:row r="885" ht="18" customHeight="1"/>
    <x:row r="886" ht="18" customHeight="1"/>
    <x:row r="887" ht="18" customHeight="1"/>
    <x:row r="888" ht="18" customHeight="1"/>
    <x:row r="889" ht="18" customHeight="1"/>
    <x:row r="890" ht="18" customHeight="1"/>
    <x:row r="891" ht="18" customHeight="1"/>
    <x:row r="892" ht="18" customHeight="1"/>
    <x:row r="893" ht="18" customHeight="1"/>
    <x:row r="894" ht="18" customHeight="1"/>
    <x:row r="895" ht="18" customHeight="1"/>
    <x:row r="896" ht="18" customHeight="1"/>
    <x:row r="897" ht="18" customHeight="1"/>
    <x:row r="898" ht="18" customHeight="1"/>
    <x:row r="899" ht="18" customHeight="1"/>
    <x:row r="900" ht="18" customHeight="1"/>
    <x:row r="901" ht="18" customHeight="1"/>
    <x:row r="902" ht="18" customHeight="1"/>
    <x:row r="903" ht="18" customHeight="1"/>
    <x:row r="904" ht="18" customHeight="1"/>
    <x:row r="905" ht="18" customHeight="1"/>
    <x:row r="906" ht="18" customHeight="1"/>
    <x:row r="907" ht="18" customHeight="1"/>
    <x:row r="908" ht="18" customHeight="1"/>
    <x:row r="909" ht="18" customHeight="1"/>
    <x:row r="910" ht="18" customHeight="1"/>
    <x:row r="911" ht="18" customHeight="1"/>
    <x:row r="912" ht="18" customHeight="1"/>
    <x:row r="913" ht="18" customHeight="1"/>
    <x:row r="914" ht="18" customHeight="1"/>
    <x:row r="915" ht="18" customHeight="1"/>
    <x:row r="916" ht="18" customHeight="1"/>
    <x:row r="917" ht="18" customHeight="1"/>
    <x:row r="918" ht="18" customHeight="1"/>
    <x:row r="919" ht="18" customHeight="1"/>
    <x:row r="920" ht="18" customHeight="1"/>
    <x:row r="921" ht="18" customHeight="1"/>
    <x:row r="922" ht="18" customHeight="1"/>
    <x:row r="923" ht="18" customHeight="1"/>
    <x:row r="924" ht="18" customHeight="1"/>
    <x:row r="925" ht="18" customHeight="1"/>
    <x:row r="926" ht="18" customHeight="1"/>
    <x:row r="927" ht="18" customHeight="1"/>
    <x:row r="928" ht="18" customHeight="1"/>
    <x:row r="929" ht="18" customHeight="1"/>
    <x:row r="930" ht="18" customHeight="1"/>
    <x:row r="931" ht="18" customHeight="1"/>
    <x:row r="932" ht="18" customHeight="1"/>
    <x:row r="933" ht="18" customHeight="1"/>
    <x:row r="934" ht="18" customHeight="1"/>
    <x:row r="935" ht="18" customHeight="1"/>
    <x:row r="936" ht="18" customHeight="1"/>
    <x:row r="937" ht="18" customHeight="1"/>
    <x:row r="938" ht="18" customHeight="1"/>
    <x:row r="939" ht="18" customHeight="1"/>
    <x:row r="940" ht="18" customHeight="1"/>
    <x:row r="941" ht="18" customHeight="1"/>
    <x:row r="942" ht="18" customHeight="1"/>
    <x:row r="943" ht="18" customHeight="1"/>
    <x:row r="944" ht="18" customHeight="1"/>
    <x:row r="945" ht="18" customHeight="1"/>
    <x:row r="946" ht="18" customHeight="1"/>
    <x:row r="947" ht="18" customHeight="1"/>
    <x:row r="948" ht="18" customHeight="1"/>
    <x:row r="949" ht="18" customHeight="1"/>
    <x:row r="950" ht="18" customHeight="1"/>
    <x:row r="951" ht="18" customHeight="1"/>
    <x:row r="952" ht="18" customHeight="1"/>
    <x:row r="953" ht="18" customHeight="1"/>
    <x:row r="954" ht="18" customHeight="1"/>
    <x:row r="955" ht="18" customHeight="1"/>
    <x:row r="956" ht="18" customHeight="1"/>
    <x:row r="957" ht="18" customHeight="1"/>
    <x:row r="958" ht="18" customHeight="1"/>
    <x:row r="959" ht="18" customHeight="1"/>
    <x:row r="960" ht="18" customHeight="1"/>
    <x:row r="961" ht="18" customHeight="1"/>
    <x:row r="962" ht="18" customHeight="1"/>
    <x:row r="963" ht="18" customHeight="1"/>
    <x:row r="964" ht="18" customHeight="1"/>
    <x:row r="965" ht="18" customHeight="1"/>
    <x:row r="966" ht="18" customHeight="1"/>
    <x:row r="967" ht="18" customHeight="1"/>
    <x:row r="968" ht="18" customHeight="1"/>
    <x:row r="969" ht="18" customHeight="1"/>
    <x:row r="970" ht="18" customHeight="1"/>
    <x:row r="971" ht="18" customHeight="1"/>
    <x:row r="972" ht="18" customHeight="1"/>
    <x:row r="973" ht="18" customHeight="1"/>
    <x:row r="974" ht="18" customHeight="1"/>
    <x:row r="975" ht="18" customHeight="1"/>
    <x:row r="976" ht="18" customHeight="1"/>
    <x:row r="977" ht="18" customHeight="1"/>
    <x:row r="978" ht="18" customHeight="1"/>
    <x:row r="979" ht="18" customHeight="1"/>
    <x:row r="980" ht="18" customHeight="1"/>
    <x:row r="981" ht="18" customHeight="1"/>
    <x:row r="982" ht="18" customHeight="1"/>
    <x:row r="983" ht="18" customHeight="1"/>
    <x:row r="984" ht="18" customHeight="1"/>
    <x:row r="985" ht="18" customHeight="1"/>
    <x:row r="986" ht="18" customHeight="1"/>
    <x:row r="987" ht="18" customHeight="1"/>
    <x:row r="988" ht="18" customHeight="1"/>
    <x:row r="989" ht="18" customHeight="1"/>
    <x:row r="990" ht="18" customHeight="1"/>
    <x:row r="991" ht="18" customHeight="1"/>
    <x:row r="992" ht="18" customHeight="1"/>
    <x:row r="993" ht="18" customHeight="1"/>
    <x:row r="994" ht="18" customHeight="1"/>
    <x:row r="995" ht="18" customHeight="1"/>
    <x:row r="996" ht="18" customHeight="1"/>
    <x:row r="997" ht="18" customHeight="1"/>
    <x:row r="998" ht="18" customHeight="1"/>
    <x:row r="999" ht="18" customHeight="1"/>
    <x:row r="1000" ht="18" customHeight="1"/>
    <x:row r="1001" ht="18" customHeight="1"/>
    <x:row r="1002" ht="18" customHeight="1"/>
    <x:row r="1003" ht="18" customHeight="1"/>
    <x:row r="1004" ht="18" customHeight="1"/>
    <x:row r="1005" ht="18" customHeight="1"/>
    <x:row r="1006" ht="18" customHeight="1"/>
    <x:row r="1007" ht="18" customHeight="1"/>
    <x:row r="1008" ht="18" customHeight="1"/>
    <x:row r="1009" ht="18" customHeight="1"/>
    <x:row r="1010" ht="18" customHeight="1"/>
    <x:row r="1011" ht="18" customHeight="1"/>
    <x:row r="1012" ht="18" customHeight="1"/>
    <x:row r="1013" ht="18" customHeight="1"/>
    <x:row r="1014" ht="18" customHeight="1"/>
    <x:row r="1015" ht="18" customHeight="1"/>
    <x:row r="1016" ht="18" customHeight="1"/>
    <x:row r="1017" ht="18" customHeight="1"/>
    <x:row r="1018" ht="18" customHeight="1"/>
    <x:row r="1019" ht="18" customHeight="1"/>
    <x:row r="1020" ht="18" customHeight="1"/>
    <x:row r="1021" ht="18" customHeight="1"/>
    <x:row r="1022" ht="18" customHeight="1"/>
    <x:row r="1023" ht="18" customHeight="1"/>
    <x:row r="1024" ht="18" customHeight="1"/>
    <x:row r="1025" ht="18" customHeight="1"/>
    <x:row r="1026" ht="18" customHeight="1"/>
    <x:row r="1027" ht="18" customHeight="1"/>
    <x:row r="1028" ht="18" customHeight="1"/>
    <x:row r="1029" ht="18" customHeight="1"/>
    <x:row r="1030" ht="18" customHeight="1"/>
    <x:row r="1031" ht="18" customHeight="1"/>
    <x:row r="1032" ht="18" customHeight="1"/>
    <x:row r="1033" ht="18" customHeight="1"/>
    <x:row r="1034" ht="18" customHeight="1"/>
    <x:row r="1035" ht="18" customHeight="1"/>
    <x:row r="1036" ht="18" customHeight="1"/>
    <x:row r="1037" ht="18" customHeight="1"/>
    <x:row r="1038" ht="18" customHeight="1"/>
    <x:row r="1039" ht="18" customHeight="1"/>
    <x:row r="1040" ht="18" customHeight="1"/>
    <x:row r="1041" ht="18" customHeight="1"/>
    <x:row r="1042" ht="18" customHeight="1"/>
    <x:row r="1043" ht="18" customHeight="1"/>
    <x:row r="1044" ht="18" customHeight="1"/>
    <x:row r="1045" ht="18" customHeight="1"/>
    <x:row r="1046" ht="18" customHeight="1"/>
    <x:row r="1047" ht="18" customHeight="1"/>
    <x:row r="1048" ht="18" customHeight="1"/>
    <x:row r="1049" ht="18" customHeight="1"/>
    <x:row r="1050" ht="18" customHeight="1"/>
    <x:row r="1051" ht="18" customHeight="1"/>
    <x:row r="1052" ht="18" customHeight="1"/>
    <x:row r="1053" ht="18" customHeight="1"/>
    <x:row r="1054" ht="18" customHeight="1"/>
    <x:row r="1055" ht="18" customHeight="1"/>
    <x:row r="1056" ht="18" customHeight="1"/>
    <x:row r="1057" ht="18" customHeight="1"/>
    <x:row r="1058" ht="18" customHeight="1"/>
    <x:row r="1059" ht="18" customHeight="1"/>
    <x:row r="1060" ht="18" customHeight="1"/>
    <x:row r="1061" ht="18" customHeight="1"/>
    <x:row r="1062" ht="18" customHeight="1"/>
    <x:row r="1063" ht="18" customHeight="1"/>
    <x:row r="1064" ht="18" customHeight="1"/>
    <x:row r="1065" ht="18" customHeight="1"/>
    <x:row r="1066" ht="18" customHeight="1"/>
    <x:row r="1067" ht="18" customHeight="1"/>
    <x:row r="1068" ht="18" customHeight="1"/>
    <x:row r="1069" ht="18" customHeight="1"/>
    <x:row r="1070" ht="18" customHeight="1"/>
    <x:row r="1071" ht="18" customHeight="1"/>
    <x:row r="1072" ht="18" customHeight="1"/>
    <x:row r="1073" ht="18" customHeight="1"/>
    <x:row r="1074" ht="18" customHeight="1"/>
    <x:row r="1075" ht="18" customHeight="1"/>
    <x:row r="1076" ht="18" customHeight="1"/>
    <x:row r="1077" ht="18" customHeight="1"/>
    <x:row r="1078" ht="18" customHeight="1"/>
    <x:row r="1079" ht="18" customHeight="1"/>
    <x:row r="1080" ht="18" customHeight="1"/>
    <x:row r="1081" ht="18" customHeight="1"/>
    <x:row r="1082" ht="18" customHeight="1"/>
    <x:row r="1083" ht="18" customHeight="1"/>
    <x:row r="1084" ht="18" customHeight="1"/>
    <x:row r="1085" ht="18" customHeight="1"/>
    <x:row r="1086" ht="18" customHeight="1"/>
    <x:row r="1087" ht="18" customHeight="1"/>
    <x:row r="1088" ht="18" customHeight="1"/>
    <x:row r="1089" ht="18" customHeight="1"/>
    <x:row r="1090" ht="18" customHeight="1"/>
    <x:row r="1091" ht="18" customHeight="1"/>
    <x:row r="1092" ht="18" customHeight="1"/>
    <x:row r="1093" ht="18" customHeight="1"/>
    <x:row r="1094" ht="18" customHeight="1"/>
    <x:row r="1095" ht="18" customHeight="1"/>
    <x:row r="1096" ht="18" customHeight="1"/>
    <x:row r="1097" ht="18" customHeight="1"/>
    <x:row r="1098" ht="18" customHeight="1"/>
    <x:row r="1099" ht="18" customHeight="1"/>
    <x:row r="1100" ht="18" customHeight="1"/>
    <x:row r="1101" ht="18" customHeight="1"/>
    <x:row r="1102" ht="18" customHeight="1"/>
    <x:row r="1103" ht="18" customHeight="1"/>
    <x:row r="1104" ht="18" customHeight="1"/>
    <x:row r="1105" ht="18" customHeight="1"/>
    <x:row r="1106" ht="18" customHeight="1"/>
    <x:row r="1107" ht="18" customHeight="1"/>
    <x:row r="1108" ht="18" customHeight="1"/>
    <x:row r="1109" ht="18" customHeight="1"/>
    <x:row r="1110" ht="18" customHeight="1"/>
    <x:row r="1111" ht="18" customHeight="1"/>
    <x:row r="1112" ht="18" customHeight="1"/>
    <x:row r="1113" ht="18" customHeight="1"/>
    <x:row r="1114" ht="18" customHeight="1"/>
    <x:row r="1115" ht="18" customHeight="1"/>
    <x:row r="1116" ht="18" customHeight="1"/>
    <x:row r="1117" ht="18" customHeight="1"/>
    <x:row r="1118" ht="18" customHeight="1"/>
    <x:row r="1119" ht="18" customHeight="1"/>
    <x:row r="1120" ht="18" customHeight="1"/>
    <x:row r="1121" ht="18" customHeight="1"/>
    <x:row r="1122" ht="18" customHeight="1"/>
    <x:row r="1123" ht="18" customHeight="1"/>
    <x:row r="1124" ht="18" customHeight="1"/>
    <x:row r="1125" ht="18" customHeight="1"/>
    <x:row r="1126" ht="18" customHeight="1"/>
    <x:row r="1127" ht="18" customHeight="1"/>
    <x:row r="1128" ht="18" customHeight="1"/>
    <x:row r="1129" ht="18" customHeight="1"/>
    <x:row r="1130" ht="18" customHeight="1"/>
    <x:row r="1131" ht="18" customHeight="1"/>
    <x:row r="1132" ht="18" customHeight="1"/>
    <x:row r="1133" ht="18" customHeight="1"/>
    <x:row r="1134" ht="18" customHeight="1"/>
    <x:row r="1135" ht="18" customHeight="1"/>
    <x:row r="1136" ht="18" customHeight="1"/>
    <x:row r="1137" ht="18" customHeight="1"/>
    <x:row r="1138" ht="18" customHeight="1"/>
    <x:row r="1139" ht="18" customHeight="1"/>
    <x:row r="1140" ht="18" customHeight="1"/>
    <x:row r="1141" ht="18" customHeight="1"/>
    <x:row r="1142" ht="18" customHeight="1"/>
    <x:row r="1143" ht="18" customHeight="1"/>
    <x:row r="1144" ht="18" customHeight="1"/>
    <x:row r="1145" ht="18" customHeight="1"/>
    <x:row r="1146" ht="18" customHeight="1"/>
    <x:row r="1147" ht="18" customHeight="1"/>
    <x:row r="1148" ht="18" customHeight="1"/>
    <x:row r="1149" ht="18" customHeight="1"/>
    <x:row r="1150" ht="18" customHeight="1"/>
    <x:row r="1151" ht="18" customHeight="1"/>
    <x:row r="1152" ht="18" customHeight="1"/>
    <x:row r="1153" ht="18" customHeight="1"/>
    <x:row r="1154" ht="18" customHeight="1"/>
    <x:row r="1155" ht="18" customHeight="1"/>
    <x:row r="1156" ht="18" customHeight="1"/>
    <x:row r="1157" ht="18" customHeight="1"/>
    <x:row r="1158" ht="18" customHeight="1"/>
    <x:row r="1159" ht="18" customHeight="1"/>
    <x:row r="1160" ht="18" customHeight="1"/>
    <x:row r="1161" ht="18" customHeight="1"/>
    <x:row r="1162" ht="18" customHeight="1"/>
    <x:row r="1163" ht="18" customHeight="1"/>
    <x:row r="1164" ht="18" customHeight="1"/>
    <x:row r="1165" ht="18" customHeight="1"/>
    <x:row r="1166" ht="18" customHeight="1"/>
    <x:row r="1167" ht="18" customHeight="1"/>
    <x:row r="1168" ht="18" customHeight="1"/>
    <x:row r="1169" ht="18" customHeight="1"/>
    <x:row r="1170" ht="18" customHeight="1"/>
    <x:row r="1171" ht="18" customHeight="1"/>
    <x:row r="1172" ht="18" customHeight="1"/>
    <x:row r="1173" ht="18" customHeight="1"/>
    <x:row r="1174" ht="18" customHeight="1"/>
    <x:row r="1175" ht="18" customHeight="1"/>
    <x:row r="1176" ht="18" customHeight="1"/>
    <x:row r="1177" ht="18" customHeight="1"/>
    <x:row r="1178" ht="18" customHeight="1"/>
    <x:row r="1179" ht="18" customHeight="1"/>
    <x:row r="1180" ht="18" customHeight="1"/>
    <x:row r="1181" ht="18" customHeight="1"/>
    <x:row r="1182" ht="18" customHeight="1"/>
    <x:row r="1183" ht="18" customHeight="1"/>
    <x:row r="1184" ht="18" customHeight="1"/>
    <x:row r="1185" ht="18" customHeight="1"/>
    <x:row r="1186" ht="18" customHeight="1"/>
    <x:row r="1187" ht="18" customHeight="1"/>
    <x:row r="1188" ht="18" customHeight="1"/>
    <x:row r="1189" ht="18" customHeight="1"/>
    <x:row r="1190" ht="18" customHeight="1"/>
    <x:row r="1191" ht="18" customHeight="1"/>
    <x:row r="1192" ht="18" customHeight="1"/>
    <x:row r="1193" ht="18" customHeight="1"/>
    <x:row r="1194" ht="18" customHeight="1"/>
    <x:row r="1195" ht="18" customHeight="1"/>
    <x:row r="1196" ht="18" customHeight="1"/>
    <x:row r="1197" ht="18" customHeight="1"/>
    <x:row r="1198" ht="18" customHeight="1"/>
    <x:row r="1199" ht="18" customHeight="1"/>
    <x:row r="1200" ht="18" customHeight="1"/>
    <x:row r="1201" ht="18" customHeight="1"/>
    <x:row r="1202" ht="18" customHeight="1"/>
    <x:row r="1203" ht="18" customHeight="1"/>
    <x:row r="1204" ht="18" customHeight="1"/>
    <x:row r="1205" ht="18" customHeight="1"/>
    <x:row r="1206" ht="18" customHeight="1"/>
    <x:row r="1207" ht="18" customHeight="1"/>
    <x:row r="1208" ht="18" customHeight="1"/>
    <x:row r="1209" ht="18" customHeight="1"/>
    <x:row r="1210" ht="18" customHeight="1"/>
    <x:row r="1211" ht="18" customHeight="1"/>
    <x:row r="1212" ht="18" customHeight="1"/>
    <x:row r="1213" ht="18" customHeight="1"/>
    <x:row r="1214" ht="18" customHeight="1"/>
    <x:row r="1215" ht="18" customHeight="1"/>
    <x:row r="1216" ht="18" customHeight="1"/>
    <x:row r="1217" ht="18" customHeight="1"/>
    <x:row r="1218" ht="18" customHeight="1"/>
    <x:row r="1219" ht="18" customHeight="1"/>
    <x:row r="1220" ht="18" customHeight="1"/>
    <x:row r="1221" ht="18" customHeight="1"/>
    <x:row r="1222" ht="18" customHeight="1"/>
    <x:row r="1223" ht="18" customHeight="1"/>
    <x:row r="1224" ht="18" customHeight="1"/>
    <x:row r="1225" ht="18" customHeight="1"/>
    <x:row r="1226" ht="18" customHeight="1"/>
    <x:row r="1227" ht="18" customHeight="1"/>
    <x:row r="1228" ht="18" customHeight="1"/>
    <x:row r="1229" ht="18" customHeight="1"/>
    <x:row r="1230" ht="18" customHeight="1"/>
    <x:row r="1231" ht="18" customHeight="1"/>
    <x:row r="1232" ht="18" customHeight="1"/>
    <x:row r="1233" ht="18" customHeight="1"/>
    <x:row r="1234" ht="18" customHeight="1"/>
    <x:row r="1235" ht="18" customHeight="1"/>
    <x:row r="1236" ht="18" customHeight="1"/>
    <x:row r="1237" ht="18" customHeight="1"/>
    <x:row r="1238" ht="18" customHeight="1"/>
    <x:row r="1239" ht="18" customHeight="1"/>
    <x:row r="1240" ht="18" customHeight="1"/>
    <x:row r="1241" ht="18" customHeight="1"/>
    <x:row r="1242" ht="18" customHeight="1"/>
    <x:row r="1243" ht="18" customHeight="1"/>
    <x:row r="1244" ht="18" customHeight="1"/>
    <x:row r="1245" ht="18" customHeight="1"/>
    <x:row r="1246" ht="18" customHeight="1"/>
    <x:row r="1247" ht="18" customHeight="1"/>
    <x:row r="1248" ht="18" customHeight="1"/>
    <x:row r="1249" ht="18" customHeight="1"/>
    <x:row r="1250" ht="18" customHeight="1"/>
    <x:row r="1251" ht="18" customHeight="1"/>
    <x:row r="1252" ht="18" customHeight="1"/>
    <x:row r="1253" ht="18" customHeight="1"/>
    <x:row r="1254" ht="18" customHeight="1"/>
    <x:row r="1255" ht="18" customHeight="1"/>
    <x:row r="1256" ht="18" customHeight="1"/>
    <x:row r="1257" ht="18" customHeight="1"/>
    <x:row r="1258" ht="18" customHeight="1"/>
    <x:row r="1259" ht="18" customHeight="1"/>
    <x:row r="1260" ht="18" customHeight="1"/>
    <x:row r="1261" ht="18" customHeight="1"/>
    <x:row r="1262" ht="18" customHeight="1"/>
    <x:row r="1263" ht="18" customHeight="1"/>
    <x:row r="1264" ht="18" customHeight="1"/>
    <x:row r="1265" ht="18" customHeight="1"/>
    <x:row r="1266" ht="18" customHeight="1"/>
    <x:row r="1267" ht="18" customHeight="1"/>
    <x:row r="1268" ht="18" customHeight="1"/>
    <x:row r="1269" ht="18" customHeight="1"/>
    <x:row r="1270" ht="18" customHeight="1"/>
    <x:row r="1271" ht="18" customHeight="1"/>
    <x:row r="1272" ht="18" customHeight="1"/>
    <x:row r="1273" ht="18" customHeight="1"/>
    <x:row r="1274" ht="18" customHeight="1"/>
    <x:row r="1275" ht="18" customHeight="1"/>
    <x:row r="1276" ht="18" customHeight="1"/>
    <x:row r="1277" ht="18" customHeight="1"/>
    <x:row r="1278" ht="18" customHeight="1"/>
    <x:row r="1279" ht="18" customHeight="1"/>
    <x:row r="1280" ht="18" customHeight="1"/>
    <x:row r="1281" ht="18" customHeight="1"/>
    <x:row r="1282" ht="18" customHeight="1"/>
    <x:row r="1283" ht="18" customHeight="1"/>
    <x:row r="1284" ht="18" customHeight="1"/>
    <x:row r="1285" ht="18" customHeight="1"/>
    <x:row r="1286" ht="18" customHeight="1"/>
    <x:row r="1287" ht="18" customHeight="1"/>
    <x:row r="1288" ht="18" customHeight="1"/>
    <x:row r="1289" ht="18" customHeight="1"/>
    <x:row r="1290" ht="18" customHeight="1"/>
    <x:row r="1291" ht="18" customHeight="1"/>
    <x:row r="1292" ht="18" customHeight="1"/>
    <x:row r="1293" ht="18" customHeight="1"/>
    <x:row r="1294" ht="18" customHeight="1"/>
    <x:row r="1295" ht="18" customHeight="1"/>
    <x:row r="1296" ht="18" customHeight="1"/>
    <x:row r="1297" ht="18" customHeight="1"/>
    <x:row r="1298" ht="18" customHeight="1"/>
    <x:row r="1299" ht="18" customHeight="1"/>
    <x:row r="1300" ht="18" customHeight="1"/>
    <x:row r="1301" ht="18" customHeight="1"/>
    <x:row r="1302" ht="18" customHeight="1"/>
    <x:row r="1303" ht="18" customHeight="1"/>
    <x:row r="1304" ht="18" customHeight="1"/>
    <x:row r="1305" ht="18" customHeight="1"/>
    <x:row r="1306" ht="18" customHeight="1"/>
    <x:row r="1307" ht="18" customHeight="1"/>
    <x:row r="1308" ht="18" customHeight="1"/>
    <x:row r="1309" ht="18" customHeight="1"/>
    <x:row r="1310" ht="18" customHeight="1"/>
    <x:row r="1311" ht="18" customHeight="1"/>
    <x:row r="1312" ht="18" customHeight="1"/>
    <x:row r="1313" ht="18" customHeight="1"/>
    <x:row r="1314" ht="18" customHeight="1"/>
    <x:row r="1315" ht="18" customHeight="1"/>
    <x:row r="1316" ht="18" customHeight="1"/>
    <x:row r="1317" ht="18" customHeight="1"/>
    <x:row r="1318" ht="18" customHeight="1"/>
    <x:row r="1319" ht="18" customHeight="1"/>
    <x:row r="1320" ht="18" customHeight="1"/>
    <x:row r="1321" ht="18" customHeight="1"/>
    <x:row r="1322" ht="18" customHeight="1"/>
    <x:row r="1323" ht="18" customHeight="1"/>
    <x:row r="1324" ht="18" customHeight="1"/>
    <x:row r="1325" ht="18" customHeight="1"/>
    <x:row r="1326" ht="18" customHeight="1"/>
    <x:row r="1327" ht="18" customHeight="1"/>
    <x:row r="1328" ht="18" customHeight="1"/>
    <x:row r="1329" ht="18" customHeight="1"/>
    <x:row r="1330" ht="18" customHeight="1"/>
    <x:row r="1331" ht="18" customHeight="1"/>
    <x:row r="1332" ht="18" customHeight="1"/>
    <x:row r="1333" ht="18" customHeight="1"/>
    <x:row r="1334" ht="18" customHeight="1"/>
    <x:row r="1335" ht="18" customHeight="1"/>
    <x:row r="1336" ht="18" customHeight="1"/>
    <x:row r="1337" ht="18" customHeight="1"/>
    <x:row r="1338" ht="18" customHeight="1"/>
    <x:row r="1339" ht="18" customHeight="1"/>
    <x:row r="1340" ht="18" customHeight="1"/>
    <x:row r="1341" ht="18" customHeight="1"/>
    <x:row r="1342" ht="18" customHeight="1"/>
    <x:row r="1343" ht="18" customHeight="1"/>
    <x:row r="1344" ht="18" customHeight="1"/>
    <x:row r="1345" ht="18" customHeight="1"/>
    <x:row r="1346" ht="18" customHeight="1"/>
    <x:row r="1347" ht="18" customHeight="1"/>
    <x:row r="1348" ht="18" customHeight="1"/>
    <x:row r="1349" ht="18" customHeight="1"/>
    <x:row r="1350" ht="18" customHeight="1"/>
    <x:row r="1351" ht="18" customHeight="1"/>
    <x:row r="1352" ht="18" customHeight="1"/>
    <x:row r="1353" ht="18" customHeight="1"/>
    <x:row r="1354" ht="18" customHeight="1"/>
    <x:row r="1355" ht="18" customHeight="1"/>
    <x:row r="1356" ht="18" customHeight="1"/>
    <x:row r="1357" ht="18" customHeight="1"/>
    <x:row r="1358" ht="18" customHeight="1"/>
    <x:row r="1359" ht="18" customHeight="1"/>
    <x:row r="1360" ht="18" customHeight="1"/>
    <x:row r="1361" ht="18" customHeight="1"/>
    <x:row r="1362" ht="18" customHeight="1"/>
    <x:row r="1363" ht="18" customHeight="1"/>
    <x:row r="1364" ht="18" customHeight="1"/>
    <x:row r="1365" ht="18" customHeight="1"/>
    <x:row r="1366" ht="18" customHeight="1"/>
    <x:row r="1367" ht="18" customHeight="1"/>
    <x:row r="1368" ht="18" customHeight="1"/>
    <x:row r="1369" ht="18" customHeight="1"/>
    <x:row r="1370" ht="18" customHeight="1"/>
    <x:row r="1371" ht="18" customHeight="1"/>
    <x:row r="1372" ht="18" customHeight="1"/>
    <x:row r="1373" ht="18" customHeight="1"/>
    <x:row r="1374" ht="18" customHeight="1"/>
    <x:row r="1375" ht="18" customHeight="1"/>
    <x:row r="1376" ht="18" customHeight="1"/>
    <x:row r="1377" ht="18" customHeight="1"/>
    <x:row r="1378" ht="18" customHeight="1"/>
    <x:row r="1379" ht="18" customHeight="1"/>
    <x:row r="1380" ht="18" customHeight="1"/>
    <x:row r="1381" ht="18" customHeight="1"/>
    <x:row r="1382" ht="18" customHeight="1"/>
    <x:row r="1383" ht="18" customHeight="1"/>
    <x:row r="1384" ht="18" customHeight="1"/>
    <x:row r="1385" ht="18" customHeight="1"/>
    <x:row r="1386" ht="18" customHeight="1"/>
    <x:row r="1387" ht="18" customHeight="1"/>
    <x:row r="1388" ht="18" customHeight="1"/>
    <x:row r="1389" ht="18" customHeight="1"/>
    <x:row r="1390" ht="18" customHeight="1"/>
    <x:row r="1391" ht="18" customHeight="1"/>
    <x:row r="1392" ht="18" customHeight="1"/>
    <x:row r="1393" ht="18" customHeight="1"/>
    <x:row r="1394" ht="18" customHeight="1"/>
    <x:row r="1395" ht="18" customHeight="1"/>
    <x:row r="1396" ht="18" customHeight="1"/>
    <x:row r="1397" ht="18" customHeight="1"/>
    <x:row r="1398" ht="18" customHeight="1"/>
    <x:row r="1399" ht="18" customHeight="1"/>
    <x:row r="1400" ht="18" customHeight="1"/>
    <x:row r="1401" ht="18" customHeight="1"/>
    <x:row r="1402" ht="18" customHeight="1"/>
    <x:row r="1403" ht="18" customHeight="1"/>
    <x:row r="1404" ht="18" customHeight="1"/>
    <x:row r="1405" ht="18" customHeight="1"/>
    <x:row r="1406" ht="18" customHeight="1"/>
    <x:row r="1407" ht="18" customHeight="1"/>
    <x:row r="1408" ht="18" customHeight="1"/>
    <x:row r="1409" ht="18" customHeight="1"/>
    <x:row r="1410" ht="18" customHeight="1"/>
    <x:row r="1411" ht="18" customHeight="1"/>
    <x:row r="1412" ht="18" customHeight="1"/>
    <x:row r="1413" ht="18" customHeight="1"/>
    <x:row r="1414" ht="18" customHeight="1"/>
    <x:row r="1415" ht="18" customHeight="1"/>
    <x:row r="1416" ht="18" customHeight="1"/>
    <x:row r="1417" ht="18" customHeight="1"/>
    <x:row r="1418" ht="18" customHeight="1"/>
    <x:row r="1419" ht="18" customHeight="1"/>
    <x:row r="1420" ht="18" customHeight="1"/>
    <x:row r="1421" ht="18" customHeight="1"/>
    <x:row r="1422" ht="18" customHeight="1"/>
    <x:row r="1423" ht="18" customHeight="1"/>
    <x:row r="1424" ht="18" customHeight="1"/>
    <x:row r="1425" ht="18" customHeight="1"/>
    <x:row r="1426" ht="18" customHeight="1"/>
    <x:row r="1427" ht="18" customHeight="1"/>
    <x:row r="1428" ht="18" customHeight="1"/>
    <x:row r="1429" ht="18" customHeight="1"/>
    <x:row r="1430" ht="18" customHeight="1"/>
    <x:row r="1431" ht="18" customHeight="1"/>
    <x:row r="1432" ht="18" customHeight="1"/>
    <x:row r="1433" ht="18" customHeight="1"/>
    <x:row r="1434" ht="18" customHeight="1"/>
    <x:row r="1435" ht="18" customHeight="1"/>
    <x:row r="1436" ht="18" customHeight="1"/>
    <x:row r="1437" ht="18" customHeight="1"/>
    <x:row r="1438" ht="18" customHeight="1"/>
    <x:row r="1439" ht="18" customHeight="1"/>
    <x:row r="1440" ht="18" customHeight="1"/>
    <x:row r="1441" ht="18" customHeight="1"/>
    <x:row r="1442" ht="18" customHeight="1"/>
    <x:row r="1443" ht="18" customHeight="1"/>
    <x:row r="1444" ht="18" customHeight="1"/>
    <x:row r="1445" ht="18" customHeight="1"/>
    <x:row r="1446" ht="18" customHeight="1"/>
    <x:row r="1447" ht="18" customHeight="1"/>
    <x:row r="1448" ht="18" customHeight="1"/>
    <x:row r="1449" ht="18" customHeight="1"/>
    <x:row r="1450" ht="18" customHeight="1"/>
    <x:row r="1451" ht="18" customHeight="1"/>
    <x:row r="1452" ht="18" customHeight="1"/>
    <x:row r="1453" ht="18" customHeight="1"/>
    <x:row r="1454" ht="18" customHeight="1"/>
    <x:row r="1455" ht="18" customHeight="1"/>
    <x:row r="1456" ht="18" customHeight="1"/>
    <x:row r="1457" ht="18" customHeight="1"/>
    <x:row r="1458" ht="18" customHeight="1"/>
    <x:row r="1459" ht="18" customHeight="1"/>
    <x:row r="1460" ht="18" customHeight="1"/>
    <x:row r="1461" ht="18" customHeight="1"/>
    <x:row r="1462" ht="18" customHeight="1"/>
    <x:row r="1463" ht="18" customHeight="1"/>
    <x:row r="1464" ht="18" customHeight="1"/>
    <x:row r="1465" ht="18" customHeight="1"/>
    <x:row r="1466" ht="18" customHeight="1"/>
    <x:row r="1467" ht="18" customHeight="1"/>
    <x:row r="1468" ht="18" customHeight="1"/>
    <x:row r="1469" ht="18" customHeight="1"/>
    <x:row r="1470" ht="18" customHeight="1"/>
    <x:row r="1471" ht="18" customHeight="1"/>
    <x:row r="1472" ht="18" customHeight="1"/>
    <x:row r="1473" ht="18" customHeight="1"/>
    <x:row r="1474" ht="18" customHeight="1"/>
    <x:row r="1475" ht="18" customHeight="1"/>
    <x:row r="1476" ht="18" customHeight="1"/>
    <x:row r="1477" ht="18" customHeight="1"/>
    <x:row r="1478" ht="18" customHeight="1"/>
    <x:row r="1479" ht="18" customHeight="1"/>
    <x:row r="1480" ht="18" customHeight="1"/>
    <x:row r="1481" ht="18" customHeight="1"/>
    <x:row r="1482" ht="18" customHeight="1"/>
    <x:row r="1483" ht="18" customHeight="1"/>
    <x:row r="1484" ht="18" customHeight="1"/>
    <x:row r="1485" ht="18" customHeight="1"/>
    <x:row r="1486" ht="18" customHeight="1"/>
    <x:row r="1487" ht="18" customHeight="1"/>
    <x:row r="1488" ht="18" customHeight="1"/>
    <x:row r="1489" ht="18" customHeight="1"/>
    <x:row r="1490" ht="18" customHeight="1"/>
    <x:row r="1491" ht="18" customHeight="1"/>
    <x:row r="1492" ht="18" customHeight="1"/>
    <x:row r="1493" ht="18" customHeight="1"/>
    <x:row r="1494" ht="18" customHeight="1"/>
    <x:row r="1495" ht="18" customHeight="1"/>
    <x:row r="1496" ht="18" customHeight="1"/>
    <x:row r="1497" ht="18" customHeight="1"/>
    <x:row r="1498" ht="18" customHeight="1"/>
    <x:row r="1499" ht="18" customHeight="1"/>
    <x:row r="1500" ht="18" customHeight="1"/>
    <x:row r="1501" ht="18" customHeight="1"/>
    <x:row r="1502" ht="18" customHeight="1"/>
    <x:row r="1503" ht="18" customHeight="1"/>
    <x:row r="1504" ht="18" customHeight="1"/>
    <x:row r="1505" ht="18" customHeight="1"/>
    <x:row r="1506" ht="18" customHeight="1"/>
    <x:row r="1507" ht="18" customHeight="1"/>
    <x:row r="1508" ht="18" customHeight="1"/>
    <x:row r="1509" ht="18" customHeight="1"/>
    <x:row r="1510" ht="18" customHeight="1"/>
    <x:row r="1511" ht="18" customHeight="1"/>
    <x:row r="1512" ht="18" customHeight="1"/>
    <x:row r="1513" ht="18" customHeight="1"/>
    <x:row r="1514" ht="18" customHeight="1"/>
    <x:row r="1515" ht="18" customHeight="1"/>
    <x:row r="1516" ht="18" customHeight="1"/>
    <x:row r="1517" ht="18" customHeight="1"/>
    <x:row r="1518" ht="18" customHeight="1"/>
    <x:row r="1519" ht="18" customHeight="1"/>
    <x:row r="1520" ht="18" customHeight="1"/>
    <x:row r="1521" ht="18" customHeight="1"/>
    <x:row r="1522" ht="18" customHeight="1"/>
    <x:row r="1523" ht="18" customHeight="1"/>
    <x:row r="1524" ht="18" customHeight="1"/>
    <x:row r="1525" ht="18" customHeight="1"/>
    <x:row r="1526" ht="18" customHeight="1"/>
    <x:row r="1527" ht="18" customHeight="1"/>
    <x:row r="1528" ht="18" customHeight="1"/>
    <x:row r="1529" ht="18" customHeight="1"/>
    <x:row r="1530" ht="18" customHeight="1"/>
    <x:row r="1531" ht="18" customHeight="1"/>
    <x:row r="1532" ht="18" customHeight="1"/>
    <x:row r="1533" ht="18" customHeight="1"/>
    <x:row r="1534" ht="18" customHeight="1"/>
    <x:row r="1535" ht="18" customHeight="1"/>
    <x:row r="1536" ht="18" customHeight="1"/>
    <x:row r="1537" ht="18" customHeight="1"/>
    <x:row r="1538" ht="18" customHeight="1"/>
    <x:row r="1539" ht="18" customHeight="1"/>
    <x:row r="1540" ht="18" customHeight="1"/>
    <x:row r="1541" ht="18" customHeight="1"/>
    <x:row r="1542" ht="18" customHeight="1"/>
    <x:row r="1543" ht="18" customHeight="1"/>
    <x:row r="1544" ht="18" customHeight="1"/>
    <x:row r="1545" ht="18" customHeight="1"/>
    <x:row r="1546" ht="18" customHeight="1"/>
    <x:row r="1547" ht="18" customHeight="1"/>
    <x:row r="1548" ht="18" customHeight="1"/>
    <x:row r="1549" ht="18" customHeight="1"/>
    <x:row r="1550" ht="18" customHeight="1"/>
    <x:row r="1551" ht="18" customHeight="1"/>
    <x:row r="1552" ht="18" customHeight="1"/>
    <x:row r="1553" ht="18" customHeight="1"/>
    <x:row r="1554" ht="18" customHeight="1"/>
    <x:row r="1555" ht="18" customHeight="1"/>
    <x:row r="1556" ht="18" customHeight="1"/>
    <x:row r="1557" ht="18" customHeight="1"/>
    <x:row r="1558" ht="18" customHeight="1"/>
    <x:row r="1559" ht="18" customHeight="1"/>
    <x:row r="1560" ht="18" customHeight="1"/>
    <x:row r="1561" ht="18" customHeight="1"/>
    <x:row r="1562" ht="18" customHeight="1"/>
    <x:row r="1563" ht="18" customHeight="1"/>
    <x:row r="1564" ht="18" customHeight="1"/>
    <x:row r="1565" ht="18" customHeight="1"/>
    <x:row r="1566" ht="18" customHeight="1"/>
    <x:row r="1567" ht="18" customHeight="1"/>
    <x:row r="1568" ht="18" customHeight="1"/>
    <x:row r="1569" ht="18" customHeight="1"/>
    <x:row r="1570" ht="18" customHeight="1"/>
    <x:row r="1571" ht="18" customHeight="1"/>
    <x:row r="1572" ht="18" customHeight="1"/>
    <x:row r="1573" ht="18" customHeight="1"/>
    <x:row r="1574" ht="18" customHeight="1"/>
    <x:row r="1575" ht="18" customHeight="1"/>
    <x:row r="1576" ht="18" customHeight="1"/>
    <x:row r="1577" ht="18" customHeight="1"/>
    <x:row r="1578" ht="18" customHeight="1"/>
    <x:row r="1579" ht="18" customHeight="1"/>
    <x:row r="1580" ht="18" customHeight="1"/>
    <x:row r="1581" ht="18" customHeight="1"/>
    <x:row r="1582" ht="18" customHeight="1"/>
    <x:row r="1583" ht="18" customHeight="1"/>
    <x:row r="1584" ht="18" customHeight="1"/>
    <x:row r="1585" ht="18" customHeight="1"/>
    <x:row r="1586" ht="18" customHeight="1"/>
    <x:row r="1587" ht="18" customHeight="1"/>
    <x:row r="1588" ht="18" customHeight="1"/>
    <x:row r="1589" ht="18" customHeight="1"/>
    <x:row r="1590" ht="18" customHeight="1"/>
    <x:row r="1591" ht="18" customHeight="1"/>
    <x:row r="1592" ht="18" customHeight="1"/>
    <x:row r="1593" ht="18" customHeight="1"/>
    <x:row r="1594" ht="18" customHeight="1"/>
    <x:row r="1595" ht="18" customHeight="1"/>
    <x:row r="1596" ht="18" customHeight="1"/>
    <x:row r="1597" ht="18" customHeight="1"/>
    <x:row r="1598" ht="18" customHeight="1"/>
    <x:row r="1599" ht="18" customHeight="1"/>
    <x:row r="1600" ht="18" customHeight="1"/>
    <x:row r="1601" ht="18" customHeight="1"/>
    <x:row r="1602" ht="18" customHeight="1"/>
    <x:row r="1603" ht="18" customHeight="1"/>
    <x:row r="1604" ht="18" customHeight="1"/>
    <x:row r="1605" ht="18" customHeight="1"/>
    <x:row r="1606" ht="18" customHeight="1"/>
    <x:row r="1607" ht="18" customHeight="1"/>
    <x:row r="1608" ht="18" customHeight="1"/>
    <x:row r="1609" ht="18" customHeight="1"/>
    <x:row r="1610" ht="18" customHeight="1"/>
    <x:row r="1611" ht="18" customHeight="1"/>
    <x:row r="1612" ht="18" customHeight="1"/>
    <x:row r="1613" ht="18" customHeight="1"/>
    <x:row r="1614" ht="18" customHeight="1"/>
    <x:row r="1615" ht="18" customHeight="1"/>
    <x:row r="1616" ht="18" customHeight="1"/>
    <x:row r="1617" ht="18" customHeight="1"/>
    <x:row r="1618" ht="18" customHeight="1"/>
    <x:row r="1619" ht="18" customHeight="1"/>
    <x:row r="1620" ht="18" customHeight="1"/>
    <x:row r="1621" ht="18" customHeight="1"/>
    <x:row r="1622" ht="18" customHeight="1"/>
    <x:row r="1623" ht="18" customHeight="1"/>
    <x:row r="1624" ht="18" customHeight="1"/>
    <x:row r="1625" ht="18" customHeight="1"/>
    <x:row r="1626" ht="18" customHeight="1"/>
    <x:row r="1627" ht="18" customHeight="1"/>
    <x:row r="1628" ht="18" customHeight="1"/>
    <x:row r="1629" ht="18" customHeight="1"/>
    <x:row r="1630" ht="18" customHeight="1"/>
    <x:row r="1631" ht="18" customHeight="1"/>
    <x:row r="1632" ht="18" customHeight="1"/>
    <x:row r="1633" ht="18" customHeight="1"/>
    <x:row r="1634" ht="18" customHeight="1"/>
    <x:row r="1635" ht="18" customHeight="1"/>
    <x:row r="1636" ht="18" customHeight="1"/>
    <x:row r="1637" ht="18" customHeight="1"/>
    <x:row r="1638" ht="18" customHeight="1"/>
    <x:row r="1639" ht="18" customHeight="1"/>
    <x:row r="1640" ht="18" customHeight="1"/>
    <x:row r="1641" ht="18" customHeight="1"/>
    <x:row r="1642" ht="18" customHeight="1"/>
    <x:row r="1643" ht="18" customHeight="1"/>
    <x:row r="1644" ht="18" customHeight="1"/>
    <x:row r="1645" ht="18" customHeight="1"/>
    <x:row r="1646" ht="18" customHeight="1"/>
    <x:row r="1647" ht="18" customHeight="1"/>
    <x:row r="1648" ht="18" customHeight="1"/>
    <x:row r="1649" ht="18" customHeight="1"/>
    <x:row r="1650" ht="18" customHeight="1"/>
    <x:row r="1651" ht="18" customHeight="1"/>
    <x:row r="1652" ht="18" customHeight="1"/>
    <x:row r="1653" ht="18" customHeight="1"/>
    <x:row r="1654" ht="18" customHeight="1"/>
    <x:row r="1655" ht="18" customHeight="1"/>
    <x:row r="1656" ht="18" customHeight="1"/>
    <x:row r="1657" ht="18" customHeight="1"/>
    <x:row r="1658" ht="18" customHeight="1"/>
    <x:row r="1659" ht="18" customHeight="1"/>
    <x:row r="1660" ht="18" customHeight="1"/>
    <x:row r="1661" ht="18" customHeight="1"/>
    <x:row r="1662" ht="18" customHeight="1"/>
    <x:row r="1663" ht="18" customHeight="1"/>
    <x:row r="1664" ht="18" customHeight="1"/>
    <x:row r="1665" ht="18" customHeight="1"/>
    <x:row r="1666" ht="18" customHeight="1"/>
    <x:row r="1667" ht="18" customHeight="1"/>
    <x:row r="1668" ht="18" customHeight="1"/>
    <x:row r="1669" ht="18" customHeight="1"/>
    <x:row r="1670" ht="18" customHeight="1"/>
    <x:row r="1671" ht="18" customHeight="1"/>
    <x:row r="1672" ht="18" customHeight="1"/>
    <x:row r="1673" ht="18" customHeight="1"/>
    <x:row r="1674" ht="18" customHeight="1"/>
    <x:row r="1675" ht="18" customHeight="1"/>
    <x:row r="1676" ht="18" customHeight="1"/>
    <x:row r="1677" ht="18" customHeight="1"/>
    <x:row r="1678" ht="18" customHeight="1"/>
    <x:row r="1679" ht="18" customHeight="1"/>
    <x:row r="1680" ht="18" customHeight="1"/>
    <x:row r="1681" ht="18" customHeight="1"/>
    <x:row r="1682" ht="18" customHeight="1"/>
    <x:row r="1683" ht="18" customHeight="1"/>
    <x:row r="1684" ht="18" customHeight="1"/>
    <x:row r="1685" ht="18" customHeight="1"/>
    <x:row r="1686" ht="18" customHeight="1"/>
    <x:row r="1687" ht="18" customHeight="1"/>
    <x:row r="1688" ht="18" customHeight="1"/>
    <x:row r="1689" ht="18" customHeight="1"/>
    <x:row r="1690" ht="18" customHeight="1"/>
    <x:row r="1691" ht="18" customHeight="1"/>
    <x:row r="1692" ht="18" customHeight="1"/>
    <x:row r="1693" ht="18" customHeight="1"/>
    <x:row r="1694" ht="18" customHeight="1"/>
    <x:row r="1695" ht="18" customHeight="1"/>
    <x:row r="1696" ht="18" customHeight="1"/>
    <x:row r="1697" ht="18" customHeight="1"/>
    <x:row r="1698" ht="18" customHeight="1"/>
    <x:row r="1699" ht="18" customHeight="1"/>
    <x:row r="1700" ht="18" customHeight="1"/>
    <x:row r="1701" ht="18" customHeight="1"/>
    <x:row r="1702" ht="18" customHeight="1"/>
    <x:row r="1703" ht="18" customHeight="1"/>
    <x:row r="1704" ht="18" customHeight="1"/>
    <x:row r="1705" ht="18" customHeight="1"/>
    <x:row r="1706" ht="18" customHeight="1"/>
    <x:row r="1707" ht="18" customHeight="1"/>
    <x:row r="1708" ht="18" customHeight="1"/>
    <x:row r="1709" ht="18" customHeight="1"/>
    <x:row r="1710" ht="18" customHeight="1"/>
    <x:row r="1711" ht="18" customHeight="1"/>
    <x:row r="1712" ht="18" customHeight="1"/>
    <x:row r="1713" ht="18" customHeight="1"/>
    <x:row r="1714" ht="18" customHeight="1"/>
    <x:row r="1715" ht="18" customHeight="1"/>
    <x:row r="1716" ht="18" customHeight="1"/>
    <x:row r="1717" ht="18" customHeight="1"/>
    <x:row r="1718" ht="18" customHeight="1"/>
    <x:row r="1719" ht="18" customHeight="1"/>
    <x:row r="1720" ht="18" customHeight="1"/>
    <x:row r="1721" ht="18" customHeight="1"/>
    <x:row r="1722" ht="18" customHeight="1"/>
    <x:row r="1723" ht="18" customHeight="1"/>
    <x:row r="1724" ht="18" customHeight="1"/>
    <x:row r="1725" ht="18" customHeight="1"/>
    <x:row r="1726" ht="18" customHeight="1"/>
    <x:row r="1727" ht="18" customHeight="1"/>
    <x:row r="1728" ht="18" customHeight="1"/>
    <x:row r="1729" ht="18" customHeight="1"/>
    <x:row r="1730" ht="18" customHeight="1"/>
    <x:row r="1731" ht="18" customHeight="1"/>
    <x:row r="1732" ht="18" customHeight="1"/>
    <x:row r="1733" ht="18" customHeight="1"/>
    <x:row r="1734" ht="18" customHeight="1"/>
    <x:row r="1735" ht="18" customHeight="1"/>
    <x:row r="1736" ht="18" customHeight="1"/>
    <x:row r="1737" ht="18" customHeight="1"/>
    <x:row r="1738" ht="18" customHeight="1"/>
    <x:row r="1739" ht="18" customHeight="1"/>
    <x:row r="1740" ht="18" customHeight="1"/>
    <x:row r="1741" ht="18" customHeight="1"/>
    <x:row r="1742" ht="18" customHeight="1"/>
    <x:row r="1743" ht="18" customHeight="1"/>
    <x:row r="1744" ht="18" customHeight="1"/>
    <x:row r="1745" ht="18" customHeight="1"/>
    <x:row r="1746" ht="18" customHeight="1"/>
    <x:row r="1747" ht="18" customHeight="1"/>
    <x:row r="1748" ht="18" customHeight="1"/>
    <x:row r="1749" ht="18" customHeight="1"/>
    <x:row r="1750" ht="18" customHeight="1"/>
    <x:row r="1751" ht="18" customHeight="1"/>
    <x:row r="1752" ht="18" customHeight="1"/>
    <x:row r="1753" ht="18" customHeight="1"/>
    <x:row r="1754" ht="18" customHeight="1"/>
    <x:row r="1755" ht="18" customHeight="1"/>
    <x:row r="1756" ht="18" customHeight="1"/>
    <x:row r="1757" ht="18" customHeight="1"/>
    <x:row r="1758" ht="18" customHeight="1"/>
    <x:row r="1759" ht="18" customHeight="1"/>
    <x:row r="1760" ht="18" customHeight="1"/>
    <x:row r="1761" ht="18" customHeight="1"/>
    <x:row r="1762" ht="18" customHeight="1"/>
    <x:row r="1763" ht="18" customHeight="1"/>
    <x:row r="1764" ht="18" customHeight="1"/>
    <x:row r="1765" ht="18" customHeight="1"/>
    <x:row r="1766" ht="18" customHeight="1"/>
    <x:row r="1767" ht="18" customHeight="1"/>
    <x:row r="1768" ht="18" customHeight="1"/>
    <x:row r="1769" ht="18" customHeight="1"/>
    <x:row r="1770" ht="18" customHeight="1"/>
    <x:row r="1771" ht="18" customHeight="1"/>
    <x:row r="1772" ht="18" customHeight="1"/>
    <x:row r="1773" ht="18" customHeight="1"/>
    <x:row r="1774" ht="18" customHeight="1"/>
    <x:row r="1775" ht="18" customHeight="1"/>
    <x:row r="1776" ht="18" customHeight="1"/>
    <x:row r="1777" ht="18" customHeight="1"/>
    <x:row r="1778" ht="18" customHeight="1"/>
    <x:row r="1779" ht="18" customHeight="1"/>
    <x:row r="1780" ht="18" customHeight="1"/>
    <x:row r="1781" ht="18" customHeight="1"/>
    <x:row r="1782" ht="18" customHeight="1"/>
    <x:row r="1783" ht="18" customHeight="1"/>
    <x:row r="1784" ht="18" customHeight="1"/>
    <x:row r="1785" ht="18" customHeight="1"/>
    <x:row r="1786" ht="18" customHeight="1"/>
    <x:row r="1787" ht="18" customHeight="1"/>
    <x:row r="1788" ht="18" customHeight="1"/>
    <x:row r="1789" ht="18" customHeight="1"/>
    <x:row r="1790" ht="18" customHeight="1"/>
    <x:row r="1791" ht="18" customHeight="1"/>
    <x:row r="1792" ht="18" customHeight="1"/>
    <x:row r="1793" ht="18" customHeight="1"/>
    <x:row r="1794" ht="18" customHeight="1"/>
    <x:row r="1795" ht="18" customHeight="1"/>
    <x:row r="1796" ht="18" customHeight="1"/>
    <x:row r="1797" ht="18" customHeight="1"/>
    <x:row r="1798" ht="18" customHeight="1"/>
    <x:row r="1799" ht="18" customHeight="1"/>
    <x:row r="1800" ht="18" customHeight="1"/>
    <x:row r="1801" ht="18" customHeight="1"/>
    <x:row r="1802" ht="18" customHeight="1"/>
    <x:row r="1803" ht="18" customHeight="1"/>
    <x:row r="1804" ht="18" customHeight="1"/>
    <x:row r="1805" ht="18" customHeight="1"/>
    <x:row r="1806" ht="18" customHeight="1"/>
    <x:row r="1807" ht="18" customHeight="1"/>
    <x:row r="1808" ht="18" customHeight="1"/>
    <x:row r="1809" ht="18" customHeight="1"/>
    <x:row r="1810" ht="18" customHeight="1"/>
    <x:row r="1811" ht="18" customHeight="1"/>
    <x:row r="1812" ht="18" customHeight="1"/>
    <x:row r="1813" ht="18" customHeight="1"/>
    <x:row r="1814" ht="18" customHeight="1"/>
    <x:row r="1815" ht="18" customHeight="1"/>
    <x:row r="1816" ht="18" customHeight="1"/>
    <x:row r="1817" ht="18" customHeight="1"/>
    <x:row r="1818" ht="18" customHeight="1"/>
    <x:row r="1819" ht="18" customHeight="1"/>
    <x:row r="1820" ht="18" customHeight="1"/>
    <x:row r="1821" ht="18" customHeight="1"/>
    <x:row r="1822" ht="18" customHeight="1"/>
    <x:row r="1823" ht="18" customHeight="1"/>
    <x:row r="1824" ht="18" customHeight="1"/>
    <x:row r="1825" ht="18" customHeight="1"/>
    <x:row r="1826" ht="18" customHeight="1"/>
    <x:row r="1827" ht="18" customHeight="1"/>
    <x:row r="1828" ht="18" customHeight="1"/>
    <x:row r="1829" ht="18" customHeight="1"/>
    <x:row r="1830" ht="18" customHeight="1"/>
    <x:row r="1831" ht="18" customHeight="1"/>
    <x:row r="1832" ht="18" customHeight="1"/>
    <x:row r="1833" ht="18" customHeight="1"/>
    <x:row r="1834" ht="18" customHeight="1"/>
    <x:row r="1835" ht="18" customHeight="1"/>
    <x:row r="1836" ht="18" customHeight="1"/>
    <x:row r="1837" ht="18" customHeight="1"/>
    <x:row r="1838" ht="18" customHeight="1"/>
    <x:row r="1839" ht="18" customHeight="1"/>
    <x:row r="1840" ht="18" customHeight="1"/>
    <x:row r="1841" ht="18" customHeight="1"/>
    <x:row r="1842" ht="18" customHeight="1"/>
    <x:row r="1843" ht="18" customHeight="1"/>
    <x:row r="1844" ht="18" customHeight="1"/>
    <x:row r="1845" ht="18" customHeight="1"/>
    <x:row r="1846" ht="18" customHeight="1"/>
    <x:row r="1847" ht="18" customHeight="1"/>
    <x:row r="1848" ht="18" customHeight="1"/>
    <x:row r="1849" ht="18" customHeight="1"/>
    <x:row r="1850" ht="18" customHeight="1"/>
    <x:row r="1851" ht="18" customHeight="1"/>
    <x:row r="1852" ht="18" customHeight="1"/>
    <x:row r="1853" ht="18" customHeight="1"/>
    <x:row r="1854" ht="18" customHeight="1"/>
    <x:row r="1855" ht="18" customHeight="1"/>
    <x:row r="1856" ht="18" customHeight="1"/>
    <x:row r="1857" ht="18" customHeight="1"/>
    <x:row r="1858" ht="18" customHeight="1"/>
    <x:row r="1859" ht="18" customHeight="1"/>
    <x:row r="1860" ht="18" customHeight="1"/>
    <x:row r="1861" ht="18" customHeight="1"/>
    <x:row r="1862" ht="18" customHeight="1"/>
    <x:row r="1863" ht="18" customHeight="1"/>
    <x:row r="1864" ht="18" customHeight="1"/>
    <x:row r="1865" ht="18" customHeight="1"/>
    <x:row r="1866" ht="18" customHeight="1"/>
    <x:row r="1867" ht="18" customHeight="1"/>
    <x:row r="1868" ht="18" customHeight="1"/>
    <x:row r="1869" ht="18" customHeight="1"/>
    <x:row r="1870" ht="18" customHeight="1"/>
    <x:row r="1871" ht="18" customHeight="1"/>
    <x:row r="1872" ht="18" customHeight="1"/>
    <x:row r="1873" ht="18" customHeight="1"/>
    <x:row r="1874" ht="18" customHeight="1"/>
    <x:row r="1875" ht="18" customHeight="1"/>
    <x:row r="1876" ht="18" customHeight="1"/>
    <x:row r="1877" ht="18" customHeight="1"/>
    <x:row r="1878" ht="18" customHeight="1"/>
    <x:row r="1879" ht="18" customHeight="1"/>
    <x:row r="1880" ht="18" customHeight="1"/>
    <x:row r="1881" ht="18" customHeight="1"/>
    <x:row r="1882" ht="18" customHeight="1"/>
    <x:row r="1883" ht="18" customHeight="1"/>
    <x:row r="1884" ht="18" customHeight="1"/>
    <x:row r="1885" ht="18" customHeight="1"/>
    <x:row r="1886" ht="18" customHeight="1"/>
    <x:row r="1887" ht="18" customHeight="1"/>
    <x:row r="1888" ht="18" customHeight="1"/>
    <x:row r="1889" ht="18" customHeight="1"/>
    <x:row r="1890" ht="18" customHeight="1"/>
    <x:row r="1891" ht="18" customHeight="1"/>
    <x:row r="1892" ht="18" customHeight="1"/>
    <x:row r="1893" ht="18" customHeight="1"/>
    <x:row r="1894" ht="18" customHeight="1"/>
    <x:row r="1895" ht="18" customHeight="1"/>
    <x:row r="1896" ht="18" customHeight="1"/>
    <x:row r="1897" ht="18" customHeight="1"/>
    <x:row r="1898" ht="18" customHeight="1"/>
    <x:row r="1899" ht="18" customHeight="1"/>
    <x:row r="1900" ht="18" customHeight="1"/>
    <x:row r="1901" ht="18" customHeight="1"/>
    <x:row r="1902" ht="18" customHeight="1"/>
    <x:row r="1903" ht="18" customHeight="1"/>
    <x:row r="1904" ht="18" customHeight="1"/>
    <x:row r="1905" ht="18" customHeight="1"/>
    <x:row r="1906" ht="18" customHeight="1"/>
    <x:row r="1907" ht="18" customHeight="1"/>
    <x:row r="1908" ht="18" customHeight="1"/>
    <x:row r="1909" ht="18" customHeight="1"/>
    <x:row r="1910" ht="18" customHeight="1"/>
    <x:row r="1911" ht="18" customHeight="1"/>
    <x:row r="1912" ht="18" customHeight="1"/>
    <x:row r="1913" ht="18" customHeight="1"/>
    <x:row r="1914" ht="18" customHeight="1"/>
    <x:row r="1915" ht="18" customHeight="1"/>
    <x:row r="1916" ht="18" customHeight="1"/>
    <x:row r="1917" ht="18" customHeight="1"/>
    <x:row r="1918" ht="18" customHeight="1"/>
    <x:row r="1919" ht="18" customHeight="1"/>
    <x:row r="1920" ht="18" customHeight="1"/>
    <x:row r="1921" ht="18" customHeight="1"/>
    <x:row r="1922" ht="18" customHeight="1"/>
    <x:row r="1923" ht="18" customHeight="1"/>
    <x:row r="1924" ht="18" customHeight="1"/>
    <x:row r="1925" ht="18" customHeight="1"/>
    <x:row r="1926" ht="18" customHeight="1"/>
    <x:row r="1927" ht="18" customHeight="1"/>
    <x:row r="1928" ht="18" customHeight="1"/>
    <x:row r="1929" ht="18" customHeight="1"/>
    <x:row r="1930" ht="18" customHeight="1"/>
    <x:row r="1931" ht="18" customHeight="1"/>
    <x:row r="1932" ht="18" customHeight="1"/>
    <x:row r="1933" ht="18" customHeight="1"/>
    <x:row r="1934" ht="18" customHeight="1"/>
    <x:row r="1935" ht="18" customHeight="1"/>
    <x:row r="1936" ht="18" customHeight="1"/>
    <x:row r="1937" ht="18" customHeight="1"/>
    <x:row r="1938" ht="18" customHeight="1"/>
    <x:row r="1939" ht="18" customHeight="1"/>
    <x:row r="1940" ht="18" customHeight="1"/>
    <x:row r="1941" ht="18" customHeight="1"/>
    <x:row r="1942" ht="18" customHeight="1"/>
    <x:row r="1943" ht="18" customHeight="1"/>
    <x:row r="1944" ht="18" customHeight="1"/>
    <x:row r="1945" ht="18" customHeight="1"/>
    <x:row r="1946" ht="18" customHeight="1"/>
    <x:row r="1947" ht="18" customHeight="1"/>
    <x:row r="1948" ht="18" customHeight="1"/>
    <x:row r="1949" ht="18" customHeight="1"/>
    <x:row r="1950" ht="18" customHeight="1"/>
    <x:row r="1951" ht="18" customHeight="1"/>
    <x:row r="1952" ht="18" customHeight="1"/>
    <x:row r="1953" ht="18" customHeight="1"/>
    <x:row r="1954" ht="18" customHeight="1"/>
    <x:row r="1955" ht="18" customHeight="1"/>
    <x:row r="1956" ht="18" customHeight="1"/>
    <x:row r="1957" ht="18" customHeight="1"/>
    <x:row r="1958" ht="18" customHeight="1"/>
    <x:row r="1959" ht="18" customHeight="1"/>
    <x:row r="1960" ht="18" customHeight="1"/>
    <x:row r="1961" ht="18" customHeight="1"/>
    <x:row r="1962" ht="18" customHeight="1"/>
    <x:row r="1963" ht="18" customHeight="1"/>
    <x:row r="1964" ht="18" customHeight="1"/>
    <x:row r="1965" ht="18" customHeight="1"/>
    <x:row r="1966" ht="18" customHeight="1"/>
    <x:row r="1967" ht="18" customHeight="1"/>
    <x:row r="1968" ht="18" customHeight="1"/>
    <x:row r="1969" ht="18" customHeight="1"/>
    <x:row r="1970" ht="18" customHeight="1"/>
    <x:row r="1971" ht="18" customHeight="1"/>
    <x:row r="1972" ht="18" customHeight="1"/>
    <x:row r="1973" ht="18" customHeight="1"/>
    <x:row r="1974" ht="18" customHeight="1"/>
    <x:row r="1975" ht="18" customHeight="1"/>
    <x:row r="1976" ht="18" customHeight="1"/>
    <x:row r="1977" ht="18" customHeight="1"/>
    <x:row r="1978" ht="18" customHeight="1"/>
    <x:row r="1979" ht="18" customHeight="1"/>
    <x:row r="1980" ht="18" customHeight="1"/>
    <x:row r="1981" ht="18" customHeight="1"/>
    <x:row r="1982" ht="18" customHeight="1"/>
    <x:row r="1983" ht="18" customHeight="1"/>
    <x:row r="1984" ht="18" customHeight="1"/>
    <x:row r="1985" ht="18" customHeight="1"/>
    <x:row r="1986" ht="18" customHeight="1"/>
    <x:row r="1987" ht="18" customHeight="1"/>
    <x:row r="1988" ht="18" customHeight="1"/>
    <x:row r="1989" ht="18" customHeight="1"/>
    <x:row r="1990" ht="18" customHeight="1"/>
    <x:row r="1991" ht="18" customHeight="1"/>
    <x:row r="1992" ht="18" customHeight="1"/>
    <x:row r="1993" ht="18" customHeight="1"/>
    <x:row r="1994" ht="18" customHeight="1"/>
    <x:row r="1995" ht="18" customHeight="1"/>
    <x:row r="1996" ht="18" customHeight="1"/>
    <x:row r="1997" ht="18" customHeight="1"/>
    <x:row r="1998" ht="18" customHeight="1"/>
    <x:row r="1999" ht="18" customHeight="1"/>
    <x:row r="2000" ht="18" customHeight="1"/>
  </x:sheetData>
  <x:pageMargins left="0.7" right="0.7" top="0.75" bottom="0.75" header="0.3" footer="0.3"/>
  <x:tableParts count="1">
    <x:tablePart xmlns:r="http://schemas.openxmlformats.org/officeDocument/2006/relationships" r:id="Rd8ae14c88fe9498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0" hidden="0" customWidth="1"/>
    <x:col min="2" max="2" width="16" hidden="0" customWidth="1"/>
  </x:cols>
  <x:sheetData>
    <x:row r="1" ht="18" customHeight="1">
      <x:c r="A1" s="60" t="str">
        <x:v>Best Method Combination</x:v>
      </x:c>
      <x:c r="B1" s="60" t="str">
        <x:v>Instance Count</x:v>
      </x:c>
      <x:c r="C1" s="57"/>
      <x:c r="D1" s="57"/>
      <x:c r="E1" s="57"/>
      <x:c r="F1" s="57"/>
      <x:c r="G1" s="57"/>
      <x:c r="H1" s="57"/>
      <x:c r="I1" s="57"/>
      <x:c r="J1" s="57"/>
      <x:c r="K1" s="57"/>
      <x:c r="L1" s="57"/>
      <x:c r="M1" s="57"/>
      <x:c r="N1" s="57"/>
      <x:c r="O1" s="57"/>
      <x:c r="P1" s="57"/>
      <x:c r="Q1" s="57"/>
      <x:c r="R1" s="57"/>
      <x:c r="S1" s="57"/>
      <x:c r="T1" s="57"/>
      <x:c r="U1" s="57"/>
      <x:c r="V1" s="57"/>
      <x:c r="W1" s="57"/>
      <x:c r="X1" s="57"/>
      <x:c r="Y1" s="57"/>
      <x:c r="Z1" s="57"/>
    </x:row>
    <x:row r="2" ht="18" customHeight="1">
      <x:c r="A2" t="str">
        <x:v>IG</x:v>
      </x:c>
      <x:c r="B2" t="n">
        <x:v>340</x:v>
      </x:c>
    </x:row>
    <x:row r="3" ht="18" customHeight="1">
      <x:c r="A3" t="str">
        <x:v>IG, CTP</x:v>
      </x:c>
      <x:c r="B3" t="n">
        <x:v>85</x:v>
      </x:c>
    </x:row>
    <x:row r="4" ht="18" customHeight="1">
      <x:c r="A4" t="str">
        <x:v>IG, FFD, BFD, WFD, CTP</x:v>
      </x:c>
      <x:c r="B4" t="n">
        <x:v>18</x:v>
      </x:c>
    </x:row>
    <x:row r="5" ht="18" customHeight="1">
      <x:c r="A5" t="str">
        <x:v>IG, FFD, BFD, WFD</x:v>
      </x:c>
      <x:c r="B5" t="n">
        <x:v>14</x:v>
      </x:c>
    </x:row>
    <x:row r="6" ht="18" customHeight="1">
      <x:c r="A6" t="str">
        <x:v>CTP</x:v>
      </x:c>
      <x:c r="B6" t="n">
        <x:v>5</x:v>
      </x:c>
    </x:row>
    <x:row r="7" ht="18" customHeight="1">
      <x:c r="A7" t="str">
        <x:v>IG, FFD, BFD</x:v>
      </x:c>
      <x:c r="B7" t="n">
        <x:v>4</x:v>
      </x:c>
    </x:row>
    <x:row r="8" ht="18" customHeight="1">
      <x:c r="A8" t="str">
        <x:v>IG, BFD, CTP</x:v>
      </x:c>
      <x:c r="B8" t="n">
        <x:v>4</x:v>
      </x:c>
    </x:row>
    <x:row r="9" ht="18" customHeight="1">
      <x:c r="A9" t="str">
        <x:v>IG, FFD, BFD, CTP</x:v>
      </x:c>
      <x:c r="B9" t="n">
        <x:v>4</x:v>
      </x:c>
    </x:row>
    <x:row r="10" ht="18" customHeight="1">
      <x:c r="A10" t="str">
        <x:v>IG, FFD, CTP</x:v>
      </x:c>
      <x:c r="B10" t="n">
        <x:v>2</x:v>
      </x:c>
    </x:row>
    <x:row r="11" ht="18" customHeight="1">
      <x:c r="A11" t="str">
        <x:v>IG, WFD</x:v>
      </x:c>
      <x:c r="B11" t="n">
        <x:v>2</x:v>
      </x:c>
    </x:row>
    <x:row r="12" ht="18" customHeight="1">
      <x:c r="A12" t="str">
        <x:v>IG, BFD, WFD, CTP</x:v>
      </x:c>
      <x:c r="B12" t="n">
        <x:v>1</x:v>
      </x:c>
    </x:row>
    <x:row r="13" ht="18" customHeight="1">
      <x:c r="A13" t="str">
        <x:v>IG, BFD, WFD</x:v>
      </x:c>
      <x:c r="B13" t="n">
        <x:v>1</x:v>
      </x:c>
    </x:row>
    <x:row r="14" ht="18" customHeight="1"/>
    <x:row r="15" ht="18" customHeight="1"/>
    <x:row r="16" ht="18" customHeight="1"/>
    <x:row r="17" ht="18" customHeight="1"/>
    <x:row r="18" ht="18" customHeight="1"/>
    <x:row r="19" ht="18" customHeight="1"/>
    <x:row r="20" ht="18" customHeight="1"/>
    <x:row r="21" ht="18" customHeight="1"/>
    <x:row r="22" ht="18" customHeight="1"/>
    <x:row r="23" ht="18" customHeight="1"/>
    <x:row r="24" ht="18" customHeight="1"/>
    <x:row r="25" ht="18" customHeight="1"/>
    <x:row r="26" ht="18" customHeight="1"/>
    <x:row r="27" ht="18" customHeight="1"/>
    <x:row r="28" ht="18" customHeight="1"/>
    <x:row r="29" ht="18" customHeight="1"/>
    <x:row r="30" ht="18" customHeight="1"/>
    <x:row r="31" ht="18" customHeight="1"/>
    <x:row r="32" ht="18" customHeight="1"/>
    <x:row r="33" ht="18" customHeight="1"/>
    <x:row r="34" ht="18" customHeight="1"/>
    <x:row r="35" ht="18" customHeight="1"/>
    <x:row r="36" ht="18" customHeight="1"/>
    <x:row r="37" ht="18" customHeight="1"/>
    <x:row r="38" ht="18" customHeight="1"/>
    <x:row r="39" ht="18" customHeight="1"/>
    <x:row r="40" ht="18" customHeight="1"/>
    <x:row r="41" ht="18" customHeight="1"/>
    <x:row r="42" ht="18" customHeight="1"/>
    <x:row r="43" ht="18" customHeight="1"/>
    <x:row r="44" ht="18" customHeight="1"/>
    <x:row r="45" ht="18" customHeight="1"/>
    <x:row r="46" ht="18" customHeight="1"/>
    <x:row r="47" ht="18" customHeight="1"/>
    <x:row r="48" ht="18" customHeight="1"/>
    <x:row r="49" ht="18" customHeight="1"/>
    <x:row r="50" ht="18" customHeight="1"/>
    <x:row r="51" ht="18" customHeight="1"/>
    <x:row r="52" ht="18" customHeight="1"/>
    <x:row r="53" ht="18" customHeight="1"/>
    <x:row r="54" ht="18" customHeight="1"/>
    <x:row r="55" ht="18" customHeight="1"/>
    <x:row r="56" ht="18" customHeight="1"/>
    <x:row r="57" ht="18" customHeight="1"/>
    <x:row r="58" ht="18" customHeight="1"/>
    <x:row r="59" ht="18" customHeight="1"/>
    <x:row r="60" ht="18" customHeight="1"/>
    <x:row r="61" ht="18" customHeight="1"/>
    <x:row r="62" ht="18" customHeight="1"/>
    <x:row r="63" ht="18" customHeight="1"/>
    <x:row r="64" ht="18" customHeight="1"/>
    <x:row r="65" ht="18" customHeight="1"/>
    <x:row r="66" ht="18" customHeight="1"/>
    <x:row r="67" ht="18" customHeight="1"/>
    <x:row r="68" ht="18" customHeight="1"/>
    <x:row r="69" ht="18" customHeight="1"/>
    <x:row r="70" ht="18" customHeight="1"/>
    <x:row r="71" ht="18" customHeight="1"/>
    <x:row r="72" ht="18" customHeight="1"/>
    <x:row r="73" ht="18" customHeight="1"/>
    <x:row r="74" ht="18" customHeight="1"/>
    <x:row r="75" ht="18" customHeight="1"/>
    <x:row r="76" ht="18" customHeight="1"/>
    <x:row r="77" ht="18" customHeight="1"/>
    <x:row r="78" ht="18" customHeight="1"/>
    <x:row r="79" ht="18" customHeight="1"/>
    <x:row r="80" ht="18" customHeight="1"/>
    <x:row r="81" ht="18" customHeight="1"/>
    <x:row r="82" ht="18" customHeight="1"/>
    <x:row r="83" ht="18" customHeight="1"/>
    <x:row r="84" ht="18" customHeight="1"/>
    <x:row r="85" ht="18" customHeight="1"/>
    <x:row r="86" ht="18" customHeight="1"/>
    <x:row r="87" ht="18" customHeight="1"/>
    <x:row r="88" ht="18" customHeight="1"/>
    <x:row r="89" ht="18" customHeight="1"/>
    <x:row r="90" ht="18" customHeight="1"/>
    <x:row r="91" ht="18" customHeight="1"/>
    <x:row r="92" ht="18" customHeight="1"/>
    <x:row r="93" ht="18" customHeight="1"/>
    <x:row r="94" ht="18" customHeight="1"/>
    <x:row r="95" ht="18" customHeight="1"/>
    <x:row r="96" ht="18" customHeight="1"/>
    <x:row r="97" ht="18" customHeight="1"/>
    <x:row r="98" ht="18" customHeight="1"/>
    <x:row r="99" ht="18" customHeight="1"/>
    <x:row r="100" ht="18" customHeight="1"/>
    <x:row r="101" ht="18" customHeight="1"/>
    <x:row r="102" ht="18" customHeight="1"/>
    <x:row r="103" ht="18" customHeight="1"/>
    <x:row r="104" ht="18" customHeight="1"/>
    <x:row r="105" ht="18" customHeight="1"/>
    <x:row r="106" ht="18" customHeight="1"/>
    <x:row r="107" ht="18" customHeight="1"/>
    <x:row r="108" ht="18" customHeight="1"/>
    <x:row r="109" ht="18" customHeight="1"/>
    <x:row r="110" ht="18" customHeight="1"/>
    <x:row r="111" ht="18" customHeight="1"/>
    <x:row r="112" ht="18" customHeight="1"/>
    <x:row r="113" ht="18" customHeight="1"/>
    <x:row r="114" ht="18" customHeight="1"/>
    <x:row r="115" ht="18" customHeight="1"/>
    <x:row r="116" ht="18" customHeight="1"/>
    <x:row r="117" ht="18" customHeight="1"/>
    <x:row r="118" ht="18" customHeight="1"/>
    <x:row r="119" ht="18" customHeight="1"/>
    <x:row r="120" ht="18" customHeight="1"/>
    <x:row r="121" ht="18" customHeight="1"/>
    <x:row r="122" ht="18" customHeight="1"/>
    <x:row r="123" ht="18" customHeight="1"/>
    <x:row r="124" ht="18" customHeight="1"/>
    <x:row r="125" ht="18" customHeight="1"/>
    <x:row r="126" ht="18" customHeight="1"/>
    <x:row r="127" ht="18" customHeight="1"/>
    <x:row r="128" ht="18" customHeight="1"/>
    <x:row r="129" ht="18" customHeight="1"/>
    <x:row r="130" ht="18" customHeight="1"/>
    <x:row r="131" ht="18" customHeight="1"/>
    <x:row r="132" ht="18" customHeight="1"/>
    <x:row r="133" ht="18" customHeight="1"/>
    <x:row r="134" ht="18" customHeight="1"/>
    <x:row r="135" ht="18" customHeight="1"/>
    <x:row r="136" ht="18" customHeight="1"/>
    <x:row r="137" ht="18" customHeight="1"/>
    <x:row r="138" ht="18" customHeight="1"/>
    <x:row r="139" ht="18" customHeight="1"/>
    <x:row r="140" ht="18" customHeight="1"/>
    <x:row r="141" ht="18" customHeight="1"/>
    <x:row r="142" ht="18" customHeight="1"/>
    <x:row r="143" ht="18" customHeight="1"/>
    <x:row r="144" ht="18" customHeight="1"/>
    <x:row r="145" ht="18" customHeight="1"/>
    <x:row r="146" ht="18" customHeight="1"/>
    <x:row r="147" ht="18" customHeight="1"/>
    <x:row r="148" ht="18" customHeight="1"/>
    <x:row r="149" ht="18" customHeight="1"/>
    <x:row r="150" ht="18" customHeight="1"/>
    <x:row r="151" ht="18" customHeight="1"/>
    <x:row r="152" ht="18" customHeight="1"/>
    <x:row r="153" ht="18" customHeight="1"/>
    <x:row r="154" ht="18" customHeight="1"/>
    <x:row r="155" ht="18" customHeight="1"/>
    <x:row r="156" ht="18" customHeight="1"/>
    <x:row r="157" ht="18" customHeight="1"/>
    <x:row r="158" ht="18" customHeight="1"/>
    <x:row r="159" ht="18" customHeight="1"/>
    <x:row r="160" ht="18" customHeight="1"/>
    <x:row r="161" ht="18" customHeight="1"/>
    <x:row r="162" ht="18" customHeight="1"/>
    <x:row r="163" ht="18" customHeight="1"/>
    <x:row r="164" ht="18" customHeight="1"/>
    <x:row r="165" ht="18" customHeight="1"/>
    <x:row r="166" ht="18" customHeight="1"/>
    <x:row r="167" ht="18" customHeight="1"/>
    <x:row r="168" ht="18" customHeight="1"/>
    <x:row r="169" ht="18" customHeight="1"/>
    <x:row r="170" ht="18" customHeight="1"/>
    <x:row r="171" ht="18" customHeight="1"/>
    <x:row r="172" ht="18" customHeight="1"/>
    <x:row r="173" ht="18" customHeight="1"/>
    <x:row r="174" ht="18" customHeight="1"/>
    <x:row r="175" ht="18" customHeight="1"/>
    <x:row r="176" ht="18" customHeight="1"/>
    <x:row r="177" ht="18" customHeight="1"/>
    <x:row r="178" ht="18" customHeight="1"/>
    <x:row r="179" ht="18" customHeight="1"/>
    <x:row r="180" ht="18" customHeight="1"/>
    <x:row r="181" ht="18" customHeight="1"/>
    <x:row r="182" ht="18" customHeight="1"/>
    <x:row r="183" ht="18" customHeight="1"/>
    <x:row r="184" ht="18" customHeight="1"/>
    <x:row r="185" ht="18" customHeight="1"/>
    <x:row r="186" ht="18" customHeight="1"/>
    <x:row r="187" ht="18" customHeight="1"/>
    <x:row r="188" ht="18" customHeight="1"/>
    <x:row r="189" ht="18" customHeight="1"/>
    <x:row r="190" ht="18" customHeight="1"/>
    <x:row r="191" ht="18" customHeight="1"/>
    <x:row r="192" ht="18" customHeight="1"/>
    <x:row r="193" ht="18" customHeight="1"/>
    <x:row r="194" ht="18" customHeight="1"/>
    <x:row r="195" ht="18" customHeight="1"/>
    <x:row r="196" ht="18" customHeight="1"/>
    <x:row r="197" ht="18" customHeight="1"/>
    <x:row r="198" ht="18" customHeight="1"/>
    <x:row r="199" ht="18" customHeight="1"/>
    <x:row r="200" ht="18" customHeight="1"/>
    <x:row r="201" ht="18" customHeight="1"/>
    <x:row r="202" ht="18" customHeight="1"/>
    <x:row r="203" ht="18" customHeight="1"/>
    <x:row r="204" ht="18" customHeight="1"/>
    <x:row r="205" ht="18" customHeight="1"/>
    <x:row r="206" ht="18" customHeight="1"/>
    <x:row r="207" ht="18" customHeight="1"/>
    <x:row r="208" ht="18" customHeight="1"/>
    <x:row r="209" ht="18" customHeight="1"/>
    <x:row r="210" ht="18" customHeight="1"/>
    <x:row r="211" ht="18" customHeight="1"/>
    <x:row r="212" ht="18" customHeight="1"/>
    <x:row r="213" ht="18" customHeight="1"/>
    <x:row r="214" ht="18" customHeight="1"/>
    <x:row r="215" ht="18" customHeight="1"/>
    <x:row r="216" ht="18" customHeight="1"/>
    <x:row r="217" ht="18" customHeight="1"/>
    <x:row r="218" ht="18" customHeight="1"/>
    <x:row r="219" ht="18" customHeight="1"/>
    <x:row r="220" ht="18" customHeight="1"/>
    <x:row r="221" ht="18" customHeight="1"/>
    <x:row r="222" ht="18" customHeight="1"/>
    <x:row r="223" ht="18" customHeight="1"/>
    <x:row r="224" ht="18" customHeight="1"/>
    <x:row r="225" ht="18" customHeight="1"/>
    <x:row r="226" ht="18" customHeight="1"/>
    <x:row r="227" ht="18" customHeight="1"/>
    <x:row r="228" ht="18" customHeight="1"/>
    <x:row r="229" ht="18" customHeight="1"/>
    <x:row r="230" ht="18" customHeight="1"/>
    <x:row r="231" ht="18" customHeight="1"/>
    <x:row r="232" ht="18" customHeight="1"/>
    <x:row r="233" ht="18" customHeight="1"/>
    <x:row r="234" ht="18" customHeight="1"/>
    <x:row r="235" ht="18" customHeight="1"/>
    <x:row r="236" ht="18" customHeight="1"/>
    <x:row r="237" ht="18" customHeight="1"/>
    <x:row r="238" ht="18" customHeight="1"/>
    <x:row r="239" ht="18" customHeight="1"/>
    <x:row r="240" ht="18" customHeight="1"/>
    <x:row r="241" ht="18" customHeight="1"/>
    <x:row r="242" ht="18" customHeight="1"/>
    <x:row r="243" ht="18" customHeight="1"/>
    <x:row r="244" ht="18" customHeight="1"/>
    <x:row r="245" ht="18" customHeight="1"/>
    <x:row r="246" ht="18" customHeight="1"/>
    <x:row r="247" ht="18" customHeight="1"/>
    <x:row r="248" ht="18" customHeight="1"/>
    <x:row r="249" ht="18" customHeight="1"/>
    <x:row r="250" ht="18" customHeight="1"/>
    <x:row r="251" ht="18" customHeight="1"/>
    <x:row r="252" ht="18" customHeight="1"/>
    <x:row r="253" ht="18" customHeight="1"/>
    <x:row r="254" ht="18" customHeight="1"/>
    <x:row r="255" ht="18" customHeight="1"/>
    <x:row r="256" ht="18" customHeight="1"/>
    <x:row r="257" ht="18" customHeight="1"/>
    <x:row r="258" ht="18" customHeight="1"/>
    <x:row r="259" ht="18" customHeight="1"/>
    <x:row r="260" ht="18" customHeight="1"/>
    <x:row r="261" ht="18" customHeight="1"/>
    <x:row r="262" ht="18" customHeight="1"/>
    <x:row r="263" ht="18" customHeight="1"/>
    <x:row r="264" ht="18" customHeight="1"/>
    <x:row r="265" ht="18" customHeight="1"/>
    <x:row r="266" ht="18" customHeight="1"/>
    <x:row r="267" ht="18" customHeight="1"/>
    <x:row r="268" ht="18" customHeight="1"/>
    <x:row r="269" ht="18" customHeight="1"/>
    <x:row r="270" ht="18" customHeight="1"/>
    <x:row r="271" ht="18" customHeight="1"/>
    <x:row r="272" ht="18" customHeight="1"/>
    <x:row r="273" ht="18" customHeight="1"/>
    <x:row r="274" ht="18" customHeight="1"/>
    <x:row r="275" ht="18" customHeight="1"/>
    <x:row r="276" ht="18" customHeight="1"/>
    <x:row r="277" ht="18" customHeight="1"/>
    <x:row r="278" ht="18" customHeight="1"/>
    <x:row r="279" ht="18" customHeight="1"/>
    <x:row r="280" ht="18" customHeight="1"/>
    <x:row r="281" ht="18" customHeight="1"/>
    <x:row r="282" ht="18" customHeight="1"/>
    <x:row r="283" ht="18" customHeight="1"/>
    <x:row r="284" ht="18" customHeight="1"/>
    <x:row r="285" ht="18" customHeight="1"/>
    <x:row r="286" ht="18" customHeight="1"/>
    <x:row r="287" ht="18" customHeight="1"/>
    <x:row r="288" ht="18" customHeight="1"/>
    <x:row r="289" ht="18" customHeight="1"/>
    <x:row r="290" ht="18" customHeight="1"/>
    <x:row r="291" ht="18" customHeight="1"/>
    <x:row r="292" ht="18" customHeight="1"/>
    <x:row r="293" ht="18" customHeight="1"/>
    <x:row r="294" ht="18" customHeight="1"/>
    <x:row r="295" ht="18" customHeight="1"/>
    <x:row r="296" ht="18" customHeight="1"/>
    <x:row r="297" ht="18" customHeight="1"/>
    <x:row r="298" ht="18" customHeight="1"/>
    <x:row r="299" ht="18" customHeight="1"/>
    <x:row r="300" ht="18" customHeight="1"/>
    <x:row r="301" ht="18" customHeight="1"/>
    <x:row r="302" ht="18" customHeight="1"/>
    <x:row r="303" ht="18" customHeight="1"/>
    <x:row r="304" ht="18" customHeight="1"/>
    <x:row r="305" ht="18" customHeight="1"/>
    <x:row r="306" ht="18" customHeight="1"/>
    <x:row r="307" ht="18" customHeight="1"/>
    <x:row r="308" ht="18" customHeight="1"/>
    <x:row r="309" ht="18" customHeight="1"/>
    <x:row r="310" ht="18" customHeight="1"/>
    <x:row r="311" ht="18" customHeight="1"/>
    <x:row r="312" ht="18" customHeight="1"/>
    <x:row r="313" ht="18" customHeight="1"/>
    <x:row r="314" ht="18" customHeight="1"/>
    <x:row r="315" ht="18" customHeight="1"/>
    <x:row r="316" ht="18" customHeight="1"/>
    <x:row r="317" ht="18" customHeight="1"/>
    <x:row r="318" ht="18" customHeight="1"/>
    <x:row r="319" ht="18" customHeight="1"/>
    <x:row r="320" ht="18" customHeight="1"/>
    <x:row r="321" ht="18" customHeight="1"/>
    <x:row r="322" ht="18" customHeight="1"/>
    <x:row r="323" ht="18" customHeight="1"/>
    <x:row r="324" ht="18" customHeight="1"/>
    <x:row r="325" ht="18" customHeight="1"/>
    <x:row r="326" ht="18" customHeight="1"/>
    <x:row r="327" ht="18" customHeight="1"/>
    <x:row r="328" ht="18" customHeight="1"/>
    <x:row r="329" ht="18" customHeight="1"/>
    <x:row r="330" ht="18" customHeight="1"/>
    <x:row r="331" ht="18" customHeight="1"/>
    <x:row r="332" ht="18" customHeight="1"/>
    <x:row r="333" ht="18" customHeight="1"/>
    <x:row r="334" ht="18" customHeight="1"/>
    <x:row r="335" ht="18" customHeight="1"/>
    <x:row r="336" ht="18" customHeight="1"/>
    <x:row r="337" ht="18" customHeight="1"/>
    <x:row r="338" ht="18" customHeight="1"/>
    <x:row r="339" ht="18" customHeight="1"/>
    <x:row r="340" ht="18" customHeight="1"/>
    <x:row r="341" ht="18" customHeight="1"/>
    <x:row r="342" ht="18" customHeight="1"/>
    <x:row r="343" ht="18" customHeight="1"/>
    <x:row r="344" ht="18" customHeight="1"/>
    <x:row r="345" ht="18" customHeight="1"/>
    <x:row r="346" ht="18" customHeight="1"/>
    <x:row r="347" ht="18" customHeight="1"/>
    <x:row r="348" ht="18" customHeight="1"/>
    <x:row r="349" ht="18" customHeight="1"/>
    <x:row r="350" ht="18" customHeight="1"/>
    <x:row r="351" ht="18" customHeight="1"/>
    <x:row r="352" ht="18" customHeight="1"/>
    <x:row r="353" ht="18" customHeight="1"/>
    <x:row r="354" ht="18" customHeight="1"/>
    <x:row r="355" ht="18" customHeight="1"/>
    <x:row r="356" ht="18" customHeight="1"/>
    <x:row r="357" ht="18" customHeight="1"/>
    <x:row r="358" ht="18" customHeight="1"/>
    <x:row r="359" ht="18" customHeight="1"/>
    <x:row r="360" ht="18" customHeight="1"/>
    <x:row r="361" ht="18" customHeight="1"/>
    <x:row r="362" ht="18" customHeight="1"/>
    <x:row r="363" ht="18" customHeight="1"/>
    <x:row r="364" ht="18" customHeight="1"/>
    <x:row r="365" ht="18" customHeight="1"/>
    <x:row r="366" ht="18" customHeight="1"/>
    <x:row r="367" ht="18" customHeight="1"/>
    <x:row r="368" ht="18" customHeight="1"/>
    <x:row r="369" ht="18" customHeight="1"/>
    <x:row r="370" ht="18" customHeight="1"/>
    <x:row r="371" ht="18" customHeight="1"/>
    <x:row r="372" ht="18" customHeight="1"/>
    <x:row r="373" ht="18" customHeight="1"/>
    <x:row r="374" ht="18" customHeight="1"/>
    <x:row r="375" ht="18" customHeight="1"/>
    <x:row r="376" ht="18" customHeight="1"/>
    <x:row r="377" ht="18" customHeight="1"/>
    <x:row r="378" ht="18" customHeight="1"/>
    <x:row r="379" ht="18" customHeight="1"/>
    <x:row r="380" ht="18" customHeight="1"/>
    <x:row r="381" ht="18" customHeight="1"/>
    <x:row r="382" ht="18" customHeight="1"/>
    <x:row r="383" ht="18" customHeight="1"/>
    <x:row r="384" ht="18" customHeight="1"/>
    <x:row r="385" ht="18" customHeight="1"/>
    <x:row r="386" ht="18" customHeight="1"/>
    <x:row r="387" ht="18" customHeight="1"/>
    <x:row r="388" ht="18" customHeight="1"/>
    <x:row r="389" ht="18" customHeight="1"/>
    <x:row r="390" ht="18" customHeight="1"/>
    <x:row r="391" ht="18" customHeight="1"/>
    <x:row r="392" ht="18" customHeight="1"/>
    <x:row r="393" ht="18" customHeight="1"/>
    <x:row r="394" ht="18" customHeight="1"/>
    <x:row r="395" ht="18" customHeight="1"/>
    <x:row r="396" ht="18" customHeight="1"/>
    <x:row r="397" ht="18" customHeight="1"/>
    <x:row r="398" ht="18" customHeight="1"/>
    <x:row r="399" ht="18" customHeight="1"/>
    <x:row r="400" ht="18" customHeight="1"/>
    <x:row r="401" ht="18" customHeight="1"/>
    <x:row r="402" ht="18" customHeight="1"/>
    <x:row r="403" ht="18" customHeight="1"/>
    <x:row r="404" ht="18" customHeight="1"/>
    <x:row r="405" ht="18" customHeight="1"/>
    <x:row r="406" ht="18" customHeight="1"/>
    <x:row r="407" ht="18" customHeight="1"/>
    <x:row r="408" ht="18" customHeight="1"/>
    <x:row r="409" ht="18" customHeight="1"/>
    <x:row r="410" ht="18" customHeight="1"/>
    <x:row r="411" ht="18" customHeight="1"/>
    <x:row r="412" ht="18" customHeight="1"/>
    <x:row r="413" ht="18" customHeight="1"/>
    <x:row r="414" ht="18" customHeight="1"/>
    <x:row r="415" ht="18" customHeight="1"/>
    <x:row r="416" ht="18" customHeight="1"/>
    <x:row r="417" ht="18" customHeight="1"/>
    <x:row r="418" ht="18" customHeight="1"/>
    <x:row r="419" ht="18" customHeight="1"/>
    <x:row r="420" ht="18" customHeight="1"/>
    <x:row r="421" ht="18" customHeight="1"/>
    <x:row r="422" ht="18" customHeight="1"/>
    <x:row r="423" ht="18" customHeight="1"/>
    <x:row r="424" ht="18" customHeight="1"/>
    <x:row r="425" ht="18" customHeight="1"/>
    <x:row r="426" ht="18" customHeight="1"/>
    <x:row r="427" ht="18" customHeight="1"/>
    <x:row r="428" ht="18" customHeight="1"/>
    <x:row r="429" ht="18" customHeight="1"/>
    <x:row r="430" ht="18" customHeight="1"/>
    <x:row r="431" ht="18" customHeight="1"/>
    <x:row r="432" ht="18" customHeight="1"/>
    <x:row r="433" ht="18" customHeight="1"/>
    <x:row r="434" ht="18" customHeight="1"/>
    <x:row r="435" ht="18" customHeight="1"/>
    <x:row r="436" ht="18" customHeight="1"/>
    <x:row r="437" ht="18" customHeight="1"/>
    <x:row r="438" ht="18" customHeight="1"/>
    <x:row r="439" ht="18" customHeight="1"/>
    <x:row r="440" ht="18" customHeight="1"/>
    <x:row r="441" ht="18" customHeight="1"/>
    <x:row r="442" ht="18" customHeight="1"/>
    <x:row r="443" ht="18" customHeight="1"/>
    <x:row r="444" ht="18" customHeight="1"/>
    <x:row r="445" ht="18" customHeight="1"/>
    <x:row r="446" ht="18" customHeight="1"/>
    <x:row r="447" ht="18" customHeight="1"/>
    <x:row r="448" ht="18" customHeight="1"/>
    <x:row r="449" ht="18" customHeight="1"/>
    <x:row r="450" ht="18" customHeight="1"/>
    <x:row r="451" ht="18" customHeight="1"/>
    <x:row r="452" ht="18" customHeight="1"/>
    <x:row r="453" ht="18" customHeight="1"/>
    <x:row r="454" ht="18" customHeight="1"/>
    <x:row r="455" ht="18" customHeight="1"/>
    <x:row r="456" ht="18" customHeight="1"/>
    <x:row r="457" ht="18" customHeight="1"/>
    <x:row r="458" ht="18" customHeight="1"/>
    <x:row r="459" ht="18" customHeight="1"/>
    <x:row r="460" ht="18" customHeight="1"/>
    <x:row r="461" ht="18" customHeight="1"/>
    <x:row r="462" ht="18" customHeight="1"/>
    <x:row r="463" ht="18" customHeight="1"/>
    <x:row r="464" ht="18" customHeight="1"/>
    <x:row r="465" ht="18" customHeight="1"/>
    <x:row r="466" ht="18" customHeight="1"/>
    <x:row r="467" ht="18" customHeight="1"/>
    <x:row r="468" ht="18" customHeight="1"/>
    <x:row r="469" ht="18" customHeight="1"/>
    <x:row r="470" ht="18" customHeight="1"/>
    <x:row r="471" ht="18" customHeight="1"/>
    <x:row r="472" ht="18" customHeight="1"/>
    <x:row r="473" ht="18" customHeight="1"/>
    <x:row r="474" ht="18" customHeight="1"/>
    <x:row r="475" ht="18" customHeight="1"/>
    <x:row r="476" ht="18" customHeight="1"/>
    <x:row r="477" ht="18" customHeight="1"/>
    <x:row r="478" ht="18" customHeight="1"/>
    <x:row r="479" ht="18" customHeight="1"/>
    <x:row r="480" ht="18" customHeight="1"/>
    <x:row r="481" ht="18" customHeight="1"/>
    <x:row r="482" ht="18" customHeight="1"/>
    <x:row r="483" ht="18" customHeight="1"/>
    <x:row r="484" ht="18" customHeight="1"/>
    <x:row r="485" ht="18" customHeight="1"/>
    <x:row r="486" ht="18" customHeight="1"/>
    <x:row r="487" ht="18" customHeight="1"/>
    <x:row r="488" ht="18" customHeight="1"/>
    <x:row r="489" ht="18" customHeight="1"/>
    <x:row r="490" ht="18" customHeight="1"/>
    <x:row r="491" ht="18" customHeight="1"/>
    <x:row r="492" ht="18" customHeight="1"/>
    <x:row r="493" ht="18" customHeight="1"/>
    <x:row r="494" ht="18" customHeight="1"/>
    <x:row r="495" ht="18" customHeight="1"/>
    <x:row r="496" ht="18" customHeight="1"/>
    <x:row r="497" ht="18" customHeight="1"/>
    <x:row r="498" ht="18" customHeight="1"/>
    <x:row r="499" ht="18" customHeight="1"/>
    <x:row r="500" ht="18" customHeight="1"/>
    <x:row r="501" ht="18" customHeight="1"/>
    <x:row r="502" ht="18" customHeight="1"/>
    <x:row r="503" ht="18" customHeight="1"/>
    <x:row r="504" ht="18" customHeight="1"/>
    <x:row r="505" ht="18" customHeight="1"/>
    <x:row r="506" ht="18" customHeight="1"/>
    <x:row r="507" ht="18" customHeight="1"/>
    <x:row r="508" ht="18" customHeight="1"/>
    <x:row r="509" ht="18" customHeight="1"/>
    <x:row r="510" ht="18" customHeight="1"/>
    <x:row r="511" ht="18" customHeight="1"/>
    <x:row r="512" ht="18" customHeight="1"/>
    <x:row r="513" ht="18" customHeight="1"/>
    <x:row r="514" ht="18" customHeight="1"/>
    <x:row r="515" ht="18" customHeight="1"/>
    <x:row r="516" ht="18" customHeight="1"/>
    <x:row r="517" ht="18" customHeight="1"/>
    <x:row r="518" ht="18" customHeight="1"/>
    <x:row r="519" ht="18" customHeight="1"/>
    <x:row r="520" ht="18" customHeight="1"/>
    <x:row r="521" ht="18" customHeight="1"/>
    <x:row r="522" ht="18" customHeight="1"/>
    <x:row r="523" ht="18" customHeight="1"/>
    <x:row r="524" ht="18" customHeight="1"/>
    <x:row r="525" ht="18" customHeight="1"/>
    <x:row r="526" ht="18" customHeight="1"/>
    <x:row r="527" ht="18" customHeight="1"/>
    <x:row r="528" ht="18" customHeight="1"/>
    <x:row r="529" ht="18" customHeight="1"/>
    <x:row r="530" ht="18" customHeight="1"/>
    <x:row r="531" ht="18" customHeight="1"/>
    <x:row r="532" ht="18" customHeight="1"/>
    <x:row r="533" ht="18" customHeight="1"/>
    <x:row r="534" ht="18" customHeight="1"/>
    <x:row r="535" ht="18" customHeight="1"/>
    <x:row r="536" ht="18" customHeight="1"/>
    <x:row r="537" ht="18" customHeight="1"/>
    <x:row r="538" ht="18" customHeight="1"/>
    <x:row r="539" ht="18" customHeight="1"/>
    <x:row r="540" ht="18" customHeight="1"/>
    <x:row r="541" ht="18" customHeight="1"/>
    <x:row r="542" ht="18" customHeight="1"/>
    <x:row r="543" ht="18" customHeight="1"/>
    <x:row r="544" ht="18" customHeight="1"/>
    <x:row r="545" ht="18" customHeight="1"/>
    <x:row r="546" ht="18" customHeight="1"/>
    <x:row r="547" ht="18" customHeight="1"/>
    <x:row r="548" ht="18" customHeight="1"/>
    <x:row r="549" ht="18" customHeight="1"/>
    <x:row r="550" ht="18" customHeight="1"/>
    <x:row r="551" ht="18" customHeight="1"/>
    <x:row r="552" ht="18" customHeight="1"/>
    <x:row r="553" ht="18" customHeight="1"/>
    <x:row r="554" ht="18" customHeight="1"/>
    <x:row r="555" ht="18" customHeight="1"/>
    <x:row r="556" ht="18" customHeight="1"/>
    <x:row r="557" ht="18" customHeight="1"/>
    <x:row r="558" ht="18" customHeight="1"/>
    <x:row r="559" ht="18" customHeight="1"/>
    <x:row r="560" ht="18" customHeight="1"/>
    <x:row r="561" ht="18" customHeight="1"/>
    <x:row r="562" ht="18" customHeight="1"/>
    <x:row r="563" ht="18" customHeight="1"/>
    <x:row r="564" ht="18" customHeight="1"/>
    <x:row r="565" ht="18" customHeight="1"/>
    <x:row r="566" ht="18" customHeight="1"/>
    <x:row r="567" ht="18" customHeight="1"/>
    <x:row r="568" ht="18" customHeight="1"/>
    <x:row r="569" ht="18" customHeight="1"/>
    <x:row r="570" ht="18" customHeight="1"/>
    <x:row r="571" ht="18" customHeight="1"/>
    <x:row r="572" ht="18" customHeight="1"/>
    <x:row r="573" ht="18" customHeight="1"/>
    <x:row r="574" ht="18" customHeight="1"/>
    <x:row r="575" ht="18" customHeight="1"/>
    <x:row r="576" ht="18" customHeight="1"/>
    <x:row r="577" ht="18" customHeight="1"/>
    <x:row r="578" ht="18" customHeight="1"/>
    <x:row r="579" ht="18" customHeight="1"/>
    <x:row r="580" ht="18" customHeight="1"/>
    <x:row r="581" ht="18" customHeight="1"/>
    <x:row r="582" ht="18" customHeight="1"/>
    <x:row r="583" ht="18" customHeight="1"/>
    <x:row r="584" ht="18" customHeight="1"/>
    <x:row r="585" ht="18" customHeight="1"/>
    <x:row r="586" ht="18" customHeight="1"/>
    <x:row r="587" ht="18" customHeight="1"/>
    <x:row r="588" ht="18" customHeight="1"/>
    <x:row r="589" ht="18" customHeight="1"/>
    <x:row r="590" ht="18" customHeight="1"/>
    <x:row r="591" ht="18" customHeight="1"/>
    <x:row r="592" ht="18" customHeight="1"/>
    <x:row r="593" ht="18" customHeight="1"/>
    <x:row r="594" ht="18" customHeight="1"/>
    <x:row r="595" ht="18" customHeight="1"/>
    <x:row r="596" ht="18" customHeight="1"/>
    <x:row r="597" ht="18" customHeight="1"/>
    <x:row r="598" ht="18" customHeight="1"/>
    <x:row r="599" ht="18" customHeight="1"/>
    <x:row r="600" ht="18" customHeight="1"/>
    <x:row r="601" ht="18" customHeight="1"/>
    <x:row r="602" ht="18" customHeight="1"/>
    <x:row r="603" ht="18" customHeight="1"/>
    <x:row r="604" ht="18" customHeight="1"/>
    <x:row r="605" ht="18" customHeight="1"/>
    <x:row r="606" ht="18" customHeight="1"/>
    <x:row r="607" ht="18" customHeight="1"/>
    <x:row r="608" ht="18" customHeight="1"/>
    <x:row r="609" ht="18" customHeight="1"/>
    <x:row r="610" ht="18" customHeight="1"/>
    <x:row r="611" ht="18" customHeight="1"/>
    <x:row r="612" ht="18" customHeight="1"/>
    <x:row r="613" ht="18" customHeight="1"/>
    <x:row r="614" ht="18" customHeight="1"/>
    <x:row r="615" ht="18" customHeight="1"/>
    <x:row r="616" ht="18" customHeight="1"/>
    <x:row r="617" ht="18" customHeight="1"/>
    <x:row r="618" ht="18" customHeight="1"/>
    <x:row r="619" ht="18" customHeight="1"/>
    <x:row r="620" ht="18" customHeight="1"/>
    <x:row r="621" ht="18" customHeight="1"/>
    <x:row r="622" ht="18" customHeight="1"/>
    <x:row r="623" ht="18" customHeight="1"/>
    <x:row r="624" ht="18" customHeight="1"/>
    <x:row r="625" ht="18" customHeight="1"/>
    <x:row r="626" ht="18" customHeight="1"/>
    <x:row r="627" ht="18" customHeight="1"/>
    <x:row r="628" ht="18" customHeight="1"/>
    <x:row r="629" ht="18" customHeight="1"/>
    <x:row r="630" ht="18" customHeight="1"/>
    <x:row r="631" ht="18" customHeight="1"/>
    <x:row r="632" ht="18" customHeight="1"/>
    <x:row r="633" ht="18" customHeight="1"/>
    <x:row r="634" ht="18" customHeight="1"/>
    <x:row r="635" ht="18" customHeight="1"/>
    <x:row r="636" ht="18" customHeight="1"/>
    <x:row r="637" ht="18" customHeight="1"/>
    <x:row r="638" ht="18" customHeight="1"/>
    <x:row r="639" ht="18" customHeight="1"/>
    <x:row r="640" ht="18" customHeight="1"/>
    <x:row r="641" ht="18" customHeight="1"/>
    <x:row r="642" ht="18" customHeight="1"/>
    <x:row r="643" ht="18" customHeight="1"/>
    <x:row r="644" ht="18" customHeight="1"/>
    <x:row r="645" ht="18" customHeight="1"/>
    <x:row r="646" ht="18" customHeight="1"/>
    <x:row r="647" ht="18" customHeight="1"/>
    <x:row r="648" ht="18" customHeight="1"/>
    <x:row r="649" ht="18" customHeight="1"/>
    <x:row r="650" ht="18" customHeight="1"/>
    <x:row r="651" ht="18" customHeight="1"/>
    <x:row r="652" ht="18" customHeight="1"/>
    <x:row r="653" ht="18" customHeight="1"/>
    <x:row r="654" ht="18" customHeight="1"/>
    <x:row r="655" ht="18" customHeight="1"/>
    <x:row r="656" ht="18" customHeight="1"/>
    <x:row r="657" ht="18" customHeight="1"/>
    <x:row r="658" ht="18" customHeight="1"/>
    <x:row r="659" ht="18" customHeight="1"/>
    <x:row r="660" ht="18" customHeight="1"/>
    <x:row r="661" ht="18" customHeight="1"/>
    <x:row r="662" ht="18" customHeight="1"/>
    <x:row r="663" ht="18" customHeight="1"/>
    <x:row r="664" ht="18" customHeight="1"/>
    <x:row r="665" ht="18" customHeight="1"/>
    <x:row r="666" ht="18" customHeight="1"/>
    <x:row r="667" ht="18" customHeight="1"/>
    <x:row r="668" ht="18" customHeight="1"/>
    <x:row r="669" ht="18" customHeight="1"/>
    <x:row r="670" ht="18" customHeight="1"/>
    <x:row r="671" ht="18" customHeight="1"/>
    <x:row r="672" ht="18" customHeight="1"/>
    <x:row r="673" ht="18" customHeight="1"/>
    <x:row r="674" ht="18" customHeight="1"/>
    <x:row r="675" ht="18" customHeight="1"/>
    <x:row r="676" ht="18" customHeight="1"/>
    <x:row r="677" ht="18" customHeight="1"/>
    <x:row r="678" ht="18" customHeight="1"/>
    <x:row r="679" ht="18" customHeight="1"/>
    <x:row r="680" ht="18" customHeight="1"/>
    <x:row r="681" ht="18" customHeight="1"/>
    <x:row r="682" ht="18" customHeight="1"/>
    <x:row r="683" ht="18" customHeight="1"/>
    <x:row r="684" ht="18" customHeight="1"/>
    <x:row r="685" ht="18" customHeight="1"/>
    <x:row r="686" ht="18" customHeight="1"/>
    <x:row r="687" ht="18" customHeight="1"/>
    <x:row r="688" ht="18" customHeight="1"/>
    <x:row r="689" ht="18" customHeight="1"/>
    <x:row r="690" ht="18" customHeight="1"/>
    <x:row r="691" ht="18" customHeight="1"/>
    <x:row r="692" ht="18" customHeight="1"/>
    <x:row r="693" ht="18" customHeight="1"/>
    <x:row r="694" ht="18" customHeight="1"/>
    <x:row r="695" ht="18" customHeight="1"/>
    <x:row r="696" ht="18" customHeight="1"/>
    <x:row r="697" ht="18" customHeight="1"/>
    <x:row r="698" ht="18" customHeight="1"/>
    <x:row r="699" ht="18" customHeight="1"/>
    <x:row r="700" ht="18" customHeight="1"/>
    <x:row r="701" ht="18" customHeight="1"/>
    <x:row r="702" ht="18" customHeight="1"/>
    <x:row r="703" ht="18" customHeight="1"/>
    <x:row r="704" ht="18" customHeight="1"/>
    <x:row r="705" ht="18" customHeight="1"/>
    <x:row r="706" ht="18" customHeight="1"/>
    <x:row r="707" ht="18" customHeight="1"/>
    <x:row r="708" ht="18" customHeight="1"/>
    <x:row r="709" ht="18" customHeight="1"/>
    <x:row r="710" ht="18" customHeight="1"/>
    <x:row r="711" ht="18" customHeight="1"/>
    <x:row r="712" ht="18" customHeight="1"/>
    <x:row r="713" ht="18" customHeight="1"/>
    <x:row r="714" ht="18" customHeight="1"/>
    <x:row r="715" ht="18" customHeight="1"/>
    <x:row r="716" ht="18" customHeight="1"/>
    <x:row r="717" ht="18" customHeight="1"/>
    <x:row r="718" ht="18" customHeight="1"/>
    <x:row r="719" ht="18" customHeight="1"/>
    <x:row r="720" ht="18" customHeight="1"/>
    <x:row r="721" ht="18" customHeight="1"/>
    <x:row r="722" ht="18" customHeight="1"/>
    <x:row r="723" ht="18" customHeight="1"/>
    <x:row r="724" ht="18" customHeight="1"/>
    <x:row r="725" ht="18" customHeight="1"/>
    <x:row r="726" ht="18" customHeight="1"/>
    <x:row r="727" ht="18" customHeight="1"/>
    <x:row r="728" ht="18" customHeight="1"/>
    <x:row r="729" ht="18" customHeight="1"/>
    <x:row r="730" ht="18" customHeight="1"/>
    <x:row r="731" ht="18" customHeight="1"/>
    <x:row r="732" ht="18" customHeight="1"/>
    <x:row r="733" ht="18" customHeight="1"/>
    <x:row r="734" ht="18" customHeight="1"/>
    <x:row r="735" ht="18" customHeight="1"/>
    <x:row r="736" ht="18" customHeight="1"/>
    <x:row r="737" ht="18" customHeight="1"/>
    <x:row r="738" ht="18" customHeight="1"/>
    <x:row r="739" ht="18" customHeight="1"/>
    <x:row r="740" ht="18" customHeight="1"/>
    <x:row r="741" ht="18" customHeight="1"/>
    <x:row r="742" ht="18" customHeight="1"/>
    <x:row r="743" ht="18" customHeight="1"/>
    <x:row r="744" ht="18" customHeight="1"/>
    <x:row r="745" ht="18" customHeight="1"/>
    <x:row r="746" ht="18" customHeight="1"/>
    <x:row r="747" ht="18" customHeight="1"/>
    <x:row r="748" ht="18" customHeight="1"/>
    <x:row r="749" ht="18" customHeight="1"/>
    <x:row r="750" ht="18" customHeight="1"/>
    <x:row r="751" ht="18" customHeight="1"/>
    <x:row r="752" ht="18" customHeight="1"/>
    <x:row r="753" ht="18" customHeight="1"/>
    <x:row r="754" ht="18" customHeight="1"/>
    <x:row r="755" ht="18" customHeight="1"/>
    <x:row r="756" ht="18" customHeight="1"/>
    <x:row r="757" ht="18" customHeight="1"/>
    <x:row r="758" ht="18" customHeight="1"/>
    <x:row r="759" ht="18" customHeight="1"/>
    <x:row r="760" ht="18" customHeight="1"/>
    <x:row r="761" ht="18" customHeight="1"/>
    <x:row r="762" ht="18" customHeight="1"/>
    <x:row r="763" ht="18" customHeight="1"/>
    <x:row r="764" ht="18" customHeight="1"/>
    <x:row r="765" ht="18" customHeight="1"/>
    <x:row r="766" ht="18" customHeight="1"/>
    <x:row r="767" ht="18" customHeight="1"/>
    <x:row r="768" ht="18" customHeight="1"/>
    <x:row r="769" ht="18" customHeight="1"/>
    <x:row r="770" ht="18" customHeight="1"/>
    <x:row r="771" ht="18" customHeight="1"/>
    <x:row r="772" ht="18" customHeight="1"/>
    <x:row r="773" ht="18" customHeight="1"/>
    <x:row r="774" ht="18" customHeight="1"/>
    <x:row r="775" ht="18" customHeight="1"/>
    <x:row r="776" ht="18" customHeight="1"/>
    <x:row r="777" ht="18" customHeight="1"/>
    <x:row r="778" ht="18" customHeight="1"/>
    <x:row r="779" ht="18" customHeight="1"/>
    <x:row r="780" ht="18" customHeight="1"/>
    <x:row r="781" ht="18" customHeight="1"/>
    <x:row r="782" ht="18" customHeight="1"/>
    <x:row r="783" ht="18" customHeight="1"/>
    <x:row r="784" ht="18" customHeight="1"/>
    <x:row r="785" ht="18" customHeight="1"/>
    <x:row r="786" ht="18" customHeight="1"/>
    <x:row r="787" ht="18" customHeight="1"/>
    <x:row r="788" ht="18" customHeight="1"/>
    <x:row r="789" ht="18" customHeight="1"/>
    <x:row r="790" ht="18" customHeight="1"/>
    <x:row r="791" ht="18" customHeight="1"/>
    <x:row r="792" ht="18" customHeight="1"/>
    <x:row r="793" ht="18" customHeight="1"/>
    <x:row r="794" ht="18" customHeight="1"/>
    <x:row r="795" ht="18" customHeight="1"/>
    <x:row r="796" ht="18" customHeight="1"/>
    <x:row r="797" ht="18" customHeight="1"/>
    <x:row r="798" ht="18" customHeight="1"/>
    <x:row r="799" ht="18" customHeight="1"/>
    <x:row r="800" ht="18" customHeight="1"/>
    <x:row r="801" ht="18" customHeight="1"/>
    <x:row r="802" ht="18" customHeight="1"/>
    <x:row r="803" ht="18" customHeight="1"/>
    <x:row r="804" ht="18" customHeight="1"/>
    <x:row r="805" ht="18" customHeight="1"/>
    <x:row r="806" ht="18" customHeight="1"/>
    <x:row r="807" ht="18" customHeight="1"/>
    <x:row r="808" ht="18" customHeight="1"/>
    <x:row r="809" ht="18" customHeight="1"/>
    <x:row r="810" ht="18" customHeight="1"/>
    <x:row r="811" ht="18" customHeight="1"/>
    <x:row r="812" ht="18" customHeight="1"/>
    <x:row r="813" ht="18" customHeight="1"/>
    <x:row r="814" ht="18" customHeight="1"/>
    <x:row r="815" ht="18" customHeight="1"/>
    <x:row r="816" ht="18" customHeight="1"/>
    <x:row r="817" ht="18" customHeight="1"/>
    <x:row r="818" ht="18" customHeight="1"/>
    <x:row r="819" ht="18" customHeight="1"/>
    <x:row r="820" ht="18" customHeight="1"/>
    <x:row r="821" ht="18" customHeight="1"/>
    <x:row r="822" ht="18" customHeight="1"/>
    <x:row r="823" ht="18" customHeight="1"/>
    <x:row r="824" ht="18" customHeight="1"/>
    <x:row r="825" ht="18" customHeight="1"/>
    <x:row r="826" ht="18" customHeight="1"/>
    <x:row r="827" ht="18" customHeight="1"/>
    <x:row r="828" ht="18" customHeight="1"/>
    <x:row r="829" ht="18" customHeight="1"/>
    <x:row r="830" ht="18" customHeight="1"/>
    <x:row r="831" ht="18" customHeight="1"/>
    <x:row r="832" ht="18" customHeight="1"/>
    <x:row r="833" ht="18" customHeight="1"/>
    <x:row r="834" ht="18" customHeight="1"/>
    <x:row r="835" ht="18" customHeight="1"/>
    <x:row r="836" ht="18" customHeight="1"/>
    <x:row r="837" ht="18" customHeight="1"/>
    <x:row r="838" ht="18" customHeight="1"/>
    <x:row r="839" ht="18" customHeight="1"/>
    <x:row r="840" ht="18" customHeight="1"/>
    <x:row r="841" ht="18" customHeight="1"/>
    <x:row r="842" ht="18" customHeight="1"/>
    <x:row r="843" ht="18" customHeight="1"/>
    <x:row r="844" ht="18" customHeight="1"/>
    <x:row r="845" ht="18" customHeight="1"/>
    <x:row r="846" ht="18" customHeight="1"/>
    <x:row r="847" ht="18" customHeight="1"/>
    <x:row r="848" ht="18" customHeight="1"/>
    <x:row r="849" ht="18" customHeight="1"/>
    <x:row r="850" ht="18" customHeight="1"/>
    <x:row r="851" ht="18" customHeight="1"/>
    <x:row r="852" ht="18" customHeight="1"/>
    <x:row r="853" ht="18" customHeight="1"/>
    <x:row r="854" ht="18" customHeight="1"/>
    <x:row r="855" ht="18" customHeight="1"/>
    <x:row r="856" ht="18" customHeight="1"/>
    <x:row r="857" ht="18" customHeight="1"/>
    <x:row r="858" ht="18" customHeight="1"/>
    <x:row r="859" ht="18" customHeight="1"/>
    <x:row r="860" ht="18" customHeight="1"/>
    <x:row r="861" ht="18" customHeight="1"/>
    <x:row r="862" ht="18" customHeight="1"/>
    <x:row r="863" ht="18" customHeight="1"/>
    <x:row r="864" ht="18" customHeight="1"/>
    <x:row r="865" ht="18" customHeight="1"/>
    <x:row r="866" ht="18" customHeight="1"/>
    <x:row r="867" ht="18" customHeight="1"/>
    <x:row r="868" ht="18" customHeight="1"/>
    <x:row r="869" ht="18" customHeight="1"/>
    <x:row r="870" ht="18" customHeight="1"/>
    <x:row r="871" ht="18" customHeight="1"/>
    <x:row r="872" ht="18" customHeight="1"/>
    <x:row r="873" ht="18" customHeight="1"/>
    <x:row r="874" ht="18" customHeight="1"/>
    <x:row r="875" ht="18" customHeight="1"/>
    <x:row r="876" ht="18" customHeight="1"/>
    <x:row r="877" ht="18" customHeight="1"/>
    <x:row r="878" ht="18" customHeight="1"/>
    <x:row r="879" ht="18" customHeight="1"/>
    <x:row r="880" ht="18" customHeight="1"/>
    <x:row r="881" ht="18" customHeight="1"/>
    <x:row r="882" ht="18" customHeight="1"/>
    <x:row r="883" ht="18" customHeight="1"/>
    <x:row r="884" ht="18" customHeight="1"/>
    <x:row r="885" ht="18" customHeight="1"/>
    <x:row r="886" ht="18" customHeight="1"/>
    <x:row r="887" ht="18" customHeight="1"/>
    <x:row r="888" ht="18" customHeight="1"/>
    <x:row r="889" ht="18" customHeight="1"/>
    <x:row r="890" ht="18" customHeight="1"/>
    <x:row r="891" ht="18" customHeight="1"/>
    <x:row r="892" ht="18" customHeight="1"/>
    <x:row r="893" ht="18" customHeight="1"/>
    <x:row r="894" ht="18" customHeight="1"/>
    <x:row r="895" ht="18" customHeight="1"/>
    <x:row r="896" ht="18" customHeight="1"/>
    <x:row r="897" ht="18" customHeight="1"/>
    <x:row r="898" ht="18" customHeight="1"/>
    <x:row r="899" ht="18" customHeight="1"/>
    <x:row r="900" ht="18" customHeight="1"/>
    <x:row r="901" ht="18" customHeight="1"/>
    <x:row r="902" ht="18" customHeight="1"/>
    <x:row r="903" ht="18" customHeight="1"/>
    <x:row r="904" ht="18" customHeight="1"/>
    <x:row r="905" ht="18" customHeight="1"/>
    <x:row r="906" ht="18" customHeight="1"/>
    <x:row r="907" ht="18" customHeight="1"/>
    <x:row r="908" ht="18" customHeight="1"/>
    <x:row r="909" ht="18" customHeight="1"/>
    <x:row r="910" ht="18" customHeight="1"/>
    <x:row r="911" ht="18" customHeight="1"/>
    <x:row r="912" ht="18" customHeight="1"/>
    <x:row r="913" ht="18" customHeight="1"/>
    <x:row r="914" ht="18" customHeight="1"/>
    <x:row r="915" ht="18" customHeight="1"/>
    <x:row r="916" ht="18" customHeight="1"/>
    <x:row r="917" ht="18" customHeight="1"/>
    <x:row r="918" ht="18" customHeight="1"/>
    <x:row r="919" ht="18" customHeight="1"/>
    <x:row r="920" ht="18" customHeight="1"/>
    <x:row r="921" ht="18" customHeight="1"/>
    <x:row r="922" ht="18" customHeight="1"/>
    <x:row r="923" ht="18" customHeight="1"/>
    <x:row r="924" ht="18" customHeight="1"/>
    <x:row r="925" ht="18" customHeight="1"/>
    <x:row r="926" ht="18" customHeight="1"/>
    <x:row r="927" ht="18" customHeight="1"/>
    <x:row r="928" ht="18" customHeight="1"/>
    <x:row r="929" ht="18" customHeight="1"/>
    <x:row r="930" ht="18" customHeight="1"/>
    <x:row r="931" ht="18" customHeight="1"/>
    <x:row r="932" ht="18" customHeight="1"/>
    <x:row r="933" ht="18" customHeight="1"/>
    <x:row r="934" ht="18" customHeight="1"/>
    <x:row r="935" ht="18" customHeight="1"/>
    <x:row r="936" ht="18" customHeight="1"/>
    <x:row r="937" ht="18" customHeight="1"/>
    <x:row r="938" ht="18" customHeight="1"/>
    <x:row r="939" ht="18" customHeight="1"/>
    <x:row r="940" ht="18" customHeight="1"/>
    <x:row r="941" ht="18" customHeight="1"/>
    <x:row r="942" ht="18" customHeight="1"/>
    <x:row r="943" ht="18" customHeight="1"/>
    <x:row r="944" ht="18" customHeight="1"/>
    <x:row r="945" ht="18" customHeight="1"/>
    <x:row r="946" ht="18" customHeight="1"/>
    <x:row r="947" ht="18" customHeight="1"/>
    <x:row r="948" ht="18" customHeight="1"/>
    <x:row r="949" ht="18" customHeight="1"/>
    <x:row r="950" ht="18" customHeight="1"/>
    <x:row r="951" ht="18" customHeight="1"/>
    <x:row r="952" ht="18" customHeight="1"/>
    <x:row r="953" ht="18" customHeight="1"/>
    <x:row r="954" ht="18" customHeight="1"/>
    <x:row r="955" ht="18" customHeight="1"/>
    <x:row r="956" ht="18" customHeight="1"/>
    <x:row r="957" ht="18" customHeight="1"/>
    <x:row r="958" ht="18" customHeight="1"/>
    <x:row r="959" ht="18" customHeight="1"/>
    <x:row r="960" ht="18" customHeight="1"/>
    <x:row r="961" ht="18" customHeight="1"/>
    <x:row r="962" ht="18" customHeight="1"/>
    <x:row r="963" ht="18" customHeight="1"/>
    <x:row r="964" ht="18" customHeight="1"/>
    <x:row r="965" ht="18" customHeight="1"/>
    <x:row r="966" ht="18" customHeight="1"/>
    <x:row r="967" ht="18" customHeight="1"/>
    <x:row r="968" ht="18" customHeight="1"/>
    <x:row r="969" ht="18" customHeight="1"/>
    <x:row r="970" ht="18" customHeight="1"/>
    <x:row r="971" ht="18" customHeight="1"/>
    <x:row r="972" ht="18" customHeight="1"/>
    <x:row r="973" ht="18" customHeight="1"/>
    <x:row r="974" ht="18" customHeight="1"/>
    <x:row r="975" ht="18" customHeight="1"/>
    <x:row r="976" ht="18" customHeight="1"/>
    <x:row r="977" ht="18" customHeight="1"/>
    <x:row r="978" ht="18" customHeight="1"/>
    <x:row r="979" ht="18" customHeight="1"/>
    <x:row r="980" ht="18" customHeight="1"/>
    <x:row r="981" ht="18" customHeight="1"/>
    <x:row r="982" ht="18" customHeight="1"/>
    <x:row r="983" ht="18" customHeight="1"/>
    <x:row r="984" ht="18" customHeight="1"/>
    <x:row r="985" ht="18" customHeight="1"/>
    <x:row r="986" ht="18" customHeight="1"/>
    <x:row r="987" ht="18" customHeight="1"/>
    <x:row r="988" ht="18" customHeight="1"/>
    <x:row r="989" ht="18" customHeight="1"/>
    <x:row r="990" ht="18" customHeight="1"/>
    <x:row r="991" ht="18" customHeight="1"/>
    <x:row r="992" ht="18" customHeight="1"/>
    <x:row r="993" ht="18" customHeight="1"/>
    <x:row r="994" ht="18" customHeight="1"/>
    <x:row r="995" ht="18" customHeight="1"/>
    <x:row r="996" ht="18" customHeight="1"/>
    <x:row r="997" ht="18" customHeight="1"/>
    <x:row r="998" ht="18" customHeight="1"/>
    <x:row r="999" ht="18" customHeight="1"/>
    <x:row r="1000" ht="18" customHeight="1"/>
    <x:row r="1001" ht="18" customHeight="1"/>
    <x:row r="1002" ht="18" customHeight="1"/>
    <x:row r="1003" ht="18" customHeight="1"/>
    <x:row r="1004" ht="18" customHeight="1"/>
    <x:row r="1005" ht="18" customHeight="1"/>
    <x:row r="1006" ht="18" customHeight="1"/>
    <x:row r="1007" ht="18" customHeight="1"/>
    <x:row r="1008" ht="18" customHeight="1"/>
    <x:row r="1009" ht="18" customHeight="1"/>
    <x:row r="1010" ht="18" customHeight="1"/>
    <x:row r="1011" ht="18" customHeight="1"/>
    <x:row r="1012" ht="18" customHeight="1"/>
    <x:row r="1013" ht="18" customHeight="1"/>
    <x:row r="1014" ht="18" customHeight="1"/>
    <x:row r="1015" ht="18" customHeight="1"/>
    <x:row r="1016" ht="18" customHeight="1"/>
    <x:row r="1017" ht="18" customHeight="1"/>
    <x:row r="1018" ht="18" customHeight="1"/>
    <x:row r="1019" ht="18" customHeight="1"/>
    <x:row r="1020" ht="18" customHeight="1"/>
    <x:row r="1021" ht="18" customHeight="1"/>
    <x:row r="1022" ht="18" customHeight="1"/>
    <x:row r="1023" ht="18" customHeight="1"/>
    <x:row r="1024" ht="18" customHeight="1"/>
    <x:row r="1025" ht="18" customHeight="1"/>
    <x:row r="1026" ht="18" customHeight="1"/>
    <x:row r="1027" ht="18" customHeight="1"/>
    <x:row r="1028" ht="18" customHeight="1"/>
    <x:row r="1029" ht="18" customHeight="1"/>
    <x:row r="1030" ht="18" customHeight="1"/>
    <x:row r="1031" ht="18" customHeight="1"/>
    <x:row r="1032" ht="18" customHeight="1"/>
    <x:row r="1033" ht="18" customHeight="1"/>
    <x:row r="1034" ht="18" customHeight="1"/>
    <x:row r="1035" ht="18" customHeight="1"/>
    <x:row r="1036" ht="18" customHeight="1"/>
    <x:row r="1037" ht="18" customHeight="1"/>
    <x:row r="1038" ht="18" customHeight="1"/>
    <x:row r="1039" ht="18" customHeight="1"/>
    <x:row r="1040" ht="18" customHeight="1"/>
    <x:row r="1041" ht="18" customHeight="1"/>
    <x:row r="1042" ht="18" customHeight="1"/>
    <x:row r="1043" ht="18" customHeight="1"/>
    <x:row r="1044" ht="18" customHeight="1"/>
    <x:row r="1045" ht="18" customHeight="1"/>
    <x:row r="1046" ht="18" customHeight="1"/>
    <x:row r="1047" ht="18" customHeight="1"/>
    <x:row r="1048" ht="18" customHeight="1"/>
    <x:row r="1049" ht="18" customHeight="1"/>
    <x:row r="1050" ht="18" customHeight="1"/>
    <x:row r="1051" ht="18" customHeight="1"/>
    <x:row r="1052" ht="18" customHeight="1"/>
    <x:row r="1053" ht="18" customHeight="1"/>
    <x:row r="1054" ht="18" customHeight="1"/>
    <x:row r="1055" ht="18" customHeight="1"/>
    <x:row r="1056" ht="18" customHeight="1"/>
    <x:row r="1057" ht="18" customHeight="1"/>
    <x:row r="1058" ht="18" customHeight="1"/>
    <x:row r="1059" ht="18" customHeight="1"/>
    <x:row r="1060" ht="18" customHeight="1"/>
    <x:row r="1061" ht="18" customHeight="1"/>
    <x:row r="1062" ht="18" customHeight="1"/>
    <x:row r="1063" ht="18" customHeight="1"/>
    <x:row r="1064" ht="18" customHeight="1"/>
    <x:row r="1065" ht="18" customHeight="1"/>
    <x:row r="1066" ht="18" customHeight="1"/>
    <x:row r="1067" ht="18" customHeight="1"/>
    <x:row r="1068" ht="18" customHeight="1"/>
    <x:row r="1069" ht="18" customHeight="1"/>
    <x:row r="1070" ht="18" customHeight="1"/>
    <x:row r="1071" ht="18" customHeight="1"/>
    <x:row r="1072" ht="18" customHeight="1"/>
    <x:row r="1073" ht="18" customHeight="1"/>
    <x:row r="1074" ht="18" customHeight="1"/>
    <x:row r="1075" ht="18" customHeight="1"/>
    <x:row r="1076" ht="18" customHeight="1"/>
    <x:row r="1077" ht="18" customHeight="1"/>
    <x:row r="1078" ht="18" customHeight="1"/>
    <x:row r="1079" ht="18" customHeight="1"/>
    <x:row r="1080" ht="18" customHeight="1"/>
    <x:row r="1081" ht="18" customHeight="1"/>
    <x:row r="1082" ht="18" customHeight="1"/>
    <x:row r="1083" ht="18" customHeight="1"/>
    <x:row r="1084" ht="18" customHeight="1"/>
    <x:row r="1085" ht="18" customHeight="1"/>
    <x:row r="1086" ht="18" customHeight="1"/>
    <x:row r="1087" ht="18" customHeight="1"/>
    <x:row r="1088" ht="18" customHeight="1"/>
    <x:row r="1089" ht="18" customHeight="1"/>
    <x:row r="1090" ht="18" customHeight="1"/>
    <x:row r="1091" ht="18" customHeight="1"/>
    <x:row r="1092" ht="18" customHeight="1"/>
    <x:row r="1093" ht="18" customHeight="1"/>
    <x:row r="1094" ht="18" customHeight="1"/>
    <x:row r="1095" ht="18" customHeight="1"/>
    <x:row r="1096" ht="18" customHeight="1"/>
    <x:row r="1097" ht="18" customHeight="1"/>
    <x:row r="1098" ht="18" customHeight="1"/>
    <x:row r="1099" ht="18" customHeight="1"/>
    <x:row r="1100" ht="18" customHeight="1"/>
    <x:row r="1101" ht="18" customHeight="1"/>
    <x:row r="1102" ht="18" customHeight="1"/>
    <x:row r="1103" ht="18" customHeight="1"/>
    <x:row r="1104" ht="18" customHeight="1"/>
    <x:row r="1105" ht="18" customHeight="1"/>
    <x:row r="1106" ht="18" customHeight="1"/>
    <x:row r="1107" ht="18" customHeight="1"/>
    <x:row r="1108" ht="18" customHeight="1"/>
    <x:row r="1109" ht="18" customHeight="1"/>
    <x:row r="1110" ht="18" customHeight="1"/>
    <x:row r="1111" ht="18" customHeight="1"/>
    <x:row r="1112" ht="18" customHeight="1"/>
    <x:row r="1113" ht="18" customHeight="1"/>
    <x:row r="1114" ht="18" customHeight="1"/>
    <x:row r="1115" ht="18" customHeight="1"/>
    <x:row r="1116" ht="18" customHeight="1"/>
    <x:row r="1117" ht="18" customHeight="1"/>
    <x:row r="1118" ht="18" customHeight="1"/>
    <x:row r="1119" ht="18" customHeight="1"/>
    <x:row r="1120" ht="18" customHeight="1"/>
    <x:row r="1121" ht="18" customHeight="1"/>
    <x:row r="1122" ht="18" customHeight="1"/>
    <x:row r="1123" ht="18" customHeight="1"/>
    <x:row r="1124" ht="18" customHeight="1"/>
    <x:row r="1125" ht="18" customHeight="1"/>
    <x:row r="1126" ht="18" customHeight="1"/>
    <x:row r="1127" ht="18" customHeight="1"/>
    <x:row r="1128" ht="18" customHeight="1"/>
    <x:row r="1129" ht="18" customHeight="1"/>
    <x:row r="1130" ht="18" customHeight="1"/>
    <x:row r="1131" ht="18" customHeight="1"/>
    <x:row r="1132" ht="18" customHeight="1"/>
    <x:row r="1133" ht="18" customHeight="1"/>
    <x:row r="1134" ht="18" customHeight="1"/>
    <x:row r="1135" ht="18" customHeight="1"/>
    <x:row r="1136" ht="18" customHeight="1"/>
    <x:row r="1137" ht="18" customHeight="1"/>
    <x:row r="1138" ht="18" customHeight="1"/>
    <x:row r="1139" ht="18" customHeight="1"/>
    <x:row r="1140" ht="18" customHeight="1"/>
    <x:row r="1141" ht="18" customHeight="1"/>
    <x:row r="1142" ht="18" customHeight="1"/>
    <x:row r="1143" ht="18" customHeight="1"/>
    <x:row r="1144" ht="18" customHeight="1"/>
    <x:row r="1145" ht="18" customHeight="1"/>
    <x:row r="1146" ht="18" customHeight="1"/>
    <x:row r="1147" ht="18" customHeight="1"/>
    <x:row r="1148" ht="18" customHeight="1"/>
    <x:row r="1149" ht="18" customHeight="1"/>
    <x:row r="1150" ht="18" customHeight="1"/>
    <x:row r="1151" ht="18" customHeight="1"/>
    <x:row r="1152" ht="18" customHeight="1"/>
    <x:row r="1153" ht="18" customHeight="1"/>
    <x:row r="1154" ht="18" customHeight="1"/>
    <x:row r="1155" ht="18" customHeight="1"/>
    <x:row r="1156" ht="18" customHeight="1"/>
    <x:row r="1157" ht="18" customHeight="1"/>
    <x:row r="1158" ht="18" customHeight="1"/>
    <x:row r="1159" ht="18" customHeight="1"/>
    <x:row r="1160" ht="18" customHeight="1"/>
    <x:row r="1161" ht="18" customHeight="1"/>
    <x:row r="1162" ht="18" customHeight="1"/>
    <x:row r="1163" ht="18" customHeight="1"/>
    <x:row r="1164" ht="18" customHeight="1"/>
    <x:row r="1165" ht="18" customHeight="1"/>
    <x:row r="1166" ht="18" customHeight="1"/>
    <x:row r="1167" ht="18" customHeight="1"/>
    <x:row r="1168" ht="18" customHeight="1"/>
    <x:row r="1169" ht="18" customHeight="1"/>
    <x:row r="1170" ht="18" customHeight="1"/>
    <x:row r="1171" ht="18" customHeight="1"/>
    <x:row r="1172" ht="18" customHeight="1"/>
    <x:row r="1173" ht="18" customHeight="1"/>
    <x:row r="1174" ht="18" customHeight="1"/>
    <x:row r="1175" ht="18" customHeight="1"/>
    <x:row r="1176" ht="18" customHeight="1"/>
    <x:row r="1177" ht="18" customHeight="1"/>
    <x:row r="1178" ht="18" customHeight="1"/>
    <x:row r="1179" ht="18" customHeight="1"/>
    <x:row r="1180" ht="18" customHeight="1"/>
    <x:row r="1181" ht="18" customHeight="1"/>
    <x:row r="1182" ht="18" customHeight="1"/>
    <x:row r="1183" ht="18" customHeight="1"/>
    <x:row r="1184" ht="18" customHeight="1"/>
    <x:row r="1185" ht="18" customHeight="1"/>
    <x:row r="1186" ht="18" customHeight="1"/>
    <x:row r="1187" ht="18" customHeight="1"/>
    <x:row r="1188" ht="18" customHeight="1"/>
    <x:row r="1189" ht="18" customHeight="1"/>
    <x:row r="1190" ht="18" customHeight="1"/>
    <x:row r="1191" ht="18" customHeight="1"/>
    <x:row r="1192" ht="18" customHeight="1"/>
    <x:row r="1193" ht="18" customHeight="1"/>
    <x:row r="1194" ht="18" customHeight="1"/>
    <x:row r="1195" ht="18" customHeight="1"/>
    <x:row r="1196" ht="18" customHeight="1"/>
    <x:row r="1197" ht="18" customHeight="1"/>
    <x:row r="1198" ht="18" customHeight="1"/>
    <x:row r="1199" ht="18" customHeight="1"/>
    <x:row r="1200" ht="18" customHeight="1"/>
    <x:row r="1201" ht="18" customHeight="1"/>
    <x:row r="1202" ht="18" customHeight="1"/>
    <x:row r="1203" ht="18" customHeight="1"/>
    <x:row r="1204" ht="18" customHeight="1"/>
    <x:row r="1205" ht="18" customHeight="1"/>
    <x:row r="1206" ht="18" customHeight="1"/>
    <x:row r="1207" ht="18" customHeight="1"/>
    <x:row r="1208" ht="18" customHeight="1"/>
    <x:row r="1209" ht="18" customHeight="1"/>
    <x:row r="1210" ht="18" customHeight="1"/>
    <x:row r="1211" ht="18" customHeight="1"/>
    <x:row r="1212" ht="18" customHeight="1"/>
    <x:row r="1213" ht="18" customHeight="1"/>
    <x:row r="1214" ht="18" customHeight="1"/>
    <x:row r="1215" ht="18" customHeight="1"/>
    <x:row r="1216" ht="18" customHeight="1"/>
    <x:row r="1217" ht="18" customHeight="1"/>
    <x:row r="1218" ht="18" customHeight="1"/>
    <x:row r="1219" ht="18" customHeight="1"/>
    <x:row r="1220" ht="18" customHeight="1"/>
    <x:row r="1221" ht="18" customHeight="1"/>
    <x:row r="1222" ht="18" customHeight="1"/>
    <x:row r="1223" ht="18" customHeight="1"/>
    <x:row r="1224" ht="18" customHeight="1"/>
    <x:row r="1225" ht="18" customHeight="1"/>
    <x:row r="1226" ht="18" customHeight="1"/>
    <x:row r="1227" ht="18" customHeight="1"/>
    <x:row r="1228" ht="18" customHeight="1"/>
    <x:row r="1229" ht="18" customHeight="1"/>
    <x:row r="1230" ht="18" customHeight="1"/>
    <x:row r="1231" ht="18" customHeight="1"/>
    <x:row r="1232" ht="18" customHeight="1"/>
    <x:row r="1233" ht="18" customHeight="1"/>
    <x:row r="1234" ht="18" customHeight="1"/>
    <x:row r="1235" ht="18" customHeight="1"/>
    <x:row r="1236" ht="18" customHeight="1"/>
    <x:row r="1237" ht="18" customHeight="1"/>
    <x:row r="1238" ht="18" customHeight="1"/>
    <x:row r="1239" ht="18" customHeight="1"/>
    <x:row r="1240" ht="18" customHeight="1"/>
    <x:row r="1241" ht="18" customHeight="1"/>
    <x:row r="1242" ht="18" customHeight="1"/>
    <x:row r="1243" ht="18" customHeight="1"/>
    <x:row r="1244" ht="18" customHeight="1"/>
    <x:row r="1245" ht="18" customHeight="1"/>
    <x:row r="1246" ht="18" customHeight="1"/>
    <x:row r="1247" ht="18" customHeight="1"/>
    <x:row r="1248" ht="18" customHeight="1"/>
    <x:row r="1249" ht="18" customHeight="1"/>
    <x:row r="1250" ht="18" customHeight="1"/>
    <x:row r="1251" ht="18" customHeight="1"/>
    <x:row r="1252" ht="18" customHeight="1"/>
    <x:row r="1253" ht="18" customHeight="1"/>
    <x:row r="1254" ht="18" customHeight="1"/>
    <x:row r="1255" ht="18" customHeight="1"/>
    <x:row r="1256" ht="18" customHeight="1"/>
    <x:row r="1257" ht="18" customHeight="1"/>
    <x:row r="1258" ht="18" customHeight="1"/>
    <x:row r="1259" ht="18" customHeight="1"/>
    <x:row r="1260" ht="18" customHeight="1"/>
    <x:row r="1261" ht="18" customHeight="1"/>
    <x:row r="1262" ht="18" customHeight="1"/>
    <x:row r="1263" ht="18" customHeight="1"/>
    <x:row r="1264" ht="18" customHeight="1"/>
    <x:row r="1265" ht="18" customHeight="1"/>
    <x:row r="1266" ht="18" customHeight="1"/>
    <x:row r="1267" ht="18" customHeight="1"/>
    <x:row r="1268" ht="18" customHeight="1"/>
    <x:row r="1269" ht="18" customHeight="1"/>
    <x:row r="1270" ht="18" customHeight="1"/>
    <x:row r="1271" ht="18" customHeight="1"/>
    <x:row r="1272" ht="18" customHeight="1"/>
    <x:row r="1273" ht="18" customHeight="1"/>
    <x:row r="1274" ht="18" customHeight="1"/>
    <x:row r="1275" ht="18" customHeight="1"/>
    <x:row r="1276" ht="18" customHeight="1"/>
    <x:row r="1277" ht="18" customHeight="1"/>
    <x:row r="1278" ht="18" customHeight="1"/>
    <x:row r="1279" ht="18" customHeight="1"/>
    <x:row r="1280" ht="18" customHeight="1"/>
    <x:row r="1281" ht="18" customHeight="1"/>
    <x:row r="1282" ht="18" customHeight="1"/>
    <x:row r="1283" ht="18" customHeight="1"/>
    <x:row r="1284" ht="18" customHeight="1"/>
    <x:row r="1285" ht="18" customHeight="1"/>
    <x:row r="1286" ht="18" customHeight="1"/>
    <x:row r="1287" ht="18" customHeight="1"/>
    <x:row r="1288" ht="18" customHeight="1"/>
    <x:row r="1289" ht="18" customHeight="1"/>
    <x:row r="1290" ht="18" customHeight="1"/>
    <x:row r="1291" ht="18" customHeight="1"/>
    <x:row r="1292" ht="18" customHeight="1"/>
    <x:row r="1293" ht="18" customHeight="1"/>
    <x:row r="1294" ht="18" customHeight="1"/>
    <x:row r="1295" ht="18" customHeight="1"/>
    <x:row r="1296" ht="18" customHeight="1"/>
    <x:row r="1297" ht="18" customHeight="1"/>
    <x:row r="1298" ht="18" customHeight="1"/>
    <x:row r="1299" ht="18" customHeight="1"/>
    <x:row r="1300" ht="18" customHeight="1"/>
    <x:row r="1301" ht="18" customHeight="1"/>
    <x:row r="1302" ht="18" customHeight="1"/>
    <x:row r="1303" ht="18" customHeight="1"/>
    <x:row r="1304" ht="18" customHeight="1"/>
    <x:row r="1305" ht="18" customHeight="1"/>
    <x:row r="1306" ht="18" customHeight="1"/>
    <x:row r="1307" ht="18" customHeight="1"/>
    <x:row r="1308" ht="18" customHeight="1"/>
    <x:row r="1309" ht="18" customHeight="1"/>
    <x:row r="1310" ht="18" customHeight="1"/>
    <x:row r="1311" ht="18" customHeight="1"/>
    <x:row r="1312" ht="18" customHeight="1"/>
    <x:row r="1313" ht="18" customHeight="1"/>
    <x:row r="1314" ht="18" customHeight="1"/>
    <x:row r="1315" ht="18" customHeight="1"/>
    <x:row r="1316" ht="18" customHeight="1"/>
    <x:row r="1317" ht="18" customHeight="1"/>
    <x:row r="1318" ht="18" customHeight="1"/>
    <x:row r="1319" ht="18" customHeight="1"/>
    <x:row r="1320" ht="18" customHeight="1"/>
    <x:row r="1321" ht="18" customHeight="1"/>
    <x:row r="1322" ht="18" customHeight="1"/>
    <x:row r="1323" ht="18" customHeight="1"/>
    <x:row r="1324" ht="18" customHeight="1"/>
    <x:row r="1325" ht="18" customHeight="1"/>
    <x:row r="1326" ht="18" customHeight="1"/>
    <x:row r="1327" ht="18" customHeight="1"/>
    <x:row r="1328" ht="18" customHeight="1"/>
    <x:row r="1329" ht="18" customHeight="1"/>
    <x:row r="1330" ht="18" customHeight="1"/>
    <x:row r="1331" ht="18" customHeight="1"/>
    <x:row r="1332" ht="18" customHeight="1"/>
    <x:row r="1333" ht="18" customHeight="1"/>
    <x:row r="1334" ht="18" customHeight="1"/>
    <x:row r="1335" ht="18" customHeight="1"/>
    <x:row r="1336" ht="18" customHeight="1"/>
    <x:row r="1337" ht="18" customHeight="1"/>
    <x:row r="1338" ht="18" customHeight="1"/>
    <x:row r="1339" ht="18" customHeight="1"/>
    <x:row r="1340" ht="18" customHeight="1"/>
    <x:row r="1341" ht="18" customHeight="1"/>
    <x:row r="1342" ht="18" customHeight="1"/>
    <x:row r="1343" ht="18" customHeight="1"/>
    <x:row r="1344" ht="18" customHeight="1"/>
    <x:row r="1345" ht="18" customHeight="1"/>
    <x:row r="1346" ht="18" customHeight="1"/>
    <x:row r="1347" ht="18" customHeight="1"/>
    <x:row r="1348" ht="18" customHeight="1"/>
    <x:row r="1349" ht="18" customHeight="1"/>
    <x:row r="1350" ht="18" customHeight="1"/>
    <x:row r="1351" ht="18" customHeight="1"/>
    <x:row r="1352" ht="18" customHeight="1"/>
    <x:row r="1353" ht="18" customHeight="1"/>
    <x:row r="1354" ht="18" customHeight="1"/>
    <x:row r="1355" ht="18" customHeight="1"/>
    <x:row r="1356" ht="18" customHeight="1"/>
    <x:row r="1357" ht="18" customHeight="1"/>
    <x:row r="1358" ht="18" customHeight="1"/>
    <x:row r="1359" ht="18" customHeight="1"/>
    <x:row r="1360" ht="18" customHeight="1"/>
    <x:row r="1361" ht="18" customHeight="1"/>
    <x:row r="1362" ht="18" customHeight="1"/>
    <x:row r="1363" ht="18" customHeight="1"/>
    <x:row r="1364" ht="18" customHeight="1"/>
    <x:row r="1365" ht="18" customHeight="1"/>
    <x:row r="1366" ht="18" customHeight="1"/>
    <x:row r="1367" ht="18" customHeight="1"/>
    <x:row r="1368" ht="18" customHeight="1"/>
    <x:row r="1369" ht="18" customHeight="1"/>
    <x:row r="1370" ht="18" customHeight="1"/>
    <x:row r="1371" ht="18" customHeight="1"/>
    <x:row r="1372" ht="18" customHeight="1"/>
    <x:row r="1373" ht="18" customHeight="1"/>
    <x:row r="1374" ht="18" customHeight="1"/>
    <x:row r="1375" ht="18" customHeight="1"/>
    <x:row r="1376" ht="18" customHeight="1"/>
    <x:row r="1377" ht="18" customHeight="1"/>
    <x:row r="1378" ht="18" customHeight="1"/>
    <x:row r="1379" ht="18" customHeight="1"/>
    <x:row r="1380" ht="18" customHeight="1"/>
    <x:row r="1381" ht="18" customHeight="1"/>
    <x:row r="1382" ht="18" customHeight="1"/>
    <x:row r="1383" ht="18" customHeight="1"/>
    <x:row r="1384" ht="18" customHeight="1"/>
    <x:row r="1385" ht="18" customHeight="1"/>
    <x:row r="1386" ht="18" customHeight="1"/>
    <x:row r="1387" ht="18" customHeight="1"/>
    <x:row r="1388" ht="18" customHeight="1"/>
    <x:row r="1389" ht="18" customHeight="1"/>
    <x:row r="1390" ht="18" customHeight="1"/>
    <x:row r="1391" ht="18" customHeight="1"/>
    <x:row r="1392" ht="18" customHeight="1"/>
    <x:row r="1393" ht="18" customHeight="1"/>
    <x:row r="1394" ht="18" customHeight="1"/>
    <x:row r="1395" ht="18" customHeight="1"/>
    <x:row r="1396" ht="18" customHeight="1"/>
    <x:row r="1397" ht="18" customHeight="1"/>
    <x:row r="1398" ht="18" customHeight="1"/>
    <x:row r="1399" ht="18" customHeight="1"/>
    <x:row r="1400" ht="18" customHeight="1"/>
    <x:row r="1401" ht="18" customHeight="1"/>
    <x:row r="1402" ht="18" customHeight="1"/>
    <x:row r="1403" ht="18" customHeight="1"/>
    <x:row r="1404" ht="18" customHeight="1"/>
    <x:row r="1405" ht="18" customHeight="1"/>
    <x:row r="1406" ht="18" customHeight="1"/>
    <x:row r="1407" ht="18" customHeight="1"/>
    <x:row r="1408" ht="18" customHeight="1"/>
    <x:row r="1409" ht="18" customHeight="1"/>
    <x:row r="1410" ht="18" customHeight="1"/>
    <x:row r="1411" ht="18" customHeight="1"/>
    <x:row r="1412" ht="18" customHeight="1"/>
    <x:row r="1413" ht="18" customHeight="1"/>
    <x:row r="1414" ht="18" customHeight="1"/>
    <x:row r="1415" ht="18" customHeight="1"/>
    <x:row r="1416" ht="18" customHeight="1"/>
    <x:row r="1417" ht="18" customHeight="1"/>
    <x:row r="1418" ht="18" customHeight="1"/>
    <x:row r="1419" ht="18" customHeight="1"/>
    <x:row r="1420" ht="18" customHeight="1"/>
    <x:row r="1421" ht="18" customHeight="1"/>
    <x:row r="1422" ht="18" customHeight="1"/>
    <x:row r="1423" ht="18" customHeight="1"/>
    <x:row r="1424" ht="18" customHeight="1"/>
    <x:row r="1425" ht="18" customHeight="1"/>
    <x:row r="1426" ht="18" customHeight="1"/>
    <x:row r="1427" ht="18" customHeight="1"/>
    <x:row r="1428" ht="18" customHeight="1"/>
    <x:row r="1429" ht="18" customHeight="1"/>
    <x:row r="1430" ht="18" customHeight="1"/>
    <x:row r="1431" ht="18" customHeight="1"/>
    <x:row r="1432" ht="18" customHeight="1"/>
    <x:row r="1433" ht="18" customHeight="1"/>
    <x:row r="1434" ht="18" customHeight="1"/>
    <x:row r="1435" ht="18" customHeight="1"/>
    <x:row r="1436" ht="18" customHeight="1"/>
    <x:row r="1437" ht="18" customHeight="1"/>
    <x:row r="1438" ht="18" customHeight="1"/>
    <x:row r="1439" ht="18" customHeight="1"/>
    <x:row r="1440" ht="18" customHeight="1"/>
    <x:row r="1441" ht="18" customHeight="1"/>
    <x:row r="1442" ht="18" customHeight="1"/>
    <x:row r="1443" ht="18" customHeight="1"/>
    <x:row r="1444" ht="18" customHeight="1"/>
    <x:row r="1445" ht="18" customHeight="1"/>
    <x:row r="1446" ht="18" customHeight="1"/>
    <x:row r="1447" ht="18" customHeight="1"/>
    <x:row r="1448" ht="18" customHeight="1"/>
    <x:row r="1449" ht="18" customHeight="1"/>
    <x:row r="1450" ht="18" customHeight="1"/>
    <x:row r="1451" ht="18" customHeight="1"/>
    <x:row r="1452" ht="18" customHeight="1"/>
    <x:row r="1453" ht="18" customHeight="1"/>
    <x:row r="1454" ht="18" customHeight="1"/>
    <x:row r="1455" ht="18" customHeight="1"/>
    <x:row r="1456" ht="18" customHeight="1"/>
    <x:row r="1457" ht="18" customHeight="1"/>
    <x:row r="1458" ht="18" customHeight="1"/>
    <x:row r="1459" ht="18" customHeight="1"/>
    <x:row r="1460" ht="18" customHeight="1"/>
    <x:row r="1461" ht="18" customHeight="1"/>
    <x:row r="1462" ht="18" customHeight="1"/>
    <x:row r="1463" ht="18" customHeight="1"/>
    <x:row r="1464" ht="18" customHeight="1"/>
    <x:row r="1465" ht="18" customHeight="1"/>
    <x:row r="1466" ht="18" customHeight="1"/>
    <x:row r="1467" ht="18" customHeight="1"/>
    <x:row r="1468" ht="18" customHeight="1"/>
    <x:row r="1469" ht="18" customHeight="1"/>
    <x:row r="1470" ht="18" customHeight="1"/>
    <x:row r="1471" ht="18" customHeight="1"/>
    <x:row r="1472" ht="18" customHeight="1"/>
    <x:row r="1473" ht="18" customHeight="1"/>
    <x:row r="1474" ht="18" customHeight="1"/>
    <x:row r="1475" ht="18" customHeight="1"/>
    <x:row r="1476" ht="18" customHeight="1"/>
    <x:row r="1477" ht="18" customHeight="1"/>
    <x:row r="1478" ht="18" customHeight="1"/>
    <x:row r="1479" ht="18" customHeight="1"/>
    <x:row r="1480" ht="18" customHeight="1"/>
    <x:row r="1481" ht="18" customHeight="1"/>
    <x:row r="1482" ht="18" customHeight="1"/>
    <x:row r="1483" ht="18" customHeight="1"/>
    <x:row r="1484" ht="18" customHeight="1"/>
    <x:row r="1485" ht="18" customHeight="1"/>
    <x:row r="1486" ht="18" customHeight="1"/>
    <x:row r="1487" ht="18" customHeight="1"/>
    <x:row r="1488" ht="18" customHeight="1"/>
    <x:row r="1489" ht="18" customHeight="1"/>
    <x:row r="1490" ht="18" customHeight="1"/>
    <x:row r="1491" ht="18" customHeight="1"/>
    <x:row r="1492" ht="18" customHeight="1"/>
    <x:row r="1493" ht="18" customHeight="1"/>
    <x:row r="1494" ht="18" customHeight="1"/>
    <x:row r="1495" ht="18" customHeight="1"/>
    <x:row r="1496" ht="18" customHeight="1"/>
    <x:row r="1497" ht="18" customHeight="1"/>
    <x:row r="1498" ht="18" customHeight="1"/>
    <x:row r="1499" ht="18" customHeight="1"/>
    <x:row r="1500" ht="18" customHeight="1"/>
    <x:row r="1501" ht="18" customHeight="1"/>
    <x:row r="1502" ht="18" customHeight="1"/>
    <x:row r="1503" ht="18" customHeight="1"/>
    <x:row r="1504" ht="18" customHeight="1"/>
    <x:row r="1505" ht="18" customHeight="1"/>
    <x:row r="1506" ht="18" customHeight="1"/>
    <x:row r="1507" ht="18" customHeight="1"/>
    <x:row r="1508" ht="18" customHeight="1"/>
    <x:row r="1509" ht="18" customHeight="1"/>
    <x:row r="1510" ht="18" customHeight="1"/>
    <x:row r="1511" ht="18" customHeight="1"/>
    <x:row r="1512" ht="18" customHeight="1"/>
    <x:row r="1513" ht="18" customHeight="1"/>
    <x:row r="1514" ht="18" customHeight="1"/>
    <x:row r="1515" ht="18" customHeight="1"/>
    <x:row r="1516" ht="18" customHeight="1"/>
    <x:row r="1517" ht="18" customHeight="1"/>
    <x:row r="1518" ht="18" customHeight="1"/>
    <x:row r="1519" ht="18" customHeight="1"/>
    <x:row r="1520" ht="18" customHeight="1"/>
    <x:row r="1521" ht="18" customHeight="1"/>
    <x:row r="1522" ht="18" customHeight="1"/>
    <x:row r="1523" ht="18" customHeight="1"/>
    <x:row r="1524" ht="18" customHeight="1"/>
    <x:row r="1525" ht="18" customHeight="1"/>
    <x:row r="1526" ht="18" customHeight="1"/>
    <x:row r="1527" ht="18" customHeight="1"/>
    <x:row r="1528" ht="18" customHeight="1"/>
    <x:row r="1529" ht="18" customHeight="1"/>
    <x:row r="1530" ht="18" customHeight="1"/>
    <x:row r="1531" ht="18" customHeight="1"/>
    <x:row r="1532" ht="18" customHeight="1"/>
    <x:row r="1533" ht="18" customHeight="1"/>
    <x:row r="1534" ht="18" customHeight="1"/>
    <x:row r="1535" ht="18" customHeight="1"/>
    <x:row r="1536" ht="18" customHeight="1"/>
    <x:row r="1537" ht="18" customHeight="1"/>
    <x:row r="1538" ht="18" customHeight="1"/>
    <x:row r="1539" ht="18" customHeight="1"/>
    <x:row r="1540" ht="18" customHeight="1"/>
    <x:row r="1541" ht="18" customHeight="1"/>
    <x:row r="1542" ht="18" customHeight="1"/>
    <x:row r="1543" ht="18" customHeight="1"/>
    <x:row r="1544" ht="18" customHeight="1"/>
    <x:row r="1545" ht="18" customHeight="1"/>
    <x:row r="1546" ht="18" customHeight="1"/>
    <x:row r="1547" ht="18" customHeight="1"/>
    <x:row r="1548" ht="18" customHeight="1"/>
    <x:row r="1549" ht="18" customHeight="1"/>
    <x:row r="1550" ht="18" customHeight="1"/>
    <x:row r="1551" ht="18" customHeight="1"/>
    <x:row r="1552" ht="18" customHeight="1"/>
    <x:row r="1553" ht="18" customHeight="1"/>
    <x:row r="1554" ht="18" customHeight="1"/>
    <x:row r="1555" ht="18" customHeight="1"/>
    <x:row r="1556" ht="18" customHeight="1"/>
    <x:row r="1557" ht="18" customHeight="1"/>
    <x:row r="1558" ht="18" customHeight="1"/>
    <x:row r="1559" ht="18" customHeight="1"/>
    <x:row r="1560" ht="18" customHeight="1"/>
    <x:row r="1561" ht="18" customHeight="1"/>
    <x:row r="1562" ht="18" customHeight="1"/>
    <x:row r="1563" ht="18" customHeight="1"/>
    <x:row r="1564" ht="18" customHeight="1"/>
    <x:row r="1565" ht="18" customHeight="1"/>
    <x:row r="1566" ht="18" customHeight="1"/>
    <x:row r="1567" ht="18" customHeight="1"/>
    <x:row r="1568" ht="18" customHeight="1"/>
    <x:row r="1569" ht="18" customHeight="1"/>
    <x:row r="1570" ht="18" customHeight="1"/>
    <x:row r="1571" ht="18" customHeight="1"/>
    <x:row r="1572" ht="18" customHeight="1"/>
    <x:row r="1573" ht="18" customHeight="1"/>
    <x:row r="1574" ht="18" customHeight="1"/>
    <x:row r="1575" ht="18" customHeight="1"/>
    <x:row r="1576" ht="18" customHeight="1"/>
    <x:row r="1577" ht="18" customHeight="1"/>
    <x:row r="1578" ht="18" customHeight="1"/>
    <x:row r="1579" ht="18" customHeight="1"/>
    <x:row r="1580" ht="18" customHeight="1"/>
    <x:row r="1581" ht="18" customHeight="1"/>
    <x:row r="1582" ht="18" customHeight="1"/>
    <x:row r="1583" ht="18" customHeight="1"/>
    <x:row r="1584" ht="18" customHeight="1"/>
    <x:row r="1585" ht="18" customHeight="1"/>
    <x:row r="1586" ht="18" customHeight="1"/>
    <x:row r="1587" ht="18" customHeight="1"/>
    <x:row r="1588" ht="18" customHeight="1"/>
    <x:row r="1589" ht="18" customHeight="1"/>
    <x:row r="1590" ht="18" customHeight="1"/>
    <x:row r="1591" ht="18" customHeight="1"/>
    <x:row r="1592" ht="18" customHeight="1"/>
    <x:row r="1593" ht="18" customHeight="1"/>
    <x:row r="1594" ht="18" customHeight="1"/>
    <x:row r="1595" ht="18" customHeight="1"/>
    <x:row r="1596" ht="18" customHeight="1"/>
    <x:row r="1597" ht="18" customHeight="1"/>
    <x:row r="1598" ht="18" customHeight="1"/>
    <x:row r="1599" ht="18" customHeight="1"/>
    <x:row r="1600" ht="18" customHeight="1"/>
    <x:row r="1601" ht="18" customHeight="1"/>
    <x:row r="1602" ht="18" customHeight="1"/>
    <x:row r="1603" ht="18" customHeight="1"/>
    <x:row r="1604" ht="18" customHeight="1"/>
    <x:row r="1605" ht="18" customHeight="1"/>
    <x:row r="1606" ht="18" customHeight="1"/>
    <x:row r="1607" ht="18" customHeight="1"/>
    <x:row r="1608" ht="18" customHeight="1"/>
    <x:row r="1609" ht="18" customHeight="1"/>
    <x:row r="1610" ht="18" customHeight="1"/>
    <x:row r="1611" ht="18" customHeight="1"/>
    <x:row r="1612" ht="18" customHeight="1"/>
    <x:row r="1613" ht="18" customHeight="1"/>
    <x:row r="1614" ht="18" customHeight="1"/>
    <x:row r="1615" ht="18" customHeight="1"/>
    <x:row r="1616" ht="18" customHeight="1"/>
    <x:row r="1617" ht="18" customHeight="1"/>
    <x:row r="1618" ht="18" customHeight="1"/>
    <x:row r="1619" ht="18" customHeight="1"/>
    <x:row r="1620" ht="18" customHeight="1"/>
    <x:row r="1621" ht="18" customHeight="1"/>
    <x:row r="1622" ht="18" customHeight="1"/>
    <x:row r="1623" ht="18" customHeight="1"/>
    <x:row r="1624" ht="18" customHeight="1"/>
    <x:row r="1625" ht="18" customHeight="1"/>
    <x:row r="1626" ht="18" customHeight="1"/>
    <x:row r="1627" ht="18" customHeight="1"/>
    <x:row r="1628" ht="18" customHeight="1"/>
    <x:row r="1629" ht="18" customHeight="1"/>
    <x:row r="1630" ht="18" customHeight="1"/>
    <x:row r="1631" ht="18" customHeight="1"/>
    <x:row r="1632" ht="18" customHeight="1"/>
    <x:row r="1633" ht="18" customHeight="1"/>
    <x:row r="1634" ht="18" customHeight="1"/>
    <x:row r="1635" ht="18" customHeight="1"/>
    <x:row r="1636" ht="18" customHeight="1"/>
    <x:row r="1637" ht="18" customHeight="1"/>
    <x:row r="1638" ht="18" customHeight="1"/>
    <x:row r="1639" ht="18" customHeight="1"/>
    <x:row r="1640" ht="18" customHeight="1"/>
    <x:row r="1641" ht="18" customHeight="1"/>
    <x:row r="1642" ht="18" customHeight="1"/>
    <x:row r="1643" ht="18" customHeight="1"/>
    <x:row r="1644" ht="18" customHeight="1"/>
    <x:row r="1645" ht="18" customHeight="1"/>
    <x:row r="1646" ht="18" customHeight="1"/>
    <x:row r="1647" ht="18" customHeight="1"/>
    <x:row r="1648" ht="18" customHeight="1"/>
    <x:row r="1649" ht="18" customHeight="1"/>
    <x:row r="1650" ht="18" customHeight="1"/>
    <x:row r="1651" ht="18" customHeight="1"/>
    <x:row r="1652" ht="18" customHeight="1"/>
    <x:row r="1653" ht="18" customHeight="1"/>
    <x:row r="1654" ht="18" customHeight="1"/>
    <x:row r="1655" ht="18" customHeight="1"/>
    <x:row r="1656" ht="18" customHeight="1"/>
    <x:row r="1657" ht="18" customHeight="1"/>
    <x:row r="1658" ht="18" customHeight="1"/>
    <x:row r="1659" ht="18" customHeight="1"/>
    <x:row r="1660" ht="18" customHeight="1"/>
    <x:row r="1661" ht="18" customHeight="1"/>
    <x:row r="1662" ht="18" customHeight="1"/>
    <x:row r="1663" ht="18" customHeight="1"/>
    <x:row r="1664" ht="18" customHeight="1"/>
    <x:row r="1665" ht="18" customHeight="1"/>
    <x:row r="1666" ht="18" customHeight="1"/>
    <x:row r="1667" ht="18" customHeight="1"/>
    <x:row r="1668" ht="18" customHeight="1"/>
    <x:row r="1669" ht="18" customHeight="1"/>
    <x:row r="1670" ht="18" customHeight="1"/>
    <x:row r="1671" ht="18" customHeight="1"/>
    <x:row r="1672" ht="18" customHeight="1"/>
    <x:row r="1673" ht="18" customHeight="1"/>
    <x:row r="1674" ht="18" customHeight="1"/>
    <x:row r="1675" ht="18" customHeight="1"/>
    <x:row r="1676" ht="18" customHeight="1"/>
    <x:row r="1677" ht="18" customHeight="1"/>
    <x:row r="1678" ht="18" customHeight="1"/>
    <x:row r="1679" ht="18" customHeight="1"/>
    <x:row r="1680" ht="18" customHeight="1"/>
    <x:row r="1681" ht="18" customHeight="1"/>
    <x:row r="1682" ht="18" customHeight="1"/>
    <x:row r="1683" ht="18" customHeight="1"/>
    <x:row r="1684" ht="18" customHeight="1"/>
    <x:row r="1685" ht="18" customHeight="1"/>
    <x:row r="1686" ht="18" customHeight="1"/>
    <x:row r="1687" ht="18" customHeight="1"/>
    <x:row r="1688" ht="18" customHeight="1"/>
    <x:row r="1689" ht="18" customHeight="1"/>
    <x:row r="1690" ht="18" customHeight="1"/>
    <x:row r="1691" ht="18" customHeight="1"/>
    <x:row r="1692" ht="18" customHeight="1"/>
    <x:row r="1693" ht="18" customHeight="1"/>
    <x:row r="1694" ht="18" customHeight="1"/>
    <x:row r="1695" ht="18" customHeight="1"/>
    <x:row r="1696" ht="18" customHeight="1"/>
    <x:row r="1697" ht="18" customHeight="1"/>
    <x:row r="1698" ht="18" customHeight="1"/>
    <x:row r="1699" ht="18" customHeight="1"/>
    <x:row r="1700" ht="18" customHeight="1"/>
    <x:row r="1701" ht="18" customHeight="1"/>
    <x:row r="1702" ht="18" customHeight="1"/>
    <x:row r="1703" ht="18" customHeight="1"/>
    <x:row r="1704" ht="18" customHeight="1"/>
    <x:row r="1705" ht="18" customHeight="1"/>
    <x:row r="1706" ht="18" customHeight="1"/>
    <x:row r="1707" ht="18" customHeight="1"/>
    <x:row r="1708" ht="18" customHeight="1"/>
    <x:row r="1709" ht="18" customHeight="1"/>
    <x:row r="1710" ht="18" customHeight="1"/>
    <x:row r="1711" ht="18" customHeight="1"/>
    <x:row r="1712" ht="18" customHeight="1"/>
    <x:row r="1713" ht="18" customHeight="1"/>
    <x:row r="1714" ht="18" customHeight="1"/>
    <x:row r="1715" ht="18" customHeight="1"/>
    <x:row r="1716" ht="18" customHeight="1"/>
    <x:row r="1717" ht="18" customHeight="1"/>
    <x:row r="1718" ht="18" customHeight="1"/>
    <x:row r="1719" ht="18" customHeight="1"/>
    <x:row r="1720" ht="18" customHeight="1"/>
    <x:row r="1721" ht="18" customHeight="1"/>
    <x:row r="1722" ht="18" customHeight="1"/>
    <x:row r="1723" ht="18" customHeight="1"/>
    <x:row r="1724" ht="18" customHeight="1"/>
    <x:row r="1725" ht="18" customHeight="1"/>
    <x:row r="1726" ht="18" customHeight="1"/>
    <x:row r="1727" ht="18" customHeight="1"/>
    <x:row r="1728" ht="18" customHeight="1"/>
    <x:row r="1729" ht="18" customHeight="1"/>
    <x:row r="1730" ht="18" customHeight="1"/>
    <x:row r="1731" ht="18" customHeight="1"/>
    <x:row r="1732" ht="18" customHeight="1"/>
    <x:row r="1733" ht="18" customHeight="1"/>
    <x:row r="1734" ht="18" customHeight="1"/>
    <x:row r="1735" ht="18" customHeight="1"/>
    <x:row r="1736" ht="18" customHeight="1"/>
    <x:row r="1737" ht="18" customHeight="1"/>
    <x:row r="1738" ht="18" customHeight="1"/>
    <x:row r="1739" ht="18" customHeight="1"/>
    <x:row r="1740" ht="18" customHeight="1"/>
    <x:row r="1741" ht="18" customHeight="1"/>
    <x:row r="1742" ht="18" customHeight="1"/>
    <x:row r="1743" ht="18" customHeight="1"/>
    <x:row r="1744" ht="18" customHeight="1"/>
    <x:row r="1745" ht="18" customHeight="1"/>
    <x:row r="1746" ht="18" customHeight="1"/>
    <x:row r="1747" ht="18" customHeight="1"/>
    <x:row r="1748" ht="18" customHeight="1"/>
    <x:row r="1749" ht="18" customHeight="1"/>
    <x:row r="1750" ht="18" customHeight="1"/>
    <x:row r="1751" ht="18" customHeight="1"/>
    <x:row r="1752" ht="18" customHeight="1"/>
    <x:row r="1753" ht="18" customHeight="1"/>
    <x:row r="1754" ht="18" customHeight="1"/>
    <x:row r="1755" ht="18" customHeight="1"/>
    <x:row r="1756" ht="18" customHeight="1"/>
    <x:row r="1757" ht="18" customHeight="1"/>
    <x:row r="1758" ht="18" customHeight="1"/>
    <x:row r="1759" ht="18" customHeight="1"/>
    <x:row r="1760" ht="18" customHeight="1"/>
    <x:row r="1761" ht="18" customHeight="1"/>
    <x:row r="1762" ht="18" customHeight="1"/>
    <x:row r="1763" ht="18" customHeight="1"/>
    <x:row r="1764" ht="18" customHeight="1"/>
    <x:row r="1765" ht="18" customHeight="1"/>
    <x:row r="1766" ht="18" customHeight="1"/>
    <x:row r="1767" ht="18" customHeight="1"/>
    <x:row r="1768" ht="18" customHeight="1"/>
    <x:row r="1769" ht="18" customHeight="1"/>
    <x:row r="1770" ht="18" customHeight="1"/>
    <x:row r="1771" ht="18" customHeight="1"/>
    <x:row r="1772" ht="18" customHeight="1"/>
    <x:row r="1773" ht="18" customHeight="1"/>
    <x:row r="1774" ht="18" customHeight="1"/>
    <x:row r="1775" ht="18" customHeight="1"/>
    <x:row r="1776" ht="18" customHeight="1"/>
    <x:row r="1777" ht="18" customHeight="1"/>
    <x:row r="1778" ht="18" customHeight="1"/>
    <x:row r="1779" ht="18" customHeight="1"/>
    <x:row r="1780" ht="18" customHeight="1"/>
    <x:row r="1781" ht="18" customHeight="1"/>
    <x:row r="1782" ht="18" customHeight="1"/>
    <x:row r="1783" ht="18" customHeight="1"/>
    <x:row r="1784" ht="18" customHeight="1"/>
    <x:row r="1785" ht="18" customHeight="1"/>
    <x:row r="1786" ht="18" customHeight="1"/>
    <x:row r="1787" ht="18" customHeight="1"/>
    <x:row r="1788" ht="18" customHeight="1"/>
    <x:row r="1789" ht="18" customHeight="1"/>
    <x:row r="1790" ht="18" customHeight="1"/>
    <x:row r="1791" ht="18" customHeight="1"/>
    <x:row r="1792" ht="18" customHeight="1"/>
    <x:row r="1793" ht="18" customHeight="1"/>
    <x:row r="1794" ht="18" customHeight="1"/>
    <x:row r="1795" ht="18" customHeight="1"/>
    <x:row r="1796" ht="18" customHeight="1"/>
    <x:row r="1797" ht="18" customHeight="1"/>
    <x:row r="1798" ht="18" customHeight="1"/>
    <x:row r="1799" ht="18" customHeight="1"/>
    <x:row r="1800" ht="18" customHeight="1"/>
    <x:row r="1801" ht="18" customHeight="1"/>
    <x:row r="1802" ht="18" customHeight="1"/>
    <x:row r="1803" ht="18" customHeight="1"/>
    <x:row r="1804" ht="18" customHeight="1"/>
    <x:row r="1805" ht="18" customHeight="1"/>
    <x:row r="1806" ht="18" customHeight="1"/>
    <x:row r="1807" ht="18" customHeight="1"/>
    <x:row r="1808" ht="18" customHeight="1"/>
    <x:row r="1809" ht="18" customHeight="1"/>
    <x:row r="1810" ht="18" customHeight="1"/>
    <x:row r="1811" ht="18" customHeight="1"/>
    <x:row r="1812" ht="18" customHeight="1"/>
    <x:row r="1813" ht="18" customHeight="1"/>
    <x:row r="1814" ht="18" customHeight="1"/>
    <x:row r="1815" ht="18" customHeight="1"/>
    <x:row r="1816" ht="18" customHeight="1"/>
    <x:row r="1817" ht="18" customHeight="1"/>
    <x:row r="1818" ht="18" customHeight="1"/>
    <x:row r="1819" ht="18" customHeight="1"/>
    <x:row r="1820" ht="18" customHeight="1"/>
    <x:row r="1821" ht="18" customHeight="1"/>
    <x:row r="1822" ht="18" customHeight="1"/>
    <x:row r="1823" ht="18" customHeight="1"/>
    <x:row r="1824" ht="18" customHeight="1"/>
    <x:row r="1825" ht="18" customHeight="1"/>
    <x:row r="1826" ht="18" customHeight="1"/>
    <x:row r="1827" ht="18" customHeight="1"/>
    <x:row r="1828" ht="18" customHeight="1"/>
    <x:row r="1829" ht="18" customHeight="1"/>
    <x:row r="1830" ht="18" customHeight="1"/>
    <x:row r="1831" ht="18" customHeight="1"/>
    <x:row r="1832" ht="18" customHeight="1"/>
    <x:row r="1833" ht="18" customHeight="1"/>
    <x:row r="1834" ht="18" customHeight="1"/>
    <x:row r="1835" ht="18" customHeight="1"/>
    <x:row r="1836" ht="18" customHeight="1"/>
    <x:row r="1837" ht="18" customHeight="1"/>
    <x:row r="1838" ht="18" customHeight="1"/>
    <x:row r="1839" ht="18" customHeight="1"/>
    <x:row r="1840" ht="18" customHeight="1"/>
    <x:row r="1841" ht="18" customHeight="1"/>
    <x:row r="1842" ht="18" customHeight="1"/>
    <x:row r="1843" ht="18" customHeight="1"/>
    <x:row r="1844" ht="18" customHeight="1"/>
    <x:row r="1845" ht="18" customHeight="1"/>
    <x:row r="1846" ht="18" customHeight="1"/>
    <x:row r="1847" ht="18" customHeight="1"/>
    <x:row r="1848" ht="18" customHeight="1"/>
    <x:row r="1849" ht="18" customHeight="1"/>
    <x:row r="1850" ht="18" customHeight="1"/>
    <x:row r="1851" ht="18" customHeight="1"/>
    <x:row r="1852" ht="18" customHeight="1"/>
    <x:row r="1853" ht="18" customHeight="1"/>
    <x:row r="1854" ht="18" customHeight="1"/>
    <x:row r="1855" ht="18" customHeight="1"/>
    <x:row r="1856" ht="18" customHeight="1"/>
    <x:row r="1857" ht="18" customHeight="1"/>
    <x:row r="1858" ht="18" customHeight="1"/>
    <x:row r="1859" ht="18" customHeight="1"/>
    <x:row r="1860" ht="18" customHeight="1"/>
    <x:row r="1861" ht="18" customHeight="1"/>
    <x:row r="1862" ht="18" customHeight="1"/>
    <x:row r="1863" ht="18" customHeight="1"/>
    <x:row r="1864" ht="18" customHeight="1"/>
    <x:row r="1865" ht="18" customHeight="1"/>
    <x:row r="1866" ht="18" customHeight="1"/>
    <x:row r="1867" ht="18" customHeight="1"/>
    <x:row r="1868" ht="18" customHeight="1"/>
    <x:row r="1869" ht="18" customHeight="1"/>
    <x:row r="1870" ht="18" customHeight="1"/>
    <x:row r="1871" ht="18" customHeight="1"/>
    <x:row r="1872" ht="18" customHeight="1"/>
    <x:row r="1873" ht="18" customHeight="1"/>
    <x:row r="1874" ht="18" customHeight="1"/>
    <x:row r="1875" ht="18" customHeight="1"/>
    <x:row r="1876" ht="18" customHeight="1"/>
    <x:row r="1877" ht="18" customHeight="1"/>
    <x:row r="1878" ht="18" customHeight="1"/>
    <x:row r="1879" ht="18" customHeight="1"/>
    <x:row r="1880" ht="18" customHeight="1"/>
    <x:row r="1881" ht="18" customHeight="1"/>
    <x:row r="1882" ht="18" customHeight="1"/>
    <x:row r="1883" ht="18" customHeight="1"/>
    <x:row r="1884" ht="18" customHeight="1"/>
    <x:row r="1885" ht="18" customHeight="1"/>
    <x:row r="1886" ht="18" customHeight="1"/>
    <x:row r="1887" ht="18" customHeight="1"/>
    <x:row r="1888" ht="18" customHeight="1"/>
    <x:row r="1889" ht="18" customHeight="1"/>
    <x:row r="1890" ht="18" customHeight="1"/>
    <x:row r="1891" ht="18" customHeight="1"/>
    <x:row r="1892" ht="18" customHeight="1"/>
    <x:row r="1893" ht="18" customHeight="1"/>
    <x:row r="1894" ht="18" customHeight="1"/>
    <x:row r="1895" ht="18" customHeight="1"/>
    <x:row r="1896" ht="18" customHeight="1"/>
    <x:row r="1897" ht="18" customHeight="1"/>
    <x:row r="1898" ht="18" customHeight="1"/>
    <x:row r="1899" ht="18" customHeight="1"/>
    <x:row r="1900" ht="18" customHeight="1"/>
    <x:row r="1901" ht="18" customHeight="1"/>
    <x:row r="1902" ht="18" customHeight="1"/>
    <x:row r="1903" ht="18" customHeight="1"/>
    <x:row r="1904" ht="18" customHeight="1"/>
    <x:row r="1905" ht="18" customHeight="1"/>
    <x:row r="1906" ht="18" customHeight="1"/>
    <x:row r="1907" ht="18" customHeight="1"/>
    <x:row r="1908" ht="18" customHeight="1"/>
    <x:row r="1909" ht="18" customHeight="1"/>
    <x:row r="1910" ht="18" customHeight="1"/>
    <x:row r="1911" ht="18" customHeight="1"/>
    <x:row r="1912" ht="18" customHeight="1"/>
    <x:row r="1913" ht="18" customHeight="1"/>
    <x:row r="1914" ht="18" customHeight="1"/>
    <x:row r="1915" ht="18" customHeight="1"/>
    <x:row r="1916" ht="18" customHeight="1"/>
    <x:row r="1917" ht="18" customHeight="1"/>
    <x:row r="1918" ht="18" customHeight="1"/>
    <x:row r="1919" ht="18" customHeight="1"/>
    <x:row r="1920" ht="18" customHeight="1"/>
    <x:row r="1921" ht="18" customHeight="1"/>
    <x:row r="1922" ht="18" customHeight="1"/>
    <x:row r="1923" ht="18" customHeight="1"/>
    <x:row r="1924" ht="18" customHeight="1"/>
    <x:row r="1925" ht="18" customHeight="1"/>
    <x:row r="1926" ht="18" customHeight="1"/>
    <x:row r="1927" ht="18" customHeight="1"/>
    <x:row r="1928" ht="18" customHeight="1"/>
    <x:row r="1929" ht="18" customHeight="1"/>
    <x:row r="1930" ht="18" customHeight="1"/>
    <x:row r="1931" ht="18" customHeight="1"/>
    <x:row r="1932" ht="18" customHeight="1"/>
    <x:row r="1933" ht="18" customHeight="1"/>
    <x:row r="1934" ht="18" customHeight="1"/>
    <x:row r="1935" ht="18" customHeight="1"/>
    <x:row r="1936" ht="18" customHeight="1"/>
    <x:row r="1937" ht="18" customHeight="1"/>
    <x:row r="1938" ht="18" customHeight="1"/>
    <x:row r="1939" ht="18" customHeight="1"/>
    <x:row r="1940" ht="18" customHeight="1"/>
    <x:row r="1941" ht="18" customHeight="1"/>
    <x:row r="1942" ht="18" customHeight="1"/>
    <x:row r="1943" ht="18" customHeight="1"/>
    <x:row r="1944" ht="18" customHeight="1"/>
    <x:row r="1945" ht="18" customHeight="1"/>
    <x:row r="1946" ht="18" customHeight="1"/>
    <x:row r="1947" ht="18" customHeight="1"/>
    <x:row r="1948" ht="18" customHeight="1"/>
    <x:row r="1949" ht="18" customHeight="1"/>
    <x:row r="1950" ht="18" customHeight="1"/>
    <x:row r="1951" ht="18" customHeight="1"/>
    <x:row r="1952" ht="18" customHeight="1"/>
    <x:row r="1953" ht="18" customHeight="1"/>
    <x:row r="1954" ht="18" customHeight="1"/>
    <x:row r="1955" ht="18" customHeight="1"/>
    <x:row r="1956" ht="18" customHeight="1"/>
    <x:row r="1957" ht="18" customHeight="1"/>
    <x:row r="1958" ht="18" customHeight="1"/>
    <x:row r="1959" ht="18" customHeight="1"/>
    <x:row r="1960" ht="18" customHeight="1"/>
    <x:row r="1961" ht="18" customHeight="1"/>
    <x:row r="1962" ht="18" customHeight="1"/>
    <x:row r="1963" ht="18" customHeight="1"/>
    <x:row r="1964" ht="18" customHeight="1"/>
    <x:row r="1965" ht="18" customHeight="1"/>
    <x:row r="1966" ht="18" customHeight="1"/>
    <x:row r="1967" ht="18" customHeight="1"/>
    <x:row r="1968" ht="18" customHeight="1"/>
    <x:row r="1969" ht="18" customHeight="1"/>
    <x:row r="1970" ht="18" customHeight="1"/>
    <x:row r="1971" ht="18" customHeight="1"/>
    <x:row r="1972" ht="18" customHeight="1"/>
    <x:row r="1973" ht="18" customHeight="1"/>
    <x:row r="1974" ht="18" customHeight="1"/>
    <x:row r="1975" ht="18" customHeight="1"/>
    <x:row r="1976" ht="18" customHeight="1"/>
    <x:row r="1977" ht="18" customHeight="1"/>
    <x:row r="1978" ht="18" customHeight="1"/>
    <x:row r="1979" ht="18" customHeight="1"/>
    <x:row r="1980" ht="18" customHeight="1"/>
    <x:row r="1981" ht="18" customHeight="1"/>
    <x:row r="1982" ht="18" customHeight="1"/>
    <x:row r="1983" ht="18" customHeight="1"/>
    <x:row r="1984" ht="18" customHeight="1"/>
    <x:row r="1985" ht="18" customHeight="1"/>
    <x:row r="1986" ht="18" customHeight="1"/>
    <x:row r="1987" ht="18" customHeight="1"/>
    <x:row r="1988" ht="18" customHeight="1"/>
    <x:row r="1989" ht="18" customHeight="1"/>
    <x:row r="1990" ht="18" customHeight="1"/>
    <x:row r="1991" ht="18" customHeight="1"/>
    <x:row r="1992" ht="18" customHeight="1"/>
    <x:row r="1993" ht="18" customHeight="1"/>
    <x:row r="1994" ht="18" customHeight="1"/>
    <x:row r="1995" ht="18" customHeight="1"/>
    <x:row r="1996" ht="18" customHeight="1"/>
    <x:row r="1997" ht="18" customHeight="1"/>
    <x:row r="1998" ht="18" customHeight="1"/>
    <x:row r="1999" ht="18" customHeight="1"/>
    <x:row r="2000" ht="18" customHeight="1"/>
  </x:sheetData>
  <x:pageMargins left="0.7" right="0.7" top="0.75" bottom="0.75" header="0.3" footer="0.3"/>
  <x:tableParts count="1">
    <x:tablePart xmlns:r="http://schemas.openxmlformats.org/officeDocument/2006/relationships" r:id="R494d13fa614045d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</x:cols>
  <x:sheetData>
    <x:row r="1" ht="18" customHeight="1">
      <x:c r="A1" s="60" t="str">
        <x:v>Method</x:v>
      </x:c>
      <x:c r="B1" s="60" t="str">
        <x:v>Records</x:v>
      </x:c>
      <x:c r="C1" s="60" t="str">
        <x:v>Matched in all methods</x:v>
      </x:c>
      <x:c r="D1" s="60" t="str">
        <x:v>Missing instances</x:v>
      </x:c>
      <x:c r="E1" s="60" t="str">
        <x:v>Duplicate normalized names</x:v>
      </x:c>
      <x:c r="F1" s="57"/>
      <x:c r="G1" s="57"/>
      <x:c r="H1" s="57"/>
      <x:c r="I1" s="57"/>
      <x:c r="J1" s="57"/>
      <x:c r="K1" s="57"/>
      <x:c r="L1" s="57"/>
      <x:c r="M1" s="57"/>
      <x:c r="N1" s="57"/>
      <x:c r="O1" s="57"/>
      <x:c r="P1" s="57"/>
      <x:c r="Q1" s="57"/>
      <x:c r="R1" s="57"/>
      <x:c r="S1" s="57"/>
      <x:c r="T1" s="57"/>
      <x:c r="U1" s="57"/>
      <x:c r="V1" s="57"/>
      <x:c r="W1" s="57"/>
      <x:c r="X1" s="57"/>
      <x:c r="Y1" s="57"/>
      <x:c r="Z1" s="57"/>
    </x:row>
    <x:row r="2" ht="18" customHeight="1">
      <x:c r="A2" t="str">
        <x:v>IG</x:v>
      </x:c>
      <x:c r="B2" t="n">
        <x:v>480</x:v>
      </x:c>
      <x:c r="C2" t="n">
        <x:v>480</x:v>
      </x:c>
      <x:c r="D2" t="n">
        <x:v>0</x:v>
      </x:c>
      <x:c r="E2" t="n">
        <x:v>0</x:v>
      </x:c>
    </x:row>
    <x:row r="3" ht="18" customHeight="1">
      <x:c r="A3" t="str">
        <x:v>FFD</x:v>
      </x:c>
      <x:c r="B3" t="n">
        <x:v>480</x:v>
      </x:c>
      <x:c r="C3" t="n">
        <x:v>480</x:v>
      </x:c>
      <x:c r="D3" t="n">
        <x:v>0</x:v>
      </x:c>
      <x:c r="E3" t="n">
        <x:v>0</x:v>
      </x:c>
    </x:row>
    <x:row r="4" ht="18" customHeight="1">
      <x:c r="A4" t="str">
        <x:v>BFD</x:v>
      </x:c>
      <x:c r="B4" t="n">
        <x:v>480</x:v>
      </x:c>
      <x:c r="C4" t="n">
        <x:v>480</x:v>
      </x:c>
      <x:c r="D4" t="n">
        <x:v>0</x:v>
      </x:c>
      <x:c r="E4" t="n">
        <x:v>0</x:v>
      </x:c>
    </x:row>
    <x:row r="5" ht="18" customHeight="1">
      <x:c r="A5" t="str">
        <x:v>WFD</x:v>
      </x:c>
      <x:c r="B5" t="n">
        <x:v>480</x:v>
      </x:c>
      <x:c r="C5" t="n">
        <x:v>480</x:v>
      </x:c>
      <x:c r="D5" t="n">
        <x:v>0</x:v>
      </x:c>
      <x:c r="E5" t="n">
        <x:v>0</x:v>
      </x:c>
    </x:row>
    <x:row r="6" ht="18" customHeight="1">
      <x:c r="A6" t="str">
        <x:v>CTP</x:v>
      </x:c>
      <x:c r="B6" t="n">
        <x:v>480</x:v>
      </x:c>
      <x:c r="C6" t="n">
        <x:v>480</x:v>
      </x:c>
      <x:c r="D6" t="n">
        <x:v>0</x:v>
      </x:c>
      <x:c r="E6" t="n">
        <x:v>0</x:v>
      </x:c>
    </x:row>
    <x:row r="7" ht="18" customHeight="1"/>
    <x:row r="8" ht="18" customHeight="1">
      <x:c r="A8" s="29" t="str">
        <x:v>All five files have 480 normalized instances and 0 unmatched instances.</x:v>
      </x:c>
      <x:c r="B8" s="29"/>
      <x:c r="C8" s="29"/>
      <x:c r="D8" s="29"/>
      <x:c r="E8" s="29"/>
    </x:row>
    <x:row r="9" ht="18" customHeight="1"/>
    <x:row r="10" ht="18" customHeight="1"/>
    <x:row r="11" ht="18" customHeight="1"/>
    <x:row r="12" ht="18" customHeight="1"/>
    <x:row r="13" ht="18" customHeight="1"/>
    <x:row r="14" ht="18" customHeight="1"/>
    <x:row r="15" ht="18" customHeight="1"/>
    <x:row r="16" ht="18" customHeight="1"/>
    <x:row r="17" ht="18" customHeight="1"/>
    <x:row r="18" ht="18" customHeight="1"/>
    <x:row r="19" ht="18" customHeight="1"/>
    <x:row r="20" ht="18" customHeight="1"/>
    <x:row r="21" ht="18" customHeight="1"/>
    <x:row r="22" ht="18" customHeight="1"/>
    <x:row r="23" ht="18" customHeight="1"/>
    <x:row r="24" ht="18" customHeight="1"/>
    <x:row r="25" ht="18" customHeight="1"/>
    <x:row r="26" ht="18" customHeight="1"/>
    <x:row r="27" ht="18" customHeight="1"/>
    <x:row r="28" ht="18" customHeight="1"/>
    <x:row r="29" ht="18" customHeight="1"/>
    <x:row r="30" ht="18" customHeight="1"/>
    <x:row r="31" ht="18" customHeight="1"/>
    <x:row r="32" ht="18" customHeight="1"/>
    <x:row r="33" ht="18" customHeight="1"/>
    <x:row r="34" ht="18" customHeight="1"/>
    <x:row r="35" ht="18" customHeight="1"/>
    <x:row r="36" ht="18" customHeight="1"/>
    <x:row r="37" ht="18" customHeight="1"/>
    <x:row r="38" ht="18" customHeight="1"/>
    <x:row r="39" ht="18" customHeight="1"/>
    <x:row r="40" ht="18" customHeight="1"/>
    <x:row r="41" ht="18" customHeight="1"/>
    <x:row r="42" ht="18" customHeight="1"/>
    <x:row r="43" ht="18" customHeight="1"/>
    <x:row r="44" ht="18" customHeight="1"/>
    <x:row r="45" ht="18" customHeight="1"/>
    <x:row r="46" ht="18" customHeight="1"/>
    <x:row r="47" ht="18" customHeight="1"/>
    <x:row r="48" ht="18" customHeight="1"/>
    <x:row r="49" ht="18" customHeight="1"/>
    <x:row r="50" ht="18" customHeight="1"/>
    <x:row r="51" ht="18" customHeight="1"/>
    <x:row r="52" ht="18" customHeight="1"/>
    <x:row r="53" ht="18" customHeight="1"/>
    <x:row r="54" ht="18" customHeight="1"/>
    <x:row r="55" ht="18" customHeight="1"/>
    <x:row r="56" ht="18" customHeight="1"/>
    <x:row r="57" ht="18" customHeight="1"/>
    <x:row r="58" ht="18" customHeight="1"/>
    <x:row r="59" ht="18" customHeight="1"/>
    <x:row r="60" ht="18" customHeight="1"/>
    <x:row r="61" ht="18" customHeight="1"/>
    <x:row r="62" ht="18" customHeight="1"/>
    <x:row r="63" ht="18" customHeight="1"/>
    <x:row r="64" ht="18" customHeight="1"/>
    <x:row r="65" ht="18" customHeight="1"/>
    <x:row r="66" ht="18" customHeight="1"/>
    <x:row r="67" ht="18" customHeight="1"/>
    <x:row r="68" ht="18" customHeight="1"/>
    <x:row r="69" ht="18" customHeight="1"/>
    <x:row r="70" ht="18" customHeight="1"/>
    <x:row r="71" ht="18" customHeight="1"/>
    <x:row r="72" ht="18" customHeight="1"/>
    <x:row r="73" ht="18" customHeight="1"/>
    <x:row r="74" ht="18" customHeight="1"/>
    <x:row r="75" ht="18" customHeight="1"/>
    <x:row r="76" ht="18" customHeight="1"/>
    <x:row r="77" ht="18" customHeight="1"/>
    <x:row r="78" ht="18" customHeight="1"/>
    <x:row r="79" ht="18" customHeight="1"/>
    <x:row r="80" ht="18" customHeight="1"/>
    <x:row r="81" ht="18" customHeight="1"/>
    <x:row r="82" ht="18" customHeight="1"/>
    <x:row r="83" ht="18" customHeight="1"/>
    <x:row r="84" ht="18" customHeight="1"/>
    <x:row r="85" ht="18" customHeight="1"/>
    <x:row r="86" ht="18" customHeight="1"/>
    <x:row r="87" ht="18" customHeight="1"/>
    <x:row r="88" ht="18" customHeight="1"/>
    <x:row r="89" ht="18" customHeight="1"/>
    <x:row r="90" ht="18" customHeight="1"/>
    <x:row r="91" ht="18" customHeight="1"/>
    <x:row r="92" ht="18" customHeight="1"/>
    <x:row r="93" ht="18" customHeight="1"/>
    <x:row r="94" ht="18" customHeight="1"/>
    <x:row r="95" ht="18" customHeight="1"/>
    <x:row r="96" ht="18" customHeight="1"/>
    <x:row r="97" ht="18" customHeight="1"/>
    <x:row r="98" ht="18" customHeight="1"/>
    <x:row r="99" ht="18" customHeight="1"/>
    <x:row r="100" ht="18" customHeight="1"/>
    <x:row r="101" ht="18" customHeight="1"/>
    <x:row r="102" ht="18" customHeight="1"/>
    <x:row r="103" ht="18" customHeight="1"/>
    <x:row r="104" ht="18" customHeight="1"/>
    <x:row r="105" ht="18" customHeight="1"/>
    <x:row r="106" ht="18" customHeight="1"/>
    <x:row r="107" ht="18" customHeight="1"/>
    <x:row r="108" ht="18" customHeight="1"/>
    <x:row r="109" ht="18" customHeight="1"/>
    <x:row r="110" ht="18" customHeight="1"/>
    <x:row r="111" ht="18" customHeight="1"/>
    <x:row r="112" ht="18" customHeight="1"/>
    <x:row r="113" ht="18" customHeight="1"/>
    <x:row r="114" ht="18" customHeight="1"/>
    <x:row r="115" ht="18" customHeight="1"/>
    <x:row r="116" ht="18" customHeight="1"/>
    <x:row r="117" ht="18" customHeight="1"/>
    <x:row r="118" ht="18" customHeight="1"/>
    <x:row r="119" ht="18" customHeight="1"/>
    <x:row r="120" ht="18" customHeight="1"/>
    <x:row r="121" ht="18" customHeight="1"/>
    <x:row r="122" ht="18" customHeight="1"/>
    <x:row r="123" ht="18" customHeight="1"/>
    <x:row r="124" ht="18" customHeight="1"/>
    <x:row r="125" ht="18" customHeight="1"/>
    <x:row r="126" ht="18" customHeight="1"/>
    <x:row r="127" ht="18" customHeight="1"/>
    <x:row r="128" ht="18" customHeight="1"/>
    <x:row r="129" ht="18" customHeight="1"/>
    <x:row r="130" ht="18" customHeight="1"/>
    <x:row r="131" ht="18" customHeight="1"/>
    <x:row r="132" ht="18" customHeight="1"/>
    <x:row r="133" ht="18" customHeight="1"/>
    <x:row r="134" ht="18" customHeight="1"/>
    <x:row r="135" ht="18" customHeight="1"/>
    <x:row r="136" ht="18" customHeight="1"/>
    <x:row r="137" ht="18" customHeight="1"/>
    <x:row r="138" ht="18" customHeight="1"/>
    <x:row r="139" ht="18" customHeight="1"/>
    <x:row r="140" ht="18" customHeight="1"/>
    <x:row r="141" ht="18" customHeight="1"/>
    <x:row r="142" ht="18" customHeight="1"/>
    <x:row r="143" ht="18" customHeight="1"/>
    <x:row r="144" ht="18" customHeight="1"/>
    <x:row r="145" ht="18" customHeight="1"/>
    <x:row r="146" ht="18" customHeight="1"/>
    <x:row r="147" ht="18" customHeight="1"/>
    <x:row r="148" ht="18" customHeight="1"/>
    <x:row r="149" ht="18" customHeight="1"/>
    <x:row r="150" ht="18" customHeight="1"/>
    <x:row r="151" ht="18" customHeight="1"/>
    <x:row r="152" ht="18" customHeight="1"/>
    <x:row r="153" ht="18" customHeight="1"/>
    <x:row r="154" ht="18" customHeight="1"/>
    <x:row r="155" ht="18" customHeight="1"/>
    <x:row r="156" ht="18" customHeight="1"/>
    <x:row r="157" ht="18" customHeight="1"/>
    <x:row r="158" ht="18" customHeight="1"/>
    <x:row r="159" ht="18" customHeight="1"/>
    <x:row r="160" ht="18" customHeight="1"/>
    <x:row r="161" ht="18" customHeight="1"/>
    <x:row r="162" ht="18" customHeight="1"/>
    <x:row r="163" ht="18" customHeight="1"/>
    <x:row r="164" ht="18" customHeight="1"/>
    <x:row r="165" ht="18" customHeight="1"/>
    <x:row r="166" ht="18" customHeight="1"/>
    <x:row r="167" ht="18" customHeight="1"/>
    <x:row r="168" ht="18" customHeight="1"/>
    <x:row r="169" ht="18" customHeight="1"/>
    <x:row r="170" ht="18" customHeight="1"/>
    <x:row r="171" ht="18" customHeight="1"/>
    <x:row r="172" ht="18" customHeight="1"/>
    <x:row r="173" ht="18" customHeight="1"/>
    <x:row r="174" ht="18" customHeight="1"/>
    <x:row r="175" ht="18" customHeight="1"/>
    <x:row r="176" ht="18" customHeight="1"/>
    <x:row r="177" ht="18" customHeight="1"/>
    <x:row r="178" ht="18" customHeight="1"/>
    <x:row r="179" ht="18" customHeight="1"/>
    <x:row r="180" ht="18" customHeight="1"/>
    <x:row r="181" ht="18" customHeight="1"/>
    <x:row r="182" ht="18" customHeight="1"/>
    <x:row r="183" ht="18" customHeight="1"/>
    <x:row r="184" ht="18" customHeight="1"/>
    <x:row r="185" ht="18" customHeight="1"/>
    <x:row r="186" ht="18" customHeight="1"/>
    <x:row r="187" ht="18" customHeight="1"/>
    <x:row r="188" ht="18" customHeight="1"/>
    <x:row r="189" ht="18" customHeight="1"/>
    <x:row r="190" ht="18" customHeight="1"/>
    <x:row r="191" ht="18" customHeight="1"/>
    <x:row r="192" ht="18" customHeight="1"/>
    <x:row r="193" ht="18" customHeight="1"/>
    <x:row r="194" ht="18" customHeight="1"/>
    <x:row r="195" ht="18" customHeight="1"/>
    <x:row r="196" ht="18" customHeight="1"/>
    <x:row r="197" ht="18" customHeight="1"/>
    <x:row r="198" ht="18" customHeight="1"/>
    <x:row r="199" ht="18" customHeight="1"/>
    <x:row r="200" ht="18" customHeight="1"/>
    <x:row r="201" ht="18" customHeight="1"/>
    <x:row r="202" ht="18" customHeight="1"/>
    <x:row r="203" ht="18" customHeight="1"/>
    <x:row r="204" ht="18" customHeight="1"/>
    <x:row r="205" ht="18" customHeight="1"/>
    <x:row r="206" ht="18" customHeight="1"/>
    <x:row r="207" ht="18" customHeight="1"/>
    <x:row r="208" ht="18" customHeight="1"/>
    <x:row r="209" ht="18" customHeight="1"/>
    <x:row r="210" ht="18" customHeight="1"/>
    <x:row r="211" ht="18" customHeight="1"/>
    <x:row r="212" ht="18" customHeight="1"/>
    <x:row r="213" ht="18" customHeight="1"/>
    <x:row r="214" ht="18" customHeight="1"/>
    <x:row r="215" ht="18" customHeight="1"/>
    <x:row r="216" ht="18" customHeight="1"/>
    <x:row r="217" ht="18" customHeight="1"/>
    <x:row r="218" ht="18" customHeight="1"/>
    <x:row r="219" ht="18" customHeight="1"/>
    <x:row r="220" ht="18" customHeight="1"/>
    <x:row r="221" ht="18" customHeight="1"/>
    <x:row r="222" ht="18" customHeight="1"/>
    <x:row r="223" ht="18" customHeight="1"/>
    <x:row r="224" ht="18" customHeight="1"/>
    <x:row r="225" ht="18" customHeight="1"/>
    <x:row r="226" ht="18" customHeight="1"/>
    <x:row r="227" ht="18" customHeight="1"/>
    <x:row r="228" ht="18" customHeight="1"/>
    <x:row r="229" ht="18" customHeight="1"/>
    <x:row r="230" ht="18" customHeight="1"/>
    <x:row r="231" ht="18" customHeight="1"/>
    <x:row r="232" ht="18" customHeight="1"/>
    <x:row r="233" ht="18" customHeight="1"/>
    <x:row r="234" ht="18" customHeight="1"/>
    <x:row r="235" ht="18" customHeight="1"/>
    <x:row r="236" ht="18" customHeight="1"/>
    <x:row r="237" ht="18" customHeight="1"/>
    <x:row r="238" ht="18" customHeight="1"/>
    <x:row r="239" ht="18" customHeight="1"/>
    <x:row r="240" ht="18" customHeight="1"/>
    <x:row r="241" ht="18" customHeight="1"/>
    <x:row r="242" ht="18" customHeight="1"/>
    <x:row r="243" ht="18" customHeight="1"/>
    <x:row r="244" ht="18" customHeight="1"/>
    <x:row r="245" ht="18" customHeight="1"/>
    <x:row r="246" ht="18" customHeight="1"/>
    <x:row r="247" ht="18" customHeight="1"/>
    <x:row r="248" ht="18" customHeight="1"/>
    <x:row r="249" ht="18" customHeight="1"/>
    <x:row r="250" ht="18" customHeight="1"/>
    <x:row r="251" ht="18" customHeight="1"/>
    <x:row r="252" ht="18" customHeight="1"/>
    <x:row r="253" ht="18" customHeight="1"/>
    <x:row r="254" ht="18" customHeight="1"/>
    <x:row r="255" ht="18" customHeight="1"/>
    <x:row r="256" ht="18" customHeight="1"/>
    <x:row r="257" ht="18" customHeight="1"/>
    <x:row r="258" ht="18" customHeight="1"/>
    <x:row r="259" ht="18" customHeight="1"/>
    <x:row r="260" ht="18" customHeight="1"/>
    <x:row r="261" ht="18" customHeight="1"/>
    <x:row r="262" ht="18" customHeight="1"/>
    <x:row r="263" ht="18" customHeight="1"/>
    <x:row r="264" ht="18" customHeight="1"/>
    <x:row r="265" ht="18" customHeight="1"/>
    <x:row r="266" ht="18" customHeight="1"/>
    <x:row r="267" ht="18" customHeight="1"/>
    <x:row r="268" ht="18" customHeight="1"/>
    <x:row r="269" ht="18" customHeight="1"/>
    <x:row r="270" ht="18" customHeight="1"/>
    <x:row r="271" ht="18" customHeight="1"/>
    <x:row r="272" ht="18" customHeight="1"/>
    <x:row r="273" ht="18" customHeight="1"/>
    <x:row r="274" ht="18" customHeight="1"/>
    <x:row r="275" ht="18" customHeight="1"/>
    <x:row r="276" ht="18" customHeight="1"/>
    <x:row r="277" ht="18" customHeight="1"/>
    <x:row r="278" ht="18" customHeight="1"/>
    <x:row r="279" ht="18" customHeight="1"/>
    <x:row r="280" ht="18" customHeight="1"/>
    <x:row r="281" ht="18" customHeight="1"/>
    <x:row r="282" ht="18" customHeight="1"/>
    <x:row r="283" ht="18" customHeight="1"/>
    <x:row r="284" ht="18" customHeight="1"/>
    <x:row r="285" ht="18" customHeight="1"/>
    <x:row r="286" ht="18" customHeight="1"/>
    <x:row r="287" ht="18" customHeight="1"/>
    <x:row r="288" ht="18" customHeight="1"/>
    <x:row r="289" ht="18" customHeight="1"/>
    <x:row r="290" ht="18" customHeight="1"/>
    <x:row r="291" ht="18" customHeight="1"/>
    <x:row r="292" ht="18" customHeight="1"/>
    <x:row r="293" ht="18" customHeight="1"/>
    <x:row r="294" ht="18" customHeight="1"/>
    <x:row r="295" ht="18" customHeight="1"/>
    <x:row r="296" ht="18" customHeight="1"/>
    <x:row r="297" ht="18" customHeight="1"/>
    <x:row r="298" ht="18" customHeight="1"/>
    <x:row r="299" ht="18" customHeight="1"/>
    <x:row r="300" ht="18" customHeight="1"/>
    <x:row r="301" ht="18" customHeight="1"/>
    <x:row r="302" ht="18" customHeight="1"/>
    <x:row r="303" ht="18" customHeight="1"/>
    <x:row r="304" ht="18" customHeight="1"/>
    <x:row r="305" ht="18" customHeight="1"/>
    <x:row r="306" ht="18" customHeight="1"/>
    <x:row r="307" ht="18" customHeight="1"/>
    <x:row r="308" ht="18" customHeight="1"/>
    <x:row r="309" ht="18" customHeight="1"/>
    <x:row r="310" ht="18" customHeight="1"/>
    <x:row r="311" ht="18" customHeight="1"/>
    <x:row r="312" ht="18" customHeight="1"/>
    <x:row r="313" ht="18" customHeight="1"/>
    <x:row r="314" ht="18" customHeight="1"/>
    <x:row r="315" ht="18" customHeight="1"/>
    <x:row r="316" ht="18" customHeight="1"/>
    <x:row r="317" ht="18" customHeight="1"/>
    <x:row r="318" ht="18" customHeight="1"/>
    <x:row r="319" ht="18" customHeight="1"/>
    <x:row r="320" ht="18" customHeight="1"/>
    <x:row r="321" ht="18" customHeight="1"/>
    <x:row r="322" ht="18" customHeight="1"/>
    <x:row r="323" ht="18" customHeight="1"/>
    <x:row r="324" ht="18" customHeight="1"/>
    <x:row r="325" ht="18" customHeight="1"/>
    <x:row r="326" ht="18" customHeight="1"/>
    <x:row r="327" ht="18" customHeight="1"/>
    <x:row r="328" ht="18" customHeight="1"/>
    <x:row r="329" ht="18" customHeight="1"/>
    <x:row r="330" ht="18" customHeight="1"/>
    <x:row r="331" ht="18" customHeight="1"/>
    <x:row r="332" ht="18" customHeight="1"/>
    <x:row r="333" ht="18" customHeight="1"/>
    <x:row r="334" ht="18" customHeight="1"/>
    <x:row r="335" ht="18" customHeight="1"/>
    <x:row r="336" ht="18" customHeight="1"/>
    <x:row r="337" ht="18" customHeight="1"/>
    <x:row r="338" ht="18" customHeight="1"/>
    <x:row r="339" ht="18" customHeight="1"/>
    <x:row r="340" ht="18" customHeight="1"/>
    <x:row r="341" ht="18" customHeight="1"/>
    <x:row r="342" ht="18" customHeight="1"/>
    <x:row r="343" ht="18" customHeight="1"/>
    <x:row r="344" ht="18" customHeight="1"/>
    <x:row r="345" ht="18" customHeight="1"/>
    <x:row r="346" ht="18" customHeight="1"/>
    <x:row r="347" ht="18" customHeight="1"/>
    <x:row r="348" ht="18" customHeight="1"/>
    <x:row r="349" ht="18" customHeight="1"/>
    <x:row r="350" ht="18" customHeight="1"/>
    <x:row r="351" ht="18" customHeight="1"/>
    <x:row r="352" ht="18" customHeight="1"/>
    <x:row r="353" ht="18" customHeight="1"/>
    <x:row r="354" ht="18" customHeight="1"/>
    <x:row r="355" ht="18" customHeight="1"/>
    <x:row r="356" ht="18" customHeight="1"/>
    <x:row r="357" ht="18" customHeight="1"/>
    <x:row r="358" ht="18" customHeight="1"/>
    <x:row r="359" ht="18" customHeight="1"/>
    <x:row r="360" ht="18" customHeight="1"/>
    <x:row r="361" ht="18" customHeight="1"/>
    <x:row r="362" ht="18" customHeight="1"/>
    <x:row r="363" ht="18" customHeight="1"/>
    <x:row r="364" ht="18" customHeight="1"/>
    <x:row r="365" ht="18" customHeight="1"/>
    <x:row r="366" ht="18" customHeight="1"/>
    <x:row r="367" ht="18" customHeight="1"/>
    <x:row r="368" ht="18" customHeight="1"/>
    <x:row r="369" ht="18" customHeight="1"/>
    <x:row r="370" ht="18" customHeight="1"/>
    <x:row r="371" ht="18" customHeight="1"/>
    <x:row r="372" ht="18" customHeight="1"/>
    <x:row r="373" ht="18" customHeight="1"/>
    <x:row r="374" ht="18" customHeight="1"/>
    <x:row r="375" ht="18" customHeight="1"/>
    <x:row r="376" ht="18" customHeight="1"/>
    <x:row r="377" ht="18" customHeight="1"/>
    <x:row r="378" ht="18" customHeight="1"/>
    <x:row r="379" ht="18" customHeight="1"/>
    <x:row r="380" ht="18" customHeight="1"/>
    <x:row r="381" ht="18" customHeight="1"/>
    <x:row r="382" ht="18" customHeight="1"/>
    <x:row r="383" ht="18" customHeight="1"/>
    <x:row r="384" ht="18" customHeight="1"/>
    <x:row r="385" ht="18" customHeight="1"/>
    <x:row r="386" ht="18" customHeight="1"/>
    <x:row r="387" ht="18" customHeight="1"/>
    <x:row r="388" ht="18" customHeight="1"/>
    <x:row r="389" ht="18" customHeight="1"/>
    <x:row r="390" ht="18" customHeight="1"/>
    <x:row r="391" ht="18" customHeight="1"/>
    <x:row r="392" ht="18" customHeight="1"/>
    <x:row r="393" ht="18" customHeight="1"/>
    <x:row r="394" ht="18" customHeight="1"/>
    <x:row r="395" ht="18" customHeight="1"/>
    <x:row r="396" ht="18" customHeight="1"/>
    <x:row r="397" ht="18" customHeight="1"/>
    <x:row r="398" ht="18" customHeight="1"/>
    <x:row r="399" ht="18" customHeight="1"/>
    <x:row r="400" ht="18" customHeight="1"/>
    <x:row r="401" ht="18" customHeight="1"/>
    <x:row r="402" ht="18" customHeight="1"/>
    <x:row r="403" ht="18" customHeight="1"/>
    <x:row r="404" ht="18" customHeight="1"/>
    <x:row r="405" ht="18" customHeight="1"/>
    <x:row r="406" ht="18" customHeight="1"/>
    <x:row r="407" ht="18" customHeight="1"/>
    <x:row r="408" ht="18" customHeight="1"/>
    <x:row r="409" ht="18" customHeight="1"/>
    <x:row r="410" ht="18" customHeight="1"/>
    <x:row r="411" ht="18" customHeight="1"/>
    <x:row r="412" ht="18" customHeight="1"/>
    <x:row r="413" ht="18" customHeight="1"/>
    <x:row r="414" ht="18" customHeight="1"/>
    <x:row r="415" ht="18" customHeight="1"/>
    <x:row r="416" ht="18" customHeight="1"/>
    <x:row r="417" ht="18" customHeight="1"/>
    <x:row r="418" ht="18" customHeight="1"/>
    <x:row r="419" ht="18" customHeight="1"/>
    <x:row r="420" ht="18" customHeight="1"/>
    <x:row r="421" ht="18" customHeight="1"/>
    <x:row r="422" ht="18" customHeight="1"/>
    <x:row r="423" ht="18" customHeight="1"/>
    <x:row r="424" ht="18" customHeight="1"/>
    <x:row r="425" ht="18" customHeight="1"/>
    <x:row r="426" ht="18" customHeight="1"/>
    <x:row r="427" ht="18" customHeight="1"/>
    <x:row r="428" ht="18" customHeight="1"/>
    <x:row r="429" ht="18" customHeight="1"/>
    <x:row r="430" ht="18" customHeight="1"/>
    <x:row r="431" ht="18" customHeight="1"/>
    <x:row r="432" ht="18" customHeight="1"/>
    <x:row r="433" ht="18" customHeight="1"/>
    <x:row r="434" ht="18" customHeight="1"/>
    <x:row r="435" ht="18" customHeight="1"/>
    <x:row r="436" ht="18" customHeight="1"/>
    <x:row r="437" ht="18" customHeight="1"/>
    <x:row r="438" ht="18" customHeight="1"/>
    <x:row r="439" ht="18" customHeight="1"/>
    <x:row r="440" ht="18" customHeight="1"/>
    <x:row r="441" ht="18" customHeight="1"/>
    <x:row r="442" ht="18" customHeight="1"/>
    <x:row r="443" ht="18" customHeight="1"/>
    <x:row r="444" ht="18" customHeight="1"/>
    <x:row r="445" ht="18" customHeight="1"/>
    <x:row r="446" ht="18" customHeight="1"/>
    <x:row r="447" ht="18" customHeight="1"/>
    <x:row r="448" ht="18" customHeight="1"/>
    <x:row r="449" ht="18" customHeight="1"/>
    <x:row r="450" ht="18" customHeight="1"/>
    <x:row r="451" ht="18" customHeight="1"/>
    <x:row r="452" ht="18" customHeight="1"/>
    <x:row r="453" ht="18" customHeight="1"/>
    <x:row r="454" ht="18" customHeight="1"/>
    <x:row r="455" ht="18" customHeight="1"/>
    <x:row r="456" ht="18" customHeight="1"/>
    <x:row r="457" ht="18" customHeight="1"/>
    <x:row r="458" ht="18" customHeight="1"/>
    <x:row r="459" ht="18" customHeight="1"/>
    <x:row r="460" ht="18" customHeight="1"/>
    <x:row r="461" ht="18" customHeight="1"/>
    <x:row r="462" ht="18" customHeight="1"/>
    <x:row r="463" ht="18" customHeight="1"/>
    <x:row r="464" ht="18" customHeight="1"/>
    <x:row r="465" ht="18" customHeight="1"/>
    <x:row r="466" ht="18" customHeight="1"/>
    <x:row r="467" ht="18" customHeight="1"/>
    <x:row r="468" ht="18" customHeight="1"/>
    <x:row r="469" ht="18" customHeight="1"/>
    <x:row r="470" ht="18" customHeight="1"/>
    <x:row r="471" ht="18" customHeight="1"/>
    <x:row r="472" ht="18" customHeight="1"/>
    <x:row r="473" ht="18" customHeight="1"/>
    <x:row r="474" ht="18" customHeight="1"/>
    <x:row r="475" ht="18" customHeight="1"/>
    <x:row r="476" ht="18" customHeight="1"/>
    <x:row r="477" ht="18" customHeight="1"/>
    <x:row r="478" ht="18" customHeight="1"/>
    <x:row r="479" ht="18" customHeight="1"/>
    <x:row r="480" ht="18" customHeight="1"/>
    <x:row r="481" ht="18" customHeight="1"/>
    <x:row r="482" ht="18" customHeight="1"/>
    <x:row r="483" ht="18" customHeight="1"/>
    <x:row r="484" ht="18" customHeight="1"/>
    <x:row r="485" ht="18" customHeight="1"/>
    <x:row r="486" ht="18" customHeight="1"/>
    <x:row r="487" ht="18" customHeight="1"/>
    <x:row r="488" ht="18" customHeight="1"/>
    <x:row r="489" ht="18" customHeight="1"/>
    <x:row r="490" ht="18" customHeight="1"/>
    <x:row r="491" ht="18" customHeight="1"/>
    <x:row r="492" ht="18" customHeight="1"/>
    <x:row r="493" ht="18" customHeight="1"/>
    <x:row r="494" ht="18" customHeight="1"/>
    <x:row r="495" ht="18" customHeight="1"/>
    <x:row r="496" ht="18" customHeight="1"/>
    <x:row r="497" ht="18" customHeight="1"/>
    <x:row r="498" ht="18" customHeight="1"/>
    <x:row r="499" ht="18" customHeight="1"/>
    <x:row r="500" ht="18" customHeight="1"/>
    <x:row r="501" ht="18" customHeight="1"/>
    <x:row r="502" ht="18" customHeight="1"/>
    <x:row r="503" ht="18" customHeight="1"/>
    <x:row r="504" ht="18" customHeight="1"/>
    <x:row r="505" ht="18" customHeight="1"/>
    <x:row r="506" ht="18" customHeight="1"/>
    <x:row r="507" ht="18" customHeight="1"/>
    <x:row r="508" ht="18" customHeight="1"/>
    <x:row r="509" ht="18" customHeight="1"/>
    <x:row r="510" ht="18" customHeight="1"/>
    <x:row r="511" ht="18" customHeight="1"/>
    <x:row r="512" ht="18" customHeight="1"/>
    <x:row r="513" ht="18" customHeight="1"/>
    <x:row r="514" ht="18" customHeight="1"/>
    <x:row r="515" ht="18" customHeight="1"/>
    <x:row r="516" ht="18" customHeight="1"/>
    <x:row r="517" ht="18" customHeight="1"/>
    <x:row r="518" ht="18" customHeight="1"/>
    <x:row r="519" ht="18" customHeight="1"/>
    <x:row r="520" ht="18" customHeight="1"/>
    <x:row r="521" ht="18" customHeight="1"/>
    <x:row r="522" ht="18" customHeight="1"/>
    <x:row r="523" ht="18" customHeight="1"/>
    <x:row r="524" ht="18" customHeight="1"/>
    <x:row r="525" ht="18" customHeight="1"/>
    <x:row r="526" ht="18" customHeight="1"/>
    <x:row r="527" ht="18" customHeight="1"/>
    <x:row r="528" ht="18" customHeight="1"/>
    <x:row r="529" ht="18" customHeight="1"/>
    <x:row r="530" ht="18" customHeight="1"/>
    <x:row r="531" ht="18" customHeight="1"/>
    <x:row r="532" ht="18" customHeight="1"/>
    <x:row r="533" ht="18" customHeight="1"/>
    <x:row r="534" ht="18" customHeight="1"/>
    <x:row r="535" ht="18" customHeight="1"/>
    <x:row r="536" ht="18" customHeight="1"/>
    <x:row r="537" ht="18" customHeight="1"/>
    <x:row r="538" ht="18" customHeight="1"/>
    <x:row r="539" ht="18" customHeight="1"/>
    <x:row r="540" ht="18" customHeight="1"/>
    <x:row r="541" ht="18" customHeight="1"/>
    <x:row r="542" ht="18" customHeight="1"/>
    <x:row r="543" ht="18" customHeight="1"/>
    <x:row r="544" ht="18" customHeight="1"/>
    <x:row r="545" ht="18" customHeight="1"/>
    <x:row r="546" ht="18" customHeight="1"/>
    <x:row r="547" ht="18" customHeight="1"/>
    <x:row r="548" ht="18" customHeight="1"/>
    <x:row r="549" ht="18" customHeight="1"/>
    <x:row r="550" ht="18" customHeight="1"/>
    <x:row r="551" ht="18" customHeight="1"/>
    <x:row r="552" ht="18" customHeight="1"/>
    <x:row r="553" ht="18" customHeight="1"/>
    <x:row r="554" ht="18" customHeight="1"/>
    <x:row r="555" ht="18" customHeight="1"/>
    <x:row r="556" ht="18" customHeight="1"/>
    <x:row r="557" ht="18" customHeight="1"/>
    <x:row r="558" ht="18" customHeight="1"/>
    <x:row r="559" ht="18" customHeight="1"/>
    <x:row r="560" ht="18" customHeight="1"/>
    <x:row r="561" ht="18" customHeight="1"/>
    <x:row r="562" ht="18" customHeight="1"/>
    <x:row r="563" ht="18" customHeight="1"/>
    <x:row r="564" ht="18" customHeight="1"/>
    <x:row r="565" ht="18" customHeight="1"/>
    <x:row r="566" ht="18" customHeight="1"/>
    <x:row r="567" ht="18" customHeight="1"/>
    <x:row r="568" ht="18" customHeight="1"/>
    <x:row r="569" ht="18" customHeight="1"/>
    <x:row r="570" ht="18" customHeight="1"/>
    <x:row r="571" ht="18" customHeight="1"/>
    <x:row r="572" ht="18" customHeight="1"/>
    <x:row r="573" ht="18" customHeight="1"/>
    <x:row r="574" ht="18" customHeight="1"/>
    <x:row r="575" ht="18" customHeight="1"/>
    <x:row r="576" ht="18" customHeight="1"/>
    <x:row r="577" ht="18" customHeight="1"/>
    <x:row r="578" ht="18" customHeight="1"/>
    <x:row r="579" ht="18" customHeight="1"/>
    <x:row r="580" ht="18" customHeight="1"/>
    <x:row r="581" ht="18" customHeight="1"/>
    <x:row r="582" ht="18" customHeight="1"/>
    <x:row r="583" ht="18" customHeight="1"/>
    <x:row r="584" ht="18" customHeight="1"/>
    <x:row r="585" ht="18" customHeight="1"/>
    <x:row r="586" ht="18" customHeight="1"/>
    <x:row r="587" ht="18" customHeight="1"/>
    <x:row r="588" ht="18" customHeight="1"/>
    <x:row r="589" ht="18" customHeight="1"/>
    <x:row r="590" ht="18" customHeight="1"/>
    <x:row r="591" ht="18" customHeight="1"/>
    <x:row r="592" ht="18" customHeight="1"/>
    <x:row r="593" ht="18" customHeight="1"/>
    <x:row r="594" ht="18" customHeight="1"/>
    <x:row r="595" ht="18" customHeight="1"/>
    <x:row r="596" ht="18" customHeight="1"/>
    <x:row r="597" ht="18" customHeight="1"/>
    <x:row r="598" ht="18" customHeight="1"/>
    <x:row r="599" ht="18" customHeight="1"/>
    <x:row r="600" ht="18" customHeight="1"/>
    <x:row r="601" ht="18" customHeight="1"/>
    <x:row r="602" ht="18" customHeight="1"/>
    <x:row r="603" ht="18" customHeight="1"/>
    <x:row r="604" ht="18" customHeight="1"/>
    <x:row r="605" ht="18" customHeight="1"/>
    <x:row r="606" ht="18" customHeight="1"/>
    <x:row r="607" ht="18" customHeight="1"/>
    <x:row r="608" ht="18" customHeight="1"/>
    <x:row r="609" ht="18" customHeight="1"/>
    <x:row r="610" ht="18" customHeight="1"/>
    <x:row r="611" ht="18" customHeight="1"/>
    <x:row r="612" ht="18" customHeight="1"/>
    <x:row r="613" ht="18" customHeight="1"/>
    <x:row r="614" ht="18" customHeight="1"/>
    <x:row r="615" ht="18" customHeight="1"/>
    <x:row r="616" ht="18" customHeight="1"/>
    <x:row r="617" ht="18" customHeight="1"/>
    <x:row r="618" ht="18" customHeight="1"/>
    <x:row r="619" ht="18" customHeight="1"/>
    <x:row r="620" ht="18" customHeight="1"/>
    <x:row r="621" ht="18" customHeight="1"/>
    <x:row r="622" ht="18" customHeight="1"/>
    <x:row r="623" ht="18" customHeight="1"/>
    <x:row r="624" ht="18" customHeight="1"/>
    <x:row r="625" ht="18" customHeight="1"/>
    <x:row r="626" ht="18" customHeight="1"/>
    <x:row r="627" ht="18" customHeight="1"/>
    <x:row r="628" ht="18" customHeight="1"/>
    <x:row r="629" ht="18" customHeight="1"/>
    <x:row r="630" ht="18" customHeight="1"/>
    <x:row r="631" ht="18" customHeight="1"/>
    <x:row r="632" ht="18" customHeight="1"/>
    <x:row r="633" ht="18" customHeight="1"/>
    <x:row r="634" ht="18" customHeight="1"/>
    <x:row r="635" ht="18" customHeight="1"/>
    <x:row r="636" ht="18" customHeight="1"/>
    <x:row r="637" ht="18" customHeight="1"/>
    <x:row r="638" ht="18" customHeight="1"/>
    <x:row r="639" ht="18" customHeight="1"/>
    <x:row r="640" ht="18" customHeight="1"/>
    <x:row r="641" ht="18" customHeight="1"/>
    <x:row r="642" ht="18" customHeight="1"/>
    <x:row r="643" ht="18" customHeight="1"/>
    <x:row r="644" ht="18" customHeight="1"/>
    <x:row r="645" ht="18" customHeight="1"/>
    <x:row r="646" ht="18" customHeight="1"/>
    <x:row r="647" ht="18" customHeight="1"/>
    <x:row r="648" ht="18" customHeight="1"/>
    <x:row r="649" ht="18" customHeight="1"/>
    <x:row r="650" ht="18" customHeight="1"/>
    <x:row r="651" ht="18" customHeight="1"/>
    <x:row r="652" ht="18" customHeight="1"/>
    <x:row r="653" ht="18" customHeight="1"/>
    <x:row r="654" ht="18" customHeight="1"/>
    <x:row r="655" ht="18" customHeight="1"/>
    <x:row r="656" ht="18" customHeight="1"/>
    <x:row r="657" ht="18" customHeight="1"/>
    <x:row r="658" ht="18" customHeight="1"/>
    <x:row r="659" ht="18" customHeight="1"/>
    <x:row r="660" ht="18" customHeight="1"/>
    <x:row r="661" ht="18" customHeight="1"/>
    <x:row r="662" ht="18" customHeight="1"/>
    <x:row r="663" ht="18" customHeight="1"/>
    <x:row r="664" ht="18" customHeight="1"/>
    <x:row r="665" ht="18" customHeight="1"/>
    <x:row r="666" ht="18" customHeight="1"/>
    <x:row r="667" ht="18" customHeight="1"/>
    <x:row r="668" ht="18" customHeight="1"/>
    <x:row r="669" ht="18" customHeight="1"/>
    <x:row r="670" ht="18" customHeight="1"/>
    <x:row r="671" ht="18" customHeight="1"/>
    <x:row r="672" ht="18" customHeight="1"/>
    <x:row r="673" ht="18" customHeight="1"/>
    <x:row r="674" ht="18" customHeight="1"/>
    <x:row r="675" ht="18" customHeight="1"/>
    <x:row r="676" ht="18" customHeight="1"/>
    <x:row r="677" ht="18" customHeight="1"/>
    <x:row r="678" ht="18" customHeight="1"/>
    <x:row r="679" ht="18" customHeight="1"/>
    <x:row r="680" ht="18" customHeight="1"/>
    <x:row r="681" ht="18" customHeight="1"/>
    <x:row r="682" ht="18" customHeight="1"/>
    <x:row r="683" ht="18" customHeight="1"/>
    <x:row r="684" ht="18" customHeight="1"/>
    <x:row r="685" ht="18" customHeight="1"/>
    <x:row r="686" ht="18" customHeight="1"/>
    <x:row r="687" ht="18" customHeight="1"/>
    <x:row r="688" ht="18" customHeight="1"/>
    <x:row r="689" ht="18" customHeight="1"/>
    <x:row r="690" ht="18" customHeight="1"/>
    <x:row r="691" ht="18" customHeight="1"/>
    <x:row r="692" ht="18" customHeight="1"/>
    <x:row r="693" ht="18" customHeight="1"/>
    <x:row r="694" ht="18" customHeight="1"/>
    <x:row r="695" ht="18" customHeight="1"/>
    <x:row r="696" ht="18" customHeight="1"/>
    <x:row r="697" ht="18" customHeight="1"/>
    <x:row r="698" ht="18" customHeight="1"/>
    <x:row r="699" ht="18" customHeight="1"/>
    <x:row r="700" ht="18" customHeight="1"/>
    <x:row r="701" ht="18" customHeight="1"/>
    <x:row r="702" ht="18" customHeight="1"/>
    <x:row r="703" ht="18" customHeight="1"/>
    <x:row r="704" ht="18" customHeight="1"/>
    <x:row r="705" ht="18" customHeight="1"/>
    <x:row r="706" ht="18" customHeight="1"/>
    <x:row r="707" ht="18" customHeight="1"/>
    <x:row r="708" ht="18" customHeight="1"/>
    <x:row r="709" ht="18" customHeight="1"/>
    <x:row r="710" ht="18" customHeight="1"/>
    <x:row r="711" ht="18" customHeight="1"/>
    <x:row r="712" ht="18" customHeight="1"/>
    <x:row r="713" ht="18" customHeight="1"/>
    <x:row r="714" ht="18" customHeight="1"/>
    <x:row r="715" ht="18" customHeight="1"/>
    <x:row r="716" ht="18" customHeight="1"/>
    <x:row r="717" ht="18" customHeight="1"/>
    <x:row r="718" ht="18" customHeight="1"/>
    <x:row r="719" ht="18" customHeight="1"/>
    <x:row r="720" ht="18" customHeight="1"/>
    <x:row r="721" ht="18" customHeight="1"/>
    <x:row r="722" ht="18" customHeight="1"/>
    <x:row r="723" ht="18" customHeight="1"/>
    <x:row r="724" ht="18" customHeight="1"/>
    <x:row r="725" ht="18" customHeight="1"/>
    <x:row r="726" ht="18" customHeight="1"/>
    <x:row r="727" ht="18" customHeight="1"/>
    <x:row r="728" ht="18" customHeight="1"/>
    <x:row r="729" ht="18" customHeight="1"/>
    <x:row r="730" ht="18" customHeight="1"/>
    <x:row r="731" ht="18" customHeight="1"/>
    <x:row r="732" ht="18" customHeight="1"/>
    <x:row r="733" ht="18" customHeight="1"/>
    <x:row r="734" ht="18" customHeight="1"/>
    <x:row r="735" ht="18" customHeight="1"/>
    <x:row r="736" ht="18" customHeight="1"/>
    <x:row r="737" ht="18" customHeight="1"/>
    <x:row r="738" ht="18" customHeight="1"/>
    <x:row r="739" ht="18" customHeight="1"/>
    <x:row r="740" ht="18" customHeight="1"/>
    <x:row r="741" ht="18" customHeight="1"/>
    <x:row r="742" ht="18" customHeight="1"/>
    <x:row r="743" ht="18" customHeight="1"/>
    <x:row r="744" ht="18" customHeight="1"/>
    <x:row r="745" ht="18" customHeight="1"/>
    <x:row r="746" ht="18" customHeight="1"/>
    <x:row r="747" ht="18" customHeight="1"/>
    <x:row r="748" ht="18" customHeight="1"/>
    <x:row r="749" ht="18" customHeight="1"/>
    <x:row r="750" ht="18" customHeight="1"/>
    <x:row r="751" ht="18" customHeight="1"/>
    <x:row r="752" ht="18" customHeight="1"/>
    <x:row r="753" ht="18" customHeight="1"/>
    <x:row r="754" ht="18" customHeight="1"/>
    <x:row r="755" ht="18" customHeight="1"/>
    <x:row r="756" ht="18" customHeight="1"/>
    <x:row r="757" ht="18" customHeight="1"/>
    <x:row r="758" ht="18" customHeight="1"/>
    <x:row r="759" ht="18" customHeight="1"/>
    <x:row r="760" ht="18" customHeight="1"/>
    <x:row r="761" ht="18" customHeight="1"/>
    <x:row r="762" ht="18" customHeight="1"/>
    <x:row r="763" ht="18" customHeight="1"/>
    <x:row r="764" ht="18" customHeight="1"/>
    <x:row r="765" ht="18" customHeight="1"/>
    <x:row r="766" ht="18" customHeight="1"/>
    <x:row r="767" ht="18" customHeight="1"/>
    <x:row r="768" ht="18" customHeight="1"/>
    <x:row r="769" ht="18" customHeight="1"/>
    <x:row r="770" ht="18" customHeight="1"/>
    <x:row r="771" ht="18" customHeight="1"/>
    <x:row r="772" ht="18" customHeight="1"/>
    <x:row r="773" ht="18" customHeight="1"/>
    <x:row r="774" ht="18" customHeight="1"/>
    <x:row r="775" ht="18" customHeight="1"/>
    <x:row r="776" ht="18" customHeight="1"/>
    <x:row r="777" ht="18" customHeight="1"/>
    <x:row r="778" ht="18" customHeight="1"/>
    <x:row r="779" ht="18" customHeight="1"/>
    <x:row r="780" ht="18" customHeight="1"/>
    <x:row r="781" ht="18" customHeight="1"/>
    <x:row r="782" ht="18" customHeight="1"/>
    <x:row r="783" ht="18" customHeight="1"/>
    <x:row r="784" ht="18" customHeight="1"/>
    <x:row r="785" ht="18" customHeight="1"/>
    <x:row r="786" ht="18" customHeight="1"/>
    <x:row r="787" ht="18" customHeight="1"/>
    <x:row r="788" ht="18" customHeight="1"/>
    <x:row r="789" ht="18" customHeight="1"/>
    <x:row r="790" ht="18" customHeight="1"/>
    <x:row r="791" ht="18" customHeight="1"/>
    <x:row r="792" ht="18" customHeight="1"/>
    <x:row r="793" ht="18" customHeight="1"/>
    <x:row r="794" ht="18" customHeight="1"/>
    <x:row r="795" ht="18" customHeight="1"/>
    <x:row r="796" ht="18" customHeight="1"/>
    <x:row r="797" ht="18" customHeight="1"/>
    <x:row r="798" ht="18" customHeight="1"/>
    <x:row r="799" ht="18" customHeight="1"/>
    <x:row r="800" ht="18" customHeight="1"/>
    <x:row r="801" ht="18" customHeight="1"/>
    <x:row r="802" ht="18" customHeight="1"/>
    <x:row r="803" ht="18" customHeight="1"/>
    <x:row r="804" ht="18" customHeight="1"/>
    <x:row r="805" ht="18" customHeight="1"/>
    <x:row r="806" ht="18" customHeight="1"/>
    <x:row r="807" ht="18" customHeight="1"/>
    <x:row r="808" ht="18" customHeight="1"/>
    <x:row r="809" ht="18" customHeight="1"/>
    <x:row r="810" ht="18" customHeight="1"/>
    <x:row r="811" ht="18" customHeight="1"/>
    <x:row r="812" ht="18" customHeight="1"/>
    <x:row r="813" ht="18" customHeight="1"/>
    <x:row r="814" ht="18" customHeight="1"/>
    <x:row r="815" ht="18" customHeight="1"/>
    <x:row r="816" ht="18" customHeight="1"/>
    <x:row r="817" ht="18" customHeight="1"/>
    <x:row r="818" ht="18" customHeight="1"/>
    <x:row r="819" ht="18" customHeight="1"/>
    <x:row r="820" ht="18" customHeight="1"/>
    <x:row r="821" ht="18" customHeight="1"/>
    <x:row r="822" ht="18" customHeight="1"/>
    <x:row r="823" ht="18" customHeight="1"/>
    <x:row r="824" ht="18" customHeight="1"/>
    <x:row r="825" ht="18" customHeight="1"/>
    <x:row r="826" ht="18" customHeight="1"/>
    <x:row r="827" ht="18" customHeight="1"/>
    <x:row r="828" ht="18" customHeight="1"/>
    <x:row r="829" ht="18" customHeight="1"/>
    <x:row r="830" ht="18" customHeight="1"/>
    <x:row r="831" ht="18" customHeight="1"/>
    <x:row r="832" ht="18" customHeight="1"/>
    <x:row r="833" ht="18" customHeight="1"/>
    <x:row r="834" ht="18" customHeight="1"/>
    <x:row r="835" ht="18" customHeight="1"/>
    <x:row r="836" ht="18" customHeight="1"/>
    <x:row r="837" ht="18" customHeight="1"/>
    <x:row r="838" ht="18" customHeight="1"/>
    <x:row r="839" ht="18" customHeight="1"/>
    <x:row r="840" ht="18" customHeight="1"/>
    <x:row r="841" ht="18" customHeight="1"/>
    <x:row r="842" ht="18" customHeight="1"/>
    <x:row r="843" ht="18" customHeight="1"/>
    <x:row r="844" ht="18" customHeight="1"/>
    <x:row r="845" ht="18" customHeight="1"/>
    <x:row r="846" ht="18" customHeight="1"/>
    <x:row r="847" ht="18" customHeight="1"/>
    <x:row r="848" ht="18" customHeight="1"/>
    <x:row r="849" ht="18" customHeight="1"/>
    <x:row r="850" ht="18" customHeight="1"/>
    <x:row r="851" ht="18" customHeight="1"/>
    <x:row r="852" ht="18" customHeight="1"/>
    <x:row r="853" ht="18" customHeight="1"/>
    <x:row r="854" ht="18" customHeight="1"/>
    <x:row r="855" ht="18" customHeight="1"/>
    <x:row r="856" ht="18" customHeight="1"/>
    <x:row r="857" ht="18" customHeight="1"/>
    <x:row r="858" ht="18" customHeight="1"/>
    <x:row r="859" ht="18" customHeight="1"/>
    <x:row r="860" ht="18" customHeight="1"/>
    <x:row r="861" ht="18" customHeight="1"/>
    <x:row r="862" ht="18" customHeight="1"/>
    <x:row r="863" ht="18" customHeight="1"/>
    <x:row r="864" ht="18" customHeight="1"/>
    <x:row r="865" ht="18" customHeight="1"/>
    <x:row r="866" ht="18" customHeight="1"/>
    <x:row r="867" ht="18" customHeight="1"/>
    <x:row r="868" ht="18" customHeight="1"/>
    <x:row r="869" ht="18" customHeight="1"/>
    <x:row r="870" ht="18" customHeight="1"/>
    <x:row r="871" ht="18" customHeight="1"/>
    <x:row r="872" ht="18" customHeight="1"/>
    <x:row r="873" ht="18" customHeight="1"/>
    <x:row r="874" ht="18" customHeight="1"/>
    <x:row r="875" ht="18" customHeight="1"/>
    <x:row r="876" ht="18" customHeight="1"/>
    <x:row r="877" ht="18" customHeight="1"/>
    <x:row r="878" ht="18" customHeight="1"/>
    <x:row r="879" ht="18" customHeight="1"/>
    <x:row r="880" ht="18" customHeight="1"/>
    <x:row r="881" ht="18" customHeight="1"/>
    <x:row r="882" ht="18" customHeight="1"/>
    <x:row r="883" ht="18" customHeight="1"/>
    <x:row r="884" ht="18" customHeight="1"/>
    <x:row r="885" ht="18" customHeight="1"/>
    <x:row r="886" ht="18" customHeight="1"/>
    <x:row r="887" ht="18" customHeight="1"/>
    <x:row r="888" ht="18" customHeight="1"/>
    <x:row r="889" ht="18" customHeight="1"/>
    <x:row r="890" ht="18" customHeight="1"/>
    <x:row r="891" ht="18" customHeight="1"/>
    <x:row r="892" ht="18" customHeight="1"/>
    <x:row r="893" ht="18" customHeight="1"/>
    <x:row r="894" ht="18" customHeight="1"/>
    <x:row r="895" ht="18" customHeight="1"/>
    <x:row r="896" ht="18" customHeight="1"/>
    <x:row r="897" ht="18" customHeight="1"/>
    <x:row r="898" ht="18" customHeight="1"/>
    <x:row r="899" ht="18" customHeight="1"/>
    <x:row r="900" ht="18" customHeight="1"/>
    <x:row r="901" ht="18" customHeight="1"/>
    <x:row r="902" ht="18" customHeight="1"/>
    <x:row r="903" ht="18" customHeight="1"/>
    <x:row r="904" ht="18" customHeight="1"/>
    <x:row r="905" ht="18" customHeight="1"/>
    <x:row r="906" ht="18" customHeight="1"/>
    <x:row r="907" ht="18" customHeight="1"/>
    <x:row r="908" ht="18" customHeight="1"/>
    <x:row r="909" ht="18" customHeight="1"/>
    <x:row r="910" ht="18" customHeight="1"/>
    <x:row r="911" ht="18" customHeight="1"/>
    <x:row r="912" ht="18" customHeight="1"/>
    <x:row r="913" ht="18" customHeight="1"/>
    <x:row r="914" ht="18" customHeight="1"/>
    <x:row r="915" ht="18" customHeight="1"/>
    <x:row r="916" ht="18" customHeight="1"/>
    <x:row r="917" ht="18" customHeight="1"/>
    <x:row r="918" ht="18" customHeight="1"/>
    <x:row r="919" ht="18" customHeight="1"/>
    <x:row r="920" ht="18" customHeight="1"/>
    <x:row r="921" ht="18" customHeight="1"/>
    <x:row r="922" ht="18" customHeight="1"/>
    <x:row r="923" ht="18" customHeight="1"/>
    <x:row r="924" ht="18" customHeight="1"/>
    <x:row r="925" ht="18" customHeight="1"/>
    <x:row r="926" ht="18" customHeight="1"/>
    <x:row r="927" ht="18" customHeight="1"/>
    <x:row r="928" ht="18" customHeight="1"/>
    <x:row r="929" ht="18" customHeight="1"/>
    <x:row r="930" ht="18" customHeight="1"/>
    <x:row r="931" ht="18" customHeight="1"/>
    <x:row r="932" ht="18" customHeight="1"/>
    <x:row r="933" ht="18" customHeight="1"/>
    <x:row r="934" ht="18" customHeight="1"/>
    <x:row r="935" ht="18" customHeight="1"/>
    <x:row r="936" ht="18" customHeight="1"/>
    <x:row r="937" ht="18" customHeight="1"/>
    <x:row r="938" ht="18" customHeight="1"/>
    <x:row r="939" ht="18" customHeight="1"/>
    <x:row r="940" ht="18" customHeight="1"/>
    <x:row r="941" ht="18" customHeight="1"/>
    <x:row r="942" ht="18" customHeight="1"/>
    <x:row r="943" ht="18" customHeight="1"/>
    <x:row r="944" ht="18" customHeight="1"/>
    <x:row r="945" ht="18" customHeight="1"/>
    <x:row r="946" ht="18" customHeight="1"/>
    <x:row r="947" ht="18" customHeight="1"/>
    <x:row r="948" ht="18" customHeight="1"/>
    <x:row r="949" ht="18" customHeight="1"/>
    <x:row r="950" ht="18" customHeight="1"/>
    <x:row r="951" ht="18" customHeight="1"/>
    <x:row r="952" ht="18" customHeight="1"/>
    <x:row r="953" ht="18" customHeight="1"/>
    <x:row r="954" ht="18" customHeight="1"/>
    <x:row r="955" ht="18" customHeight="1"/>
    <x:row r="956" ht="18" customHeight="1"/>
    <x:row r="957" ht="18" customHeight="1"/>
    <x:row r="958" ht="18" customHeight="1"/>
    <x:row r="959" ht="18" customHeight="1"/>
    <x:row r="960" ht="18" customHeight="1"/>
    <x:row r="961" ht="18" customHeight="1"/>
    <x:row r="962" ht="18" customHeight="1"/>
    <x:row r="963" ht="18" customHeight="1"/>
    <x:row r="964" ht="18" customHeight="1"/>
    <x:row r="965" ht="18" customHeight="1"/>
    <x:row r="966" ht="18" customHeight="1"/>
    <x:row r="967" ht="18" customHeight="1"/>
    <x:row r="968" ht="18" customHeight="1"/>
    <x:row r="969" ht="18" customHeight="1"/>
    <x:row r="970" ht="18" customHeight="1"/>
    <x:row r="971" ht="18" customHeight="1"/>
    <x:row r="972" ht="18" customHeight="1"/>
    <x:row r="973" ht="18" customHeight="1"/>
    <x:row r="974" ht="18" customHeight="1"/>
    <x:row r="975" ht="18" customHeight="1"/>
    <x:row r="976" ht="18" customHeight="1"/>
    <x:row r="977" ht="18" customHeight="1"/>
    <x:row r="978" ht="18" customHeight="1"/>
    <x:row r="979" ht="18" customHeight="1"/>
    <x:row r="980" ht="18" customHeight="1"/>
    <x:row r="981" ht="18" customHeight="1"/>
    <x:row r="982" ht="18" customHeight="1"/>
    <x:row r="983" ht="18" customHeight="1"/>
    <x:row r="984" ht="18" customHeight="1"/>
    <x:row r="985" ht="18" customHeight="1"/>
    <x:row r="986" ht="18" customHeight="1"/>
    <x:row r="987" ht="18" customHeight="1"/>
    <x:row r="988" ht="18" customHeight="1"/>
    <x:row r="989" ht="18" customHeight="1"/>
    <x:row r="990" ht="18" customHeight="1"/>
    <x:row r="991" ht="18" customHeight="1"/>
    <x:row r="992" ht="18" customHeight="1"/>
    <x:row r="993" ht="18" customHeight="1"/>
    <x:row r="994" ht="18" customHeight="1"/>
    <x:row r="995" ht="18" customHeight="1"/>
    <x:row r="996" ht="18" customHeight="1"/>
    <x:row r="997" ht="18" customHeight="1"/>
    <x:row r="998" ht="18" customHeight="1"/>
    <x:row r="999" ht="18" customHeight="1"/>
    <x:row r="1000" ht="18" customHeight="1"/>
    <x:row r="1001" ht="18" customHeight="1"/>
    <x:row r="1002" ht="18" customHeight="1"/>
    <x:row r="1003" ht="18" customHeight="1"/>
    <x:row r="1004" ht="18" customHeight="1"/>
    <x:row r="1005" ht="18" customHeight="1"/>
    <x:row r="1006" ht="18" customHeight="1"/>
    <x:row r="1007" ht="18" customHeight="1"/>
    <x:row r="1008" ht="18" customHeight="1"/>
    <x:row r="1009" ht="18" customHeight="1"/>
    <x:row r="1010" ht="18" customHeight="1"/>
    <x:row r="1011" ht="18" customHeight="1"/>
    <x:row r="1012" ht="18" customHeight="1"/>
    <x:row r="1013" ht="18" customHeight="1"/>
    <x:row r="1014" ht="18" customHeight="1"/>
    <x:row r="1015" ht="18" customHeight="1"/>
    <x:row r="1016" ht="18" customHeight="1"/>
    <x:row r="1017" ht="18" customHeight="1"/>
    <x:row r="1018" ht="18" customHeight="1"/>
    <x:row r="1019" ht="18" customHeight="1"/>
    <x:row r="1020" ht="18" customHeight="1"/>
    <x:row r="1021" ht="18" customHeight="1"/>
    <x:row r="1022" ht="18" customHeight="1"/>
    <x:row r="1023" ht="18" customHeight="1"/>
    <x:row r="1024" ht="18" customHeight="1"/>
    <x:row r="1025" ht="18" customHeight="1"/>
    <x:row r="1026" ht="18" customHeight="1"/>
    <x:row r="1027" ht="18" customHeight="1"/>
    <x:row r="1028" ht="18" customHeight="1"/>
    <x:row r="1029" ht="18" customHeight="1"/>
    <x:row r="1030" ht="18" customHeight="1"/>
    <x:row r="1031" ht="18" customHeight="1"/>
    <x:row r="1032" ht="18" customHeight="1"/>
    <x:row r="1033" ht="18" customHeight="1"/>
    <x:row r="1034" ht="18" customHeight="1"/>
    <x:row r="1035" ht="18" customHeight="1"/>
    <x:row r="1036" ht="18" customHeight="1"/>
    <x:row r="1037" ht="18" customHeight="1"/>
    <x:row r="1038" ht="18" customHeight="1"/>
    <x:row r="1039" ht="18" customHeight="1"/>
    <x:row r="1040" ht="18" customHeight="1"/>
    <x:row r="1041" ht="18" customHeight="1"/>
    <x:row r="1042" ht="18" customHeight="1"/>
    <x:row r="1043" ht="18" customHeight="1"/>
    <x:row r="1044" ht="18" customHeight="1"/>
    <x:row r="1045" ht="18" customHeight="1"/>
    <x:row r="1046" ht="18" customHeight="1"/>
    <x:row r="1047" ht="18" customHeight="1"/>
    <x:row r="1048" ht="18" customHeight="1"/>
    <x:row r="1049" ht="18" customHeight="1"/>
    <x:row r="1050" ht="18" customHeight="1"/>
    <x:row r="1051" ht="18" customHeight="1"/>
    <x:row r="1052" ht="18" customHeight="1"/>
    <x:row r="1053" ht="18" customHeight="1"/>
    <x:row r="1054" ht="18" customHeight="1"/>
    <x:row r="1055" ht="18" customHeight="1"/>
    <x:row r="1056" ht="18" customHeight="1"/>
    <x:row r="1057" ht="18" customHeight="1"/>
    <x:row r="1058" ht="18" customHeight="1"/>
    <x:row r="1059" ht="18" customHeight="1"/>
    <x:row r="1060" ht="18" customHeight="1"/>
    <x:row r="1061" ht="18" customHeight="1"/>
    <x:row r="1062" ht="18" customHeight="1"/>
    <x:row r="1063" ht="18" customHeight="1"/>
    <x:row r="1064" ht="18" customHeight="1"/>
    <x:row r="1065" ht="18" customHeight="1"/>
    <x:row r="1066" ht="18" customHeight="1"/>
    <x:row r="1067" ht="18" customHeight="1"/>
    <x:row r="1068" ht="18" customHeight="1"/>
    <x:row r="1069" ht="18" customHeight="1"/>
    <x:row r="1070" ht="18" customHeight="1"/>
    <x:row r="1071" ht="18" customHeight="1"/>
    <x:row r="1072" ht="18" customHeight="1"/>
    <x:row r="1073" ht="18" customHeight="1"/>
    <x:row r="1074" ht="18" customHeight="1"/>
    <x:row r="1075" ht="18" customHeight="1"/>
    <x:row r="1076" ht="18" customHeight="1"/>
    <x:row r="1077" ht="18" customHeight="1"/>
    <x:row r="1078" ht="18" customHeight="1"/>
    <x:row r="1079" ht="18" customHeight="1"/>
    <x:row r="1080" ht="18" customHeight="1"/>
    <x:row r="1081" ht="18" customHeight="1"/>
    <x:row r="1082" ht="18" customHeight="1"/>
    <x:row r="1083" ht="18" customHeight="1"/>
    <x:row r="1084" ht="18" customHeight="1"/>
    <x:row r="1085" ht="18" customHeight="1"/>
    <x:row r="1086" ht="18" customHeight="1"/>
    <x:row r="1087" ht="18" customHeight="1"/>
    <x:row r="1088" ht="18" customHeight="1"/>
    <x:row r="1089" ht="18" customHeight="1"/>
    <x:row r="1090" ht="18" customHeight="1"/>
    <x:row r="1091" ht="18" customHeight="1"/>
    <x:row r="1092" ht="18" customHeight="1"/>
    <x:row r="1093" ht="18" customHeight="1"/>
    <x:row r="1094" ht="18" customHeight="1"/>
    <x:row r="1095" ht="18" customHeight="1"/>
    <x:row r="1096" ht="18" customHeight="1"/>
    <x:row r="1097" ht="18" customHeight="1"/>
    <x:row r="1098" ht="18" customHeight="1"/>
    <x:row r="1099" ht="18" customHeight="1"/>
    <x:row r="1100" ht="18" customHeight="1"/>
    <x:row r="1101" ht="18" customHeight="1"/>
    <x:row r="1102" ht="18" customHeight="1"/>
    <x:row r="1103" ht="18" customHeight="1"/>
    <x:row r="1104" ht="18" customHeight="1"/>
    <x:row r="1105" ht="18" customHeight="1"/>
    <x:row r="1106" ht="18" customHeight="1"/>
    <x:row r="1107" ht="18" customHeight="1"/>
    <x:row r="1108" ht="18" customHeight="1"/>
    <x:row r="1109" ht="18" customHeight="1"/>
    <x:row r="1110" ht="18" customHeight="1"/>
    <x:row r="1111" ht="18" customHeight="1"/>
    <x:row r="1112" ht="18" customHeight="1"/>
    <x:row r="1113" ht="18" customHeight="1"/>
    <x:row r="1114" ht="18" customHeight="1"/>
    <x:row r="1115" ht="18" customHeight="1"/>
    <x:row r="1116" ht="18" customHeight="1"/>
    <x:row r="1117" ht="18" customHeight="1"/>
    <x:row r="1118" ht="18" customHeight="1"/>
    <x:row r="1119" ht="18" customHeight="1"/>
    <x:row r="1120" ht="18" customHeight="1"/>
    <x:row r="1121" ht="18" customHeight="1"/>
    <x:row r="1122" ht="18" customHeight="1"/>
    <x:row r="1123" ht="18" customHeight="1"/>
    <x:row r="1124" ht="18" customHeight="1"/>
    <x:row r="1125" ht="18" customHeight="1"/>
    <x:row r="1126" ht="18" customHeight="1"/>
    <x:row r="1127" ht="18" customHeight="1"/>
    <x:row r="1128" ht="18" customHeight="1"/>
    <x:row r="1129" ht="18" customHeight="1"/>
    <x:row r="1130" ht="18" customHeight="1"/>
    <x:row r="1131" ht="18" customHeight="1"/>
    <x:row r="1132" ht="18" customHeight="1"/>
    <x:row r="1133" ht="18" customHeight="1"/>
    <x:row r="1134" ht="18" customHeight="1"/>
    <x:row r="1135" ht="18" customHeight="1"/>
    <x:row r="1136" ht="18" customHeight="1"/>
    <x:row r="1137" ht="18" customHeight="1"/>
    <x:row r="1138" ht="18" customHeight="1"/>
    <x:row r="1139" ht="18" customHeight="1"/>
    <x:row r="1140" ht="18" customHeight="1"/>
    <x:row r="1141" ht="18" customHeight="1"/>
    <x:row r="1142" ht="18" customHeight="1"/>
    <x:row r="1143" ht="18" customHeight="1"/>
    <x:row r="1144" ht="18" customHeight="1"/>
    <x:row r="1145" ht="18" customHeight="1"/>
    <x:row r="1146" ht="18" customHeight="1"/>
    <x:row r="1147" ht="18" customHeight="1"/>
    <x:row r="1148" ht="18" customHeight="1"/>
    <x:row r="1149" ht="18" customHeight="1"/>
    <x:row r="1150" ht="18" customHeight="1"/>
    <x:row r="1151" ht="18" customHeight="1"/>
    <x:row r="1152" ht="18" customHeight="1"/>
    <x:row r="1153" ht="18" customHeight="1"/>
    <x:row r="1154" ht="18" customHeight="1"/>
    <x:row r="1155" ht="18" customHeight="1"/>
    <x:row r="1156" ht="18" customHeight="1"/>
    <x:row r="1157" ht="18" customHeight="1"/>
    <x:row r="1158" ht="18" customHeight="1"/>
    <x:row r="1159" ht="18" customHeight="1"/>
    <x:row r="1160" ht="18" customHeight="1"/>
    <x:row r="1161" ht="18" customHeight="1"/>
    <x:row r="1162" ht="18" customHeight="1"/>
    <x:row r="1163" ht="18" customHeight="1"/>
    <x:row r="1164" ht="18" customHeight="1"/>
    <x:row r="1165" ht="18" customHeight="1"/>
    <x:row r="1166" ht="18" customHeight="1"/>
    <x:row r="1167" ht="18" customHeight="1"/>
    <x:row r="1168" ht="18" customHeight="1"/>
    <x:row r="1169" ht="18" customHeight="1"/>
    <x:row r="1170" ht="18" customHeight="1"/>
    <x:row r="1171" ht="18" customHeight="1"/>
    <x:row r="1172" ht="18" customHeight="1"/>
    <x:row r="1173" ht="18" customHeight="1"/>
    <x:row r="1174" ht="18" customHeight="1"/>
    <x:row r="1175" ht="18" customHeight="1"/>
    <x:row r="1176" ht="18" customHeight="1"/>
    <x:row r="1177" ht="18" customHeight="1"/>
    <x:row r="1178" ht="18" customHeight="1"/>
    <x:row r="1179" ht="18" customHeight="1"/>
    <x:row r="1180" ht="18" customHeight="1"/>
    <x:row r="1181" ht="18" customHeight="1"/>
    <x:row r="1182" ht="18" customHeight="1"/>
    <x:row r="1183" ht="18" customHeight="1"/>
    <x:row r="1184" ht="18" customHeight="1"/>
    <x:row r="1185" ht="18" customHeight="1"/>
    <x:row r="1186" ht="18" customHeight="1"/>
    <x:row r="1187" ht="18" customHeight="1"/>
    <x:row r="1188" ht="18" customHeight="1"/>
    <x:row r="1189" ht="18" customHeight="1"/>
    <x:row r="1190" ht="18" customHeight="1"/>
    <x:row r="1191" ht="18" customHeight="1"/>
    <x:row r="1192" ht="18" customHeight="1"/>
    <x:row r="1193" ht="18" customHeight="1"/>
    <x:row r="1194" ht="18" customHeight="1"/>
    <x:row r="1195" ht="18" customHeight="1"/>
    <x:row r="1196" ht="18" customHeight="1"/>
    <x:row r="1197" ht="18" customHeight="1"/>
    <x:row r="1198" ht="18" customHeight="1"/>
    <x:row r="1199" ht="18" customHeight="1"/>
    <x:row r="1200" ht="18" customHeight="1"/>
    <x:row r="1201" ht="18" customHeight="1"/>
    <x:row r="1202" ht="18" customHeight="1"/>
    <x:row r="1203" ht="18" customHeight="1"/>
    <x:row r="1204" ht="18" customHeight="1"/>
    <x:row r="1205" ht="18" customHeight="1"/>
    <x:row r="1206" ht="18" customHeight="1"/>
    <x:row r="1207" ht="18" customHeight="1"/>
    <x:row r="1208" ht="18" customHeight="1"/>
    <x:row r="1209" ht="18" customHeight="1"/>
    <x:row r="1210" ht="18" customHeight="1"/>
    <x:row r="1211" ht="18" customHeight="1"/>
    <x:row r="1212" ht="18" customHeight="1"/>
    <x:row r="1213" ht="18" customHeight="1"/>
    <x:row r="1214" ht="18" customHeight="1"/>
    <x:row r="1215" ht="18" customHeight="1"/>
    <x:row r="1216" ht="18" customHeight="1"/>
    <x:row r="1217" ht="18" customHeight="1"/>
    <x:row r="1218" ht="18" customHeight="1"/>
    <x:row r="1219" ht="18" customHeight="1"/>
    <x:row r="1220" ht="18" customHeight="1"/>
    <x:row r="1221" ht="18" customHeight="1"/>
    <x:row r="1222" ht="18" customHeight="1"/>
    <x:row r="1223" ht="18" customHeight="1"/>
    <x:row r="1224" ht="18" customHeight="1"/>
    <x:row r="1225" ht="18" customHeight="1"/>
    <x:row r="1226" ht="18" customHeight="1"/>
    <x:row r="1227" ht="18" customHeight="1"/>
    <x:row r="1228" ht="18" customHeight="1"/>
    <x:row r="1229" ht="18" customHeight="1"/>
    <x:row r="1230" ht="18" customHeight="1"/>
    <x:row r="1231" ht="18" customHeight="1"/>
    <x:row r="1232" ht="18" customHeight="1"/>
    <x:row r="1233" ht="18" customHeight="1"/>
    <x:row r="1234" ht="18" customHeight="1"/>
    <x:row r="1235" ht="18" customHeight="1"/>
    <x:row r="1236" ht="18" customHeight="1"/>
    <x:row r="1237" ht="18" customHeight="1"/>
    <x:row r="1238" ht="18" customHeight="1"/>
    <x:row r="1239" ht="18" customHeight="1"/>
    <x:row r="1240" ht="18" customHeight="1"/>
    <x:row r="1241" ht="18" customHeight="1"/>
    <x:row r="1242" ht="18" customHeight="1"/>
    <x:row r="1243" ht="18" customHeight="1"/>
    <x:row r="1244" ht="18" customHeight="1"/>
    <x:row r="1245" ht="18" customHeight="1"/>
    <x:row r="1246" ht="18" customHeight="1"/>
    <x:row r="1247" ht="18" customHeight="1"/>
    <x:row r="1248" ht="18" customHeight="1"/>
    <x:row r="1249" ht="18" customHeight="1"/>
    <x:row r="1250" ht="18" customHeight="1"/>
    <x:row r="1251" ht="18" customHeight="1"/>
    <x:row r="1252" ht="18" customHeight="1"/>
    <x:row r="1253" ht="18" customHeight="1"/>
    <x:row r="1254" ht="18" customHeight="1"/>
    <x:row r="1255" ht="18" customHeight="1"/>
    <x:row r="1256" ht="18" customHeight="1"/>
    <x:row r="1257" ht="18" customHeight="1"/>
    <x:row r="1258" ht="18" customHeight="1"/>
    <x:row r="1259" ht="18" customHeight="1"/>
    <x:row r="1260" ht="18" customHeight="1"/>
    <x:row r="1261" ht="18" customHeight="1"/>
    <x:row r="1262" ht="18" customHeight="1"/>
    <x:row r="1263" ht="18" customHeight="1"/>
    <x:row r="1264" ht="18" customHeight="1"/>
    <x:row r="1265" ht="18" customHeight="1"/>
    <x:row r="1266" ht="18" customHeight="1"/>
    <x:row r="1267" ht="18" customHeight="1"/>
    <x:row r="1268" ht="18" customHeight="1"/>
    <x:row r="1269" ht="18" customHeight="1"/>
    <x:row r="1270" ht="18" customHeight="1"/>
    <x:row r="1271" ht="18" customHeight="1"/>
    <x:row r="1272" ht="18" customHeight="1"/>
    <x:row r="1273" ht="18" customHeight="1"/>
    <x:row r="1274" ht="18" customHeight="1"/>
    <x:row r="1275" ht="18" customHeight="1"/>
    <x:row r="1276" ht="18" customHeight="1"/>
    <x:row r="1277" ht="18" customHeight="1"/>
    <x:row r="1278" ht="18" customHeight="1"/>
    <x:row r="1279" ht="18" customHeight="1"/>
    <x:row r="1280" ht="18" customHeight="1"/>
    <x:row r="1281" ht="18" customHeight="1"/>
    <x:row r="1282" ht="18" customHeight="1"/>
    <x:row r="1283" ht="18" customHeight="1"/>
    <x:row r="1284" ht="18" customHeight="1"/>
    <x:row r="1285" ht="18" customHeight="1"/>
    <x:row r="1286" ht="18" customHeight="1"/>
    <x:row r="1287" ht="18" customHeight="1"/>
    <x:row r="1288" ht="18" customHeight="1"/>
    <x:row r="1289" ht="18" customHeight="1"/>
    <x:row r="1290" ht="18" customHeight="1"/>
    <x:row r="1291" ht="18" customHeight="1"/>
    <x:row r="1292" ht="18" customHeight="1"/>
    <x:row r="1293" ht="18" customHeight="1"/>
    <x:row r="1294" ht="18" customHeight="1"/>
    <x:row r="1295" ht="18" customHeight="1"/>
    <x:row r="1296" ht="18" customHeight="1"/>
    <x:row r="1297" ht="18" customHeight="1"/>
    <x:row r="1298" ht="18" customHeight="1"/>
    <x:row r="1299" ht="18" customHeight="1"/>
    <x:row r="1300" ht="18" customHeight="1"/>
    <x:row r="1301" ht="18" customHeight="1"/>
    <x:row r="1302" ht="18" customHeight="1"/>
    <x:row r="1303" ht="18" customHeight="1"/>
    <x:row r="1304" ht="18" customHeight="1"/>
    <x:row r="1305" ht="18" customHeight="1"/>
    <x:row r="1306" ht="18" customHeight="1"/>
    <x:row r="1307" ht="18" customHeight="1"/>
    <x:row r="1308" ht="18" customHeight="1"/>
    <x:row r="1309" ht="18" customHeight="1"/>
    <x:row r="1310" ht="18" customHeight="1"/>
    <x:row r="1311" ht="18" customHeight="1"/>
    <x:row r="1312" ht="18" customHeight="1"/>
    <x:row r="1313" ht="18" customHeight="1"/>
    <x:row r="1314" ht="18" customHeight="1"/>
    <x:row r="1315" ht="18" customHeight="1"/>
    <x:row r="1316" ht="18" customHeight="1"/>
    <x:row r="1317" ht="18" customHeight="1"/>
    <x:row r="1318" ht="18" customHeight="1"/>
    <x:row r="1319" ht="18" customHeight="1"/>
    <x:row r="1320" ht="18" customHeight="1"/>
    <x:row r="1321" ht="18" customHeight="1"/>
    <x:row r="1322" ht="18" customHeight="1"/>
    <x:row r="1323" ht="18" customHeight="1"/>
    <x:row r="1324" ht="18" customHeight="1"/>
    <x:row r="1325" ht="18" customHeight="1"/>
    <x:row r="1326" ht="18" customHeight="1"/>
    <x:row r="1327" ht="18" customHeight="1"/>
    <x:row r="1328" ht="18" customHeight="1"/>
    <x:row r="1329" ht="18" customHeight="1"/>
    <x:row r="1330" ht="18" customHeight="1"/>
    <x:row r="1331" ht="18" customHeight="1"/>
    <x:row r="1332" ht="18" customHeight="1"/>
    <x:row r="1333" ht="18" customHeight="1"/>
    <x:row r="1334" ht="18" customHeight="1"/>
    <x:row r="1335" ht="18" customHeight="1"/>
    <x:row r="1336" ht="18" customHeight="1"/>
    <x:row r="1337" ht="18" customHeight="1"/>
    <x:row r="1338" ht="18" customHeight="1"/>
    <x:row r="1339" ht="18" customHeight="1"/>
    <x:row r="1340" ht="18" customHeight="1"/>
    <x:row r="1341" ht="18" customHeight="1"/>
    <x:row r="1342" ht="18" customHeight="1"/>
    <x:row r="1343" ht="18" customHeight="1"/>
    <x:row r="1344" ht="18" customHeight="1"/>
    <x:row r="1345" ht="18" customHeight="1"/>
    <x:row r="1346" ht="18" customHeight="1"/>
    <x:row r="1347" ht="18" customHeight="1"/>
    <x:row r="1348" ht="18" customHeight="1"/>
    <x:row r="1349" ht="18" customHeight="1"/>
    <x:row r="1350" ht="18" customHeight="1"/>
    <x:row r="1351" ht="18" customHeight="1"/>
    <x:row r="1352" ht="18" customHeight="1"/>
    <x:row r="1353" ht="18" customHeight="1"/>
    <x:row r="1354" ht="18" customHeight="1"/>
    <x:row r="1355" ht="18" customHeight="1"/>
    <x:row r="1356" ht="18" customHeight="1"/>
    <x:row r="1357" ht="18" customHeight="1"/>
    <x:row r="1358" ht="18" customHeight="1"/>
    <x:row r="1359" ht="18" customHeight="1"/>
    <x:row r="1360" ht="18" customHeight="1"/>
    <x:row r="1361" ht="18" customHeight="1"/>
    <x:row r="1362" ht="18" customHeight="1"/>
    <x:row r="1363" ht="18" customHeight="1"/>
    <x:row r="1364" ht="18" customHeight="1"/>
    <x:row r="1365" ht="18" customHeight="1"/>
    <x:row r="1366" ht="18" customHeight="1"/>
    <x:row r="1367" ht="18" customHeight="1"/>
    <x:row r="1368" ht="18" customHeight="1"/>
    <x:row r="1369" ht="18" customHeight="1"/>
    <x:row r="1370" ht="18" customHeight="1"/>
    <x:row r="1371" ht="18" customHeight="1"/>
    <x:row r="1372" ht="18" customHeight="1"/>
    <x:row r="1373" ht="18" customHeight="1"/>
    <x:row r="1374" ht="18" customHeight="1"/>
    <x:row r="1375" ht="18" customHeight="1"/>
    <x:row r="1376" ht="18" customHeight="1"/>
    <x:row r="1377" ht="18" customHeight="1"/>
    <x:row r="1378" ht="18" customHeight="1"/>
    <x:row r="1379" ht="18" customHeight="1"/>
    <x:row r="1380" ht="18" customHeight="1"/>
    <x:row r="1381" ht="18" customHeight="1"/>
    <x:row r="1382" ht="18" customHeight="1"/>
    <x:row r="1383" ht="18" customHeight="1"/>
    <x:row r="1384" ht="18" customHeight="1"/>
    <x:row r="1385" ht="18" customHeight="1"/>
    <x:row r="1386" ht="18" customHeight="1"/>
    <x:row r="1387" ht="18" customHeight="1"/>
    <x:row r="1388" ht="18" customHeight="1"/>
    <x:row r="1389" ht="18" customHeight="1"/>
    <x:row r="1390" ht="18" customHeight="1"/>
    <x:row r="1391" ht="18" customHeight="1"/>
    <x:row r="1392" ht="18" customHeight="1"/>
    <x:row r="1393" ht="18" customHeight="1"/>
    <x:row r="1394" ht="18" customHeight="1"/>
    <x:row r="1395" ht="18" customHeight="1"/>
    <x:row r="1396" ht="18" customHeight="1"/>
    <x:row r="1397" ht="18" customHeight="1"/>
    <x:row r="1398" ht="18" customHeight="1"/>
    <x:row r="1399" ht="18" customHeight="1"/>
    <x:row r="1400" ht="18" customHeight="1"/>
    <x:row r="1401" ht="18" customHeight="1"/>
    <x:row r="1402" ht="18" customHeight="1"/>
    <x:row r="1403" ht="18" customHeight="1"/>
    <x:row r="1404" ht="18" customHeight="1"/>
    <x:row r="1405" ht="18" customHeight="1"/>
    <x:row r="1406" ht="18" customHeight="1"/>
    <x:row r="1407" ht="18" customHeight="1"/>
    <x:row r="1408" ht="18" customHeight="1"/>
    <x:row r="1409" ht="18" customHeight="1"/>
    <x:row r="1410" ht="18" customHeight="1"/>
    <x:row r="1411" ht="18" customHeight="1"/>
    <x:row r="1412" ht="18" customHeight="1"/>
    <x:row r="1413" ht="18" customHeight="1"/>
    <x:row r="1414" ht="18" customHeight="1"/>
    <x:row r="1415" ht="18" customHeight="1"/>
    <x:row r="1416" ht="18" customHeight="1"/>
    <x:row r="1417" ht="18" customHeight="1"/>
    <x:row r="1418" ht="18" customHeight="1"/>
    <x:row r="1419" ht="18" customHeight="1"/>
    <x:row r="1420" ht="18" customHeight="1"/>
    <x:row r="1421" ht="18" customHeight="1"/>
    <x:row r="1422" ht="18" customHeight="1"/>
    <x:row r="1423" ht="18" customHeight="1"/>
    <x:row r="1424" ht="18" customHeight="1"/>
    <x:row r="1425" ht="18" customHeight="1"/>
    <x:row r="1426" ht="18" customHeight="1"/>
    <x:row r="1427" ht="18" customHeight="1"/>
    <x:row r="1428" ht="18" customHeight="1"/>
    <x:row r="1429" ht="18" customHeight="1"/>
    <x:row r="1430" ht="18" customHeight="1"/>
    <x:row r="1431" ht="18" customHeight="1"/>
    <x:row r="1432" ht="18" customHeight="1"/>
    <x:row r="1433" ht="18" customHeight="1"/>
    <x:row r="1434" ht="18" customHeight="1"/>
    <x:row r="1435" ht="18" customHeight="1"/>
    <x:row r="1436" ht="18" customHeight="1"/>
    <x:row r="1437" ht="18" customHeight="1"/>
    <x:row r="1438" ht="18" customHeight="1"/>
    <x:row r="1439" ht="18" customHeight="1"/>
    <x:row r="1440" ht="18" customHeight="1"/>
    <x:row r="1441" ht="18" customHeight="1"/>
    <x:row r="1442" ht="18" customHeight="1"/>
    <x:row r="1443" ht="18" customHeight="1"/>
    <x:row r="1444" ht="18" customHeight="1"/>
    <x:row r="1445" ht="18" customHeight="1"/>
    <x:row r="1446" ht="18" customHeight="1"/>
    <x:row r="1447" ht="18" customHeight="1"/>
    <x:row r="1448" ht="18" customHeight="1"/>
    <x:row r="1449" ht="18" customHeight="1"/>
    <x:row r="1450" ht="18" customHeight="1"/>
    <x:row r="1451" ht="18" customHeight="1"/>
    <x:row r="1452" ht="18" customHeight="1"/>
    <x:row r="1453" ht="18" customHeight="1"/>
    <x:row r="1454" ht="18" customHeight="1"/>
    <x:row r="1455" ht="18" customHeight="1"/>
    <x:row r="1456" ht="18" customHeight="1"/>
    <x:row r="1457" ht="18" customHeight="1"/>
    <x:row r="1458" ht="18" customHeight="1"/>
    <x:row r="1459" ht="18" customHeight="1"/>
    <x:row r="1460" ht="18" customHeight="1"/>
    <x:row r="1461" ht="18" customHeight="1"/>
    <x:row r="1462" ht="18" customHeight="1"/>
    <x:row r="1463" ht="18" customHeight="1"/>
    <x:row r="1464" ht="18" customHeight="1"/>
    <x:row r="1465" ht="18" customHeight="1"/>
    <x:row r="1466" ht="18" customHeight="1"/>
    <x:row r="1467" ht="18" customHeight="1"/>
    <x:row r="1468" ht="18" customHeight="1"/>
    <x:row r="1469" ht="18" customHeight="1"/>
    <x:row r="1470" ht="18" customHeight="1"/>
    <x:row r="1471" ht="18" customHeight="1"/>
    <x:row r="1472" ht="18" customHeight="1"/>
    <x:row r="1473" ht="18" customHeight="1"/>
    <x:row r="1474" ht="18" customHeight="1"/>
    <x:row r="1475" ht="18" customHeight="1"/>
    <x:row r="1476" ht="18" customHeight="1"/>
    <x:row r="1477" ht="18" customHeight="1"/>
    <x:row r="1478" ht="18" customHeight="1"/>
    <x:row r="1479" ht="18" customHeight="1"/>
    <x:row r="1480" ht="18" customHeight="1"/>
    <x:row r="1481" ht="18" customHeight="1"/>
    <x:row r="1482" ht="18" customHeight="1"/>
    <x:row r="1483" ht="18" customHeight="1"/>
    <x:row r="1484" ht="18" customHeight="1"/>
    <x:row r="1485" ht="18" customHeight="1"/>
    <x:row r="1486" ht="18" customHeight="1"/>
    <x:row r="1487" ht="18" customHeight="1"/>
    <x:row r="1488" ht="18" customHeight="1"/>
    <x:row r="1489" ht="18" customHeight="1"/>
    <x:row r="1490" ht="18" customHeight="1"/>
    <x:row r="1491" ht="18" customHeight="1"/>
    <x:row r="1492" ht="18" customHeight="1"/>
    <x:row r="1493" ht="18" customHeight="1"/>
    <x:row r="1494" ht="18" customHeight="1"/>
    <x:row r="1495" ht="18" customHeight="1"/>
    <x:row r="1496" ht="18" customHeight="1"/>
    <x:row r="1497" ht="18" customHeight="1"/>
    <x:row r="1498" ht="18" customHeight="1"/>
    <x:row r="1499" ht="18" customHeight="1"/>
    <x:row r="1500" ht="18" customHeight="1"/>
    <x:row r="1501" ht="18" customHeight="1"/>
    <x:row r="1502" ht="18" customHeight="1"/>
    <x:row r="1503" ht="18" customHeight="1"/>
    <x:row r="1504" ht="18" customHeight="1"/>
    <x:row r="1505" ht="18" customHeight="1"/>
    <x:row r="1506" ht="18" customHeight="1"/>
    <x:row r="1507" ht="18" customHeight="1"/>
    <x:row r="1508" ht="18" customHeight="1"/>
    <x:row r="1509" ht="18" customHeight="1"/>
    <x:row r="1510" ht="18" customHeight="1"/>
    <x:row r="1511" ht="18" customHeight="1"/>
    <x:row r="1512" ht="18" customHeight="1"/>
    <x:row r="1513" ht="18" customHeight="1"/>
    <x:row r="1514" ht="18" customHeight="1"/>
    <x:row r="1515" ht="18" customHeight="1"/>
    <x:row r="1516" ht="18" customHeight="1"/>
    <x:row r="1517" ht="18" customHeight="1"/>
    <x:row r="1518" ht="18" customHeight="1"/>
    <x:row r="1519" ht="18" customHeight="1"/>
    <x:row r="1520" ht="18" customHeight="1"/>
    <x:row r="1521" ht="18" customHeight="1"/>
    <x:row r="1522" ht="18" customHeight="1"/>
    <x:row r="1523" ht="18" customHeight="1"/>
    <x:row r="1524" ht="18" customHeight="1"/>
    <x:row r="1525" ht="18" customHeight="1"/>
    <x:row r="1526" ht="18" customHeight="1"/>
    <x:row r="1527" ht="18" customHeight="1"/>
    <x:row r="1528" ht="18" customHeight="1"/>
    <x:row r="1529" ht="18" customHeight="1"/>
    <x:row r="1530" ht="18" customHeight="1"/>
    <x:row r="1531" ht="18" customHeight="1"/>
    <x:row r="1532" ht="18" customHeight="1"/>
    <x:row r="1533" ht="18" customHeight="1"/>
    <x:row r="1534" ht="18" customHeight="1"/>
    <x:row r="1535" ht="18" customHeight="1"/>
    <x:row r="1536" ht="18" customHeight="1"/>
    <x:row r="1537" ht="18" customHeight="1"/>
    <x:row r="1538" ht="18" customHeight="1"/>
    <x:row r="1539" ht="18" customHeight="1"/>
    <x:row r="1540" ht="18" customHeight="1"/>
    <x:row r="1541" ht="18" customHeight="1"/>
    <x:row r="1542" ht="18" customHeight="1"/>
    <x:row r="1543" ht="18" customHeight="1"/>
    <x:row r="1544" ht="18" customHeight="1"/>
    <x:row r="1545" ht="18" customHeight="1"/>
    <x:row r="1546" ht="18" customHeight="1"/>
    <x:row r="1547" ht="18" customHeight="1"/>
    <x:row r="1548" ht="18" customHeight="1"/>
    <x:row r="1549" ht="18" customHeight="1"/>
    <x:row r="1550" ht="18" customHeight="1"/>
    <x:row r="1551" ht="18" customHeight="1"/>
    <x:row r="1552" ht="18" customHeight="1"/>
    <x:row r="1553" ht="18" customHeight="1"/>
    <x:row r="1554" ht="18" customHeight="1"/>
    <x:row r="1555" ht="18" customHeight="1"/>
    <x:row r="1556" ht="18" customHeight="1"/>
    <x:row r="1557" ht="18" customHeight="1"/>
    <x:row r="1558" ht="18" customHeight="1"/>
    <x:row r="1559" ht="18" customHeight="1"/>
    <x:row r="1560" ht="18" customHeight="1"/>
    <x:row r="1561" ht="18" customHeight="1"/>
    <x:row r="1562" ht="18" customHeight="1"/>
    <x:row r="1563" ht="18" customHeight="1"/>
    <x:row r="1564" ht="18" customHeight="1"/>
    <x:row r="1565" ht="18" customHeight="1"/>
    <x:row r="1566" ht="18" customHeight="1"/>
    <x:row r="1567" ht="18" customHeight="1"/>
    <x:row r="1568" ht="18" customHeight="1"/>
    <x:row r="1569" ht="18" customHeight="1"/>
    <x:row r="1570" ht="18" customHeight="1"/>
    <x:row r="1571" ht="18" customHeight="1"/>
    <x:row r="1572" ht="18" customHeight="1"/>
    <x:row r="1573" ht="18" customHeight="1"/>
    <x:row r="1574" ht="18" customHeight="1"/>
    <x:row r="1575" ht="18" customHeight="1"/>
    <x:row r="1576" ht="18" customHeight="1"/>
    <x:row r="1577" ht="18" customHeight="1"/>
    <x:row r="1578" ht="18" customHeight="1"/>
    <x:row r="1579" ht="18" customHeight="1"/>
    <x:row r="1580" ht="18" customHeight="1"/>
    <x:row r="1581" ht="18" customHeight="1"/>
    <x:row r="1582" ht="18" customHeight="1"/>
    <x:row r="1583" ht="18" customHeight="1"/>
    <x:row r="1584" ht="18" customHeight="1"/>
    <x:row r="1585" ht="18" customHeight="1"/>
    <x:row r="1586" ht="18" customHeight="1"/>
    <x:row r="1587" ht="18" customHeight="1"/>
    <x:row r="1588" ht="18" customHeight="1"/>
    <x:row r="1589" ht="18" customHeight="1"/>
    <x:row r="1590" ht="18" customHeight="1"/>
    <x:row r="1591" ht="18" customHeight="1"/>
    <x:row r="1592" ht="18" customHeight="1"/>
    <x:row r="1593" ht="18" customHeight="1"/>
    <x:row r="1594" ht="18" customHeight="1"/>
    <x:row r="1595" ht="18" customHeight="1"/>
    <x:row r="1596" ht="18" customHeight="1"/>
    <x:row r="1597" ht="18" customHeight="1"/>
    <x:row r="1598" ht="18" customHeight="1"/>
    <x:row r="1599" ht="18" customHeight="1"/>
    <x:row r="1600" ht="18" customHeight="1"/>
    <x:row r="1601" ht="18" customHeight="1"/>
    <x:row r="1602" ht="18" customHeight="1"/>
    <x:row r="1603" ht="18" customHeight="1"/>
    <x:row r="1604" ht="18" customHeight="1"/>
    <x:row r="1605" ht="18" customHeight="1"/>
    <x:row r="1606" ht="18" customHeight="1"/>
    <x:row r="1607" ht="18" customHeight="1"/>
    <x:row r="1608" ht="18" customHeight="1"/>
    <x:row r="1609" ht="18" customHeight="1"/>
    <x:row r="1610" ht="18" customHeight="1"/>
    <x:row r="1611" ht="18" customHeight="1"/>
    <x:row r="1612" ht="18" customHeight="1"/>
    <x:row r="1613" ht="18" customHeight="1"/>
    <x:row r="1614" ht="18" customHeight="1"/>
    <x:row r="1615" ht="18" customHeight="1"/>
    <x:row r="1616" ht="18" customHeight="1"/>
    <x:row r="1617" ht="18" customHeight="1"/>
    <x:row r="1618" ht="18" customHeight="1"/>
    <x:row r="1619" ht="18" customHeight="1"/>
    <x:row r="1620" ht="18" customHeight="1"/>
    <x:row r="1621" ht="18" customHeight="1"/>
    <x:row r="1622" ht="18" customHeight="1"/>
    <x:row r="1623" ht="18" customHeight="1"/>
    <x:row r="1624" ht="18" customHeight="1"/>
    <x:row r="1625" ht="18" customHeight="1"/>
    <x:row r="1626" ht="18" customHeight="1"/>
    <x:row r="1627" ht="18" customHeight="1"/>
    <x:row r="1628" ht="18" customHeight="1"/>
    <x:row r="1629" ht="18" customHeight="1"/>
    <x:row r="1630" ht="18" customHeight="1"/>
    <x:row r="1631" ht="18" customHeight="1"/>
    <x:row r="1632" ht="18" customHeight="1"/>
    <x:row r="1633" ht="18" customHeight="1"/>
    <x:row r="1634" ht="18" customHeight="1"/>
    <x:row r="1635" ht="18" customHeight="1"/>
    <x:row r="1636" ht="18" customHeight="1"/>
    <x:row r="1637" ht="18" customHeight="1"/>
    <x:row r="1638" ht="18" customHeight="1"/>
    <x:row r="1639" ht="18" customHeight="1"/>
    <x:row r="1640" ht="18" customHeight="1"/>
    <x:row r="1641" ht="18" customHeight="1"/>
    <x:row r="1642" ht="18" customHeight="1"/>
    <x:row r="1643" ht="18" customHeight="1"/>
    <x:row r="1644" ht="18" customHeight="1"/>
    <x:row r="1645" ht="18" customHeight="1"/>
    <x:row r="1646" ht="18" customHeight="1"/>
    <x:row r="1647" ht="18" customHeight="1"/>
    <x:row r="1648" ht="18" customHeight="1"/>
    <x:row r="1649" ht="18" customHeight="1"/>
    <x:row r="1650" ht="18" customHeight="1"/>
    <x:row r="1651" ht="18" customHeight="1"/>
    <x:row r="1652" ht="18" customHeight="1"/>
    <x:row r="1653" ht="18" customHeight="1"/>
    <x:row r="1654" ht="18" customHeight="1"/>
    <x:row r="1655" ht="18" customHeight="1"/>
    <x:row r="1656" ht="18" customHeight="1"/>
    <x:row r="1657" ht="18" customHeight="1"/>
    <x:row r="1658" ht="18" customHeight="1"/>
    <x:row r="1659" ht="18" customHeight="1"/>
    <x:row r="1660" ht="18" customHeight="1"/>
    <x:row r="1661" ht="18" customHeight="1"/>
    <x:row r="1662" ht="18" customHeight="1"/>
    <x:row r="1663" ht="18" customHeight="1"/>
    <x:row r="1664" ht="18" customHeight="1"/>
    <x:row r="1665" ht="18" customHeight="1"/>
    <x:row r="1666" ht="18" customHeight="1"/>
    <x:row r="1667" ht="18" customHeight="1"/>
    <x:row r="1668" ht="18" customHeight="1"/>
    <x:row r="1669" ht="18" customHeight="1"/>
    <x:row r="1670" ht="18" customHeight="1"/>
    <x:row r="1671" ht="18" customHeight="1"/>
    <x:row r="1672" ht="18" customHeight="1"/>
    <x:row r="1673" ht="18" customHeight="1"/>
    <x:row r="1674" ht="18" customHeight="1"/>
    <x:row r="1675" ht="18" customHeight="1"/>
    <x:row r="1676" ht="18" customHeight="1"/>
    <x:row r="1677" ht="18" customHeight="1"/>
    <x:row r="1678" ht="18" customHeight="1"/>
    <x:row r="1679" ht="18" customHeight="1"/>
    <x:row r="1680" ht="18" customHeight="1"/>
    <x:row r="1681" ht="18" customHeight="1"/>
    <x:row r="1682" ht="18" customHeight="1"/>
    <x:row r="1683" ht="18" customHeight="1"/>
    <x:row r="1684" ht="18" customHeight="1"/>
    <x:row r="1685" ht="18" customHeight="1"/>
    <x:row r="1686" ht="18" customHeight="1"/>
    <x:row r="1687" ht="18" customHeight="1"/>
    <x:row r="1688" ht="18" customHeight="1"/>
    <x:row r="1689" ht="18" customHeight="1"/>
    <x:row r="1690" ht="18" customHeight="1"/>
    <x:row r="1691" ht="18" customHeight="1"/>
    <x:row r="1692" ht="18" customHeight="1"/>
    <x:row r="1693" ht="18" customHeight="1"/>
    <x:row r="1694" ht="18" customHeight="1"/>
    <x:row r="1695" ht="18" customHeight="1"/>
    <x:row r="1696" ht="18" customHeight="1"/>
    <x:row r="1697" ht="18" customHeight="1"/>
    <x:row r="1698" ht="18" customHeight="1"/>
    <x:row r="1699" ht="18" customHeight="1"/>
    <x:row r="1700" ht="18" customHeight="1"/>
    <x:row r="1701" ht="18" customHeight="1"/>
    <x:row r="1702" ht="18" customHeight="1"/>
    <x:row r="1703" ht="18" customHeight="1"/>
    <x:row r="1704" ht="18" customHeight="1"/>
    <x:row r="1705" ht="18" customHeight="1"/>
    <x:row r="1706" ht="18" customHeight="1"/>
    <x:row r="1707" ht="18" customHeight="1"/>
    <x:row r="1708" ht="18" customHeight="1"/>
    <x:row r="1709" ht="18" customHeight="1"/>
    <x:row r="1710" ht="18" customHeight="1"/>
    <x:row r="1711" ht="18" customHeight="1"/>
    <x:row r="1712" ht="18" customHeight="1"/>
    <x:row r="1713" ht="18" customHeight="1"/>
    <x:row r="1714" ht="18" customHeight="1"/>
    <x:row r="1715" ht="18" customHeight="1"/>
    <x:row r="1716" ht="18" customHeight="1"/>
    <x:row r="1717" ht="18" customHeight="1"/>
    <x:row r="1718" ht="18" customHeight="1"/>
    <x:row r="1719" ht="18" customHeight="1"/>
    <x:row r="1720" ht="18" customHeight="1"/>
    <x:row r="1721" ht="18" customHeight="1"/>
    <x:row r="1722" ht="18" customHeight="1"/>
    <x:row r="1723" ht="18" customHeight="1"/>
    <x:row r="1724" ht="18" customHeight="1"/>
    <x:row r="1725" ht="18" customHeight="1"/>
    <x:row r="1726" ht="18" customHeight="1"/>
    <x:row r="1727" ht="18" customHeight="1"/>
    <x:row r="1728" ht="18" customHeight="1"/>
    <x:row r="1729" ht="18" customHeight="1"/>
    <x:row r="1730" ht="18" customHeight="1"/>
    <x:row r="1731" ht="18" customHeight="1"/>
    <x:row r="1732" ht="18" customHeight="1"/>
    <x:row r="1733" ht="18" customHeight="1"/>
    <x:row r="1734" ht="18" customHeight="1"/>
    <x:row r="1735" ht="18" customHeight="1"/>
    <x:row r="1736" ht="18" customHeight="1"/>
    <x:row r="1737" ht="18" customHeight="1"/>
    <x:row r="1738" ht="18" customHeight="1"/>
    <x:row r="1739" ht="18" customHeight="1"/>
    <x:row r="1740" ht="18" customHeight="1"/>
    <x:row r="1741" ht="18" customHeight="1"/>
    <x:row r="1742" ht="18" customHeight="1"/>
    <x:row r="1743" ht="18" customHeight="1"/>
    <x:row r="1744" ht="18" customHeight="1"/>
    <x:row r="1745" ht="18" customHeight="1"/>
    <x:row r="1746" ht="18" customHeight="1"/>
    <x:row r="1747" ht="18" customHeight="1"/>
    <x:row r="1748" ht="18" customHeight="1"/>
    <x:row r="1749" ht="18" customHeight="1"/>
    <x:row r="1750" ht="18" customHeight="1"/>
    <x:row r="1751" ht="18" customHeight="1"/>
    <x:row r="1752" ht="18" customHeight="1"/>
    <x:row r="1753" ht="18" customHeight="1"/>
    <x:row r="1754" ht="18" customHeight="1"/>
    <x:row r="1755" ht="18" customHeight="1"/>
    <x:row r="1756" ht="18" customHeight="1"/>
    <x:row r="1757" ht="18" customHeight="1"/>
    <x:row r="1758" ht="18" customHeight="1"/>
    <x:row r="1759" ht="18" customHeight="1"/>
    <x:row r="1760" ht="18" customHeight="1"/>
    <x:row r="1761" ht="18" customHeight="1"/>
    <x:row r="1762" ht="18" customHeight="1"/>
    <x:row r="1763" ht="18" customHeight="1"/>
    <x:row r="1764" ht="18" customHeight="1"/>
    <x:row r="1765" ht="18" customHeight="1"/>
    <x:row r="1766" ht="18" customHeight="1"/>
    <x:row r="1767" ht="18" customHeight="1"/>
    <x:row r="1768" ht="18" customHeight="1"/>
    <x:row r="1769" ht="18" customHeight="1"/>
    <x:row r="1770" ht="18" customHeight="1"/>
    <x:row r="1771" ht="18" customHeight="1"/>
    <x:row r="1772" ht="18" customHeight="1"/>
    <x:row r="1773" ht="18" customHeight="1"/>
    <x:row r="1774" ht="18" customHeight="1"/>
    <x:row r="1775" ht="18" customHeight="1"/>
    <x:row r="1776" ht="18" customHeight="1"/>
    <x:row r="1777" ht="18" customHeight="1"/>
    <x:row r="1778" ht="18" customHeight="1"/>
    <x:row r="1779" ht="18" customHeight="1"/>
    <x:row r="1780" ht="18" customHeight="1"/>
    <x:row r="1781" ht="18" customHeight="1"/>
    <x:row r="1782" ht="18" customHeight="1"/>
    <x:row r="1783" ht="18" customHeight="1"/>
    <x:row r="1784" ht="18" customHeight="1"/>
    <x:row r="1785" ht="18" customHeight="1"/>
    <x:row r="1786" ht="18" customHeight="1"/>
    <x:row r="1787" ht="18" customHeight="1"/>
    <x:row r="1788" ht="18" customHeight="1"/>
    <x:row r="1789" ht="18" customHeight="1"/>
    <x:row r="1790" ht="18" customHeight="1"/>
    <x:row r="1791" ht="18" customHeight="1"/>
    <x:row r="1792" ht="18" customHeight="1"/>
    <x:row r="1793" ht="18" customHeight="1"/>
    <x:row r="1794" ht="18" customHeight="1"/>
    <x:row r="1795" ht="18" customHeight="1"/>
    <x:row r="1796" ht="18" customHeight="1"/>
    <x:row r="1797" ht="18" customHeight="1"/>
    <x:row r="1798" ht="18" customHeight="1"/>
    <x:row r="1799" ht="18" customHeight="1"/>
    <x:row r="1800" ht="18" customHeight="1"/>
    <x:row r="1801" ht="18" customHeight="1"/>
    <x:row r="1802" ht="18" customHeight="1"/>
    <x:row r="1803" ht="18" customHeight="1"/>
    <x:row r="1804" ht="18" customHeight="1"/>
    <x:row r="1805" ht="18" customHeight="1"/>
    <x:row r="1806" ht="18" customHeight="1"/>
    <x:row r="1807" ht="18" customHeight="1"/>
    <x:row r="1808" ht="18" customHeight="1"/>
    <x:row r="1809" ht="18" customHeight="1"/>
    <x:row r="1810" ht="18" customHeight="1"/>
    <x:row r="1811" ht="18" customHeight="1"/>
    <x:row r="1812" ht="18" customHeight="1"/>
    <x:row r="1813" ht="18" customHeight="1"/>
    <x:row r="1814" ht="18" customHeight="1"/>
    <x:row r="1815" ht="18" customHeight="1"/>
    <x:row r="1816" ht="18" customHeight="1"/>
    <x:row r="1817" ht="18" customHeight="1"/>
    <x:row r="1818" ht="18" customHeight="1"/>
    <x:row r="1819" ht="18" customHeight="1"/>
    <x:row r="1820" ht="18" customHeight="1"/>
    <x:row r="1821" ht="18" customHeight="1"/>
    <x:row r="1822" ht="18" customHeight="1"/>
    <x:row r="1823" ht="18" customHeight="1"/>
    <x:row r="1824" ht="18" customHeight="1"/>
    <x:row r="1825" ht="18" customHeight="1"/>
    <x:row r="1826" ht="18" customHeight="1"/>
    <x:row r="1827" ht="18" customHeight="1"/>
    <x:row r="1828" ht="18" customHeight="1"/>
    <x:row r="1829" ht="18" customHeight="1"/>
    <x:row r="1830" ht="18" customHeight="1"/>
    <x:row r="1831" ht="18" customHeight="1"/>
    <x:row r="1832" ht="18" customHeight="1"/>
    <x:row r="1833" ht="18" customHeight="1"/>
    <x:row r="1834" ht="18" customHeight="1"/>
    <x:row r="1835" ht="18" customHeight="1"/>
    <x:row r="1836" ht="18" customHeight="1"/>
    <x:row r="1837" ht="18" customHeight="1"/>
    <x:row r="1838" ht="18" customHeight="1"/>
    <x:row r="1839" ht="18" customHeight="1"/>
    <x:row r="1840" ht="18" customHeight="1"/>
    <x:row r="1841" ht="18" customHeight="1"/>
    <x:row r="1842" ht="18" customHeight="1"/>
    <x:row r="1843" ht="18" customHeight="1"/>
    <x:row r="1844" ht="18" customHeight="1"/>
    <x:row r="1845" ht="18" customHeight="1"/>
    <x:row r="1846" ht="18" customHeight="1"/>
    <x:row r="1847" ht="18" customHeight="1"/>
    <x:row r="1848" ht="18" customHeight="1"/>
    <x:row r="1849" ht="18" customHeight="1"/>
    <x:row r="1850" ht="18" customHeight="1"/>
    <x:row r="1851" ht="18" customHeight="1"/>
    <x:row r="1852" ht="18" customHeight="1"/>
    <x:row r="1853" ht="18" customHeight="1"/>
    <x:row r="1854" ht="18" customHeight="1"/>
    <x:row r="1855" ht="18" customHeight="1"/>
    <x:row r="1856" ht="18" customHeight="1"/>
    <x:row r="1857" ht="18" customHeight="1"/>
    <x:row r="1858" ht="18" customHeight="1"/>
    <x:row r="1859" ht="18" customHeight="1"/>
    <x:row r="1860" ht="18" customHeight="1"/>
    <x:row r="1861" ht="18" customHeight="1"/>
    <x:row r="1862" ht="18" customHeight="1"/>
    <x:row r="1863" ht="18" customHeight="1"/>
    <x:row r="1864" ht="18" customHeight="1"/>
    <x:row r="1865" ht="18" customHeight="1"/>
    <x:row r="1866" ht="18" customHeight="1"/>
    <x:row r="1867" ht="18" customHeight="1"/>
    <x:row r="1868" ht="18" customHeight="1"/>
    <x:row r="1869" ht="18" customHeight="1"/>
    <x:row r="1870" ht="18" customHeight="1"/>
    <x:row r="1871" ht="18" customHeight="1"/>
    <x:row r="1872" ht="18" customHeight="1"/>
    <x:row r="1873" ht="18" customHeight="1"/>
    <x:row r="1874" ht="18" customHeight="1"/>
    <x:row r="1875" ht="18" customHeight="1"/>
    <x:row r="1876" ht="18" customHeight="1"/>
    <x:row r="1877" ht="18" customHeight="1"/>
    <x:row r="1878" ht="18" customHeight="1"/>
    <x:row r="1879" ht="18" customHeight="1"/>
    <x:row r="1880" ht="18" customHeight="1"/>
    <x:row r="1881" ht="18" customHeight="1"/>
    <x:row r="1882" ht="18" customHeight="1"/>
    <x:row r="1883" ht="18" customHeight="1"/>
    <x:row r="1884" ht="18" customHeight="1"/>
    <x:row r="1885" ht="18" customHeight="1"/>
    <x:row r="1886" ht="18" customHeight="1"/>
    <x:row r="1887" ht="18" customHeight="1"/>
    <x:row r="1888" ht="18" customHeight="1"/>
    <x:row r="1889" ht="18" customHeight="1"/>
    <x:row r="1890" ht="18" customHeight="1"/>
    <x:row r="1891" ht="18" customHeight="1"/>
    <x:row r="1892" ht="18" customHeight="1"/>
    <x:row r="1893" ht="18" customHeight="1"/>
    <x:row r="1894" ht="18" customHeight="1"/>
    <x:row r="1895" ht="18" customHeight="1"/>
    <x:row r="1896" ht="18" customHeight="1"/>
    <x:row r="1897" ht="18" customHeight="1"/>
    <x:row r="1898" ht="18" customHeight="1"/>
    <x:row r="1899" ht="18" customHeight="1"/>
    <x:row r="1900" ht="18" customHeight="1"/>
    <x:row r="1901" ht="18" customHeight="1"/>
    <x:row r="1902" ht="18" customHeight="1"/>
    <x:row r="1903" ht="18" customHeight="1"/>
    <x:row r="1904" ht="18" customHeight="1"/>
    <x:row r="1905" ht="18" customHeight="1"/>
    <x:row r="1906" ht="18" customHeight="1"/>
    <x:row r="1907" ht="18" customHeight="1"/>
    <x:row r="1908" ht="18" customHeight="1"/>
    <x:row r="1909" ht="18" customHeight="1"/>
    <x:row r="1910" ht="18" customHeight="1"/>
    <x:row r="1911" ht="18" customHeight="1"/>
    <x:row r="1912" ht="18" customHeight="1"/>
    <x:row r="1913" ht="18" customHeight="1"/>
    <x:row r="1914" ht="18" customHeight="1"/>
    <x:row r="1915" ht="18" customHeight="1"/>
    <x:row r="1916" ht="18" customHeight="1"/>
    <x:row r="1917" ht="18" customHeight="1"/>
    <x:row r="1918" ht="18" customHeight="1"/>
    <x:row r="1919" ht="18" customHeight="1"/>
    <x:row r="1920" ht="18" customHeight="1"/>
    <x:row r="1921" ht="18" customHeight="1"/>
    <x:row r="1922" ht="18" customHeight="1"/>
    <x:row r="1923" ht="18" customHeight="1"/>
    <x:row r="1924" ht="18" customHeight="1"/>
    <x:row r="1925" ht="18" customHeight="1"/>
    <x:row r="1926" ht="18" customHeight="1"/>
    <x:row r="1927" ht="18" customHeight="1"/>
    <x:row r="1928" ht="18" customHeight="1"/>
    <x:row r="1929" ht="18" customHeight="1"/>
    <x:row r="1930" ht="18" customHeight="1"/>
    <x:row r="1931" ht="18" customHeight="1"/>
    <x:row r="1932" ht="18" customHeight="1"/>
    <x:row r="1933" ht="18" customHeight="1"/>
    <x:row r="1934" ht="18" customHeight="1"/>
    <x:row r="1935" ht="18" customHeight="1"/>
    <x:row r="1936" ht="18" customHeight="1"/>
    <x:row r="1937" ht="18" customHeight="1"/>
    <x:row r="1938" ht="18" customHeight="1"/>
    <x:row r="1939" ht="18" customHeight="1"/>
    <x:row r="1940" ht="18" customHeight="1"/>
    <x:row r="1941" ht="18" customHeight="1"/>
    <x:row r="1942" ht="18" customHeight="1"/>
    <x:row r="1943" ht="18" customHeight="1"/>
    <x:row r="1944" ht="18" customHeight="1"/>
    <x:row r="1945" ht="18" customHeight="1"/>
    <x:row r="1946" ht="18" customHeight="1"/>
    <x:row r="1947" ht="18" customHeight="1"/>
    <x:row r="1948" ht="18" customHeight="1"/>
    <x:row r="1949" ht="18" customHeight="1"/>
    <x:row r="1950" ht="18" customHeight="1"/>
    <x:row r="1951" ht="18" customHeight="1"/>
    <x:row r="1952" ht="18" customHeight="1"/>
    <x:row r="1953" ht="18" customHeight="1"/>
    <x:row r="1954" ht="18" customHeight="1"/>
    <x:row r="1955" ht="18" customHeight="1"/>
    <x:row r="1956" ht="18" customHeight="1"/>
    <x:row r="1957" ht="18" customHeight="1"/>
    <x:row r="1958" ht="18" customHeight="1"/>
    <x:row r="1959" ht="18" customHeight="1"/>
    <x:row r="1960" ht="18" customHeight="1"/>
    <x:row r="1961" ht="18" customHeight="1"/>
    <x:row r="1962" ht="18" customHeight="1"/>
    <x:row r="1963" ht="18" customHeight="1"/>
    <x:row r="1964" ht="18" customHeight="1"/>
    <x:row r="1965" ht="18" customHeight="1"/>
    <x:row r="1966" ht="18" customHeight="1"/>
    <x:row r="1967" ht="18" customHeight="1"/>
    <x:row r="1968" ht="18" customHeight="1"/>
    <x:row r="1969" ht="18" customHeight="1"/>
    <x:row r="1970" ht="18" customHeight="1"/>
    <x:row r="1971" ht="18" customHeight="1"/>
    <x:row r="1972" ht="18" customHeight="1"/>
    <x:row r="1973" ht="18" customHeight="1"/>
    <x:row r="1974" ht="18" customHeight="1"/>
    <x:row r="1975" ht="18" customHeight="1"/>
    <x:row r="1976" ht="18" customHeight="1"/>
    <x:row r="1977" ht="18" customHeight="1"/>
    <x:row r="1978" ht="18" customHeight="1"/>
    <x:row r="1979" ht="18" customHeight="1"/>
    <x:row r="1980" ht="18" customHeight="1"/>
    <x:row r="1981" ht="18" customHeight="1"/>
    <x:row r="1982" ht="18" customHeight="1"/>
    <x:row r="1983" ht="18" customHeight="1"/>
    <x:row r="1984" ht="18" customHeight="1"/>
    <x:row r="1985" ht="18" customHeight="1"/>
    <x:row r="1986" ht="18" customHeight="1"/>
    <x:row r="1987" ht="18" customHeight="1"/>
    <x:row r="1988" ht="18" customHeight="1"/>
    <x:row r="1989" ht="18" customHeight="1"/>
    <x:row r="1990" ht="18" customHeight="1"/>
    <x:row r="1991" ht="18" customHeight="1"/>
    <x:row r="1992" ht="18" customHeight="1"/>
    <x:row r="1993" ht="18" customHeight="1"/>
    <x:row r="1994" ht="18" customHeight="1"/>
    <x:row r="1995" ht="18" customHeight="1"/>
    <x:row r="1996" ht="18" customHeight="1"/>
    <x:row r="1997" ht="18" customHeight="1"/>
    <x:row r="1998" ht="18" customHeight="1"/>
    <x:row r="1999" ht="18" customHeight="1"/>
    <x:row r="2000" ht="18" customHeight="1"/>
  </x:sheetData>
  <x:mergeCells>
    <x:mergeCell ref="A8:E8"/>
  </x:mergeCells>
  <x:pageMargins left="0.7" right="0.7" top="0.75" bottom="0.75" header="0.3" footer="0.3"/>
  <x:tableParts count="1">
    <x:tablePart xmlns:r="http://schemas.openxmlformats.org/officeDocument/2006/relationships" r:id="Reb3b88400df547f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90" hidden="0" customWidth="1"/>
  </x:cols>
  <x:sheetData>
    <x:row r="1" ht="18" customHeight="1">
      <x:c r="A1" s="62" t="str">
        <x:v>Step</x:v>
      </x:c>
      <x:c r="B1" s="62" t="str">
        <x:v>Calculation</x:v>
      </x:c>
      <x:c r="C1" s="57"/>
      <x:c r="D1" s="57"/>
      <x:c r="E1" s="57"/>
      <x:c r="F1" s="57"/>
      <x:c r="G1" s="57"/>
      <x:c r="H1" s="57"/>
      <x:c r="I1" s="57"/>
      <x:c r="J1" s="57"/>
      <x:c r="K1" s="57"/>
      <x:c r="L1" s="57"/>
      <x:c r="M1" s="57"/>
      <x:c r="N1" s="57"/>
      <x:c r="O1" s="57"/>
      <x:c r="P1" s="57"/>
      <x:c r="Q1" s="57"/>
      <x:c r="R1" s="57"/>
      <x:c r="S1" s="57"/>
      <x:c r="T1" s="57"/>
      <x:c r="U1" s="57"/>
      <x:c r="V1" s="57"/>
      <x:c r="W1" s="57"/>
      <x:c r="X1" s="57"/>
      <x:c r="Y1" s="57"/>
      <x:c r="Z1" s="57"/>
    </x:row>
    <x:row r="2" ht="18" customHeight="1">
      <x:c r="A2" s="53" t="str">
        <x:v>1. Normalize instance names</x:v>
      </x:c>
      <x:c r="B2" s="53" t="str">
        <x:v>Use the file name only, strip spaces, lowercase, and remove the .txt extension so that instance names can be matched across files.</x:v>
      </x:c>
    </x:row>
    <x:row r="3" ht="18" customHeight="1">
      <x:c r="A3" s="53" t="str">
        <x:v>2. Select method cost column</x:v>
      </x:c>
      <x:c r="B3" s="53" t="str">
        <x:v>IG: IG Best Result; FFD: Final Cost; BFD: Final Cost; WFD: Final Cost; CTP: Best_objective.</x:v>
      </x:c>
    </x:row>
    <x:row r="4" ht="18" customHeight="1">
      <x:c r="A4" s="53" t="str">
        <x:v>3. Best result per instance</x:v>
      </x:c>
      <x:c r="B4" s="53" t="str">
        <x:v>Best Result = MIN(IG cost, FFD cost, BFD cost, WFD cost, CTP best objective). Lower cost is better.</x:v>
      </x:c>
    </x:row>
    <x:row r="5" ht="18" customHeight="1">
      <x:c r="A5" s="53" t="str">
        <x:v>4. Gap for each method</x:v>
      </x:c>
      <x:c r="B5" s="53" t="str">
        <x:v>Gap % = (Method Cost - Best Result) / Best Result. A value of 0 means the method is equal to the best result for that instance.</x:v>
      </x:c>
    </x:row>
    <x:row r="6" ht="18" customHeight="1">
      <x:c r="A6" s="53" t="str">
        <x:v>5. Best-count rule with ties</x:v>
      </x:c>
      <x:c r="B6" s="53" t="str">
        <x:v>For every instance, each method whose cost equals the best result receives 1 best-count credit. Therefore, if two methods tie, both are counted.</x:v>
      </x:c>
    </x:row>
    <x:row r="7" ht="18" customHeight="1">
      <x:c r="A7" s="53" t="str">
        <x:v>6. Average gap</x:v>
      </x:c>
      <x:c r="B7" s="53" t="str">
        <x:v>Average Gap to Best = AVERAGE of the method's instance-level gaps over all 480 matched instances.</x:v>
      </x:c>
    </x:row>
    <x:row r="8" ht="18" customHeight="1">
      <x:c r="A8" s="53" t="str">
        <x:v>7. Strictly best count</x:v>
      </x:c>
      <x:c r="B8" s="53" t="str">
        <x:v>Strictly Best Count = number of instances where the method is the only method achieving the best result, with no tie.</x:v>
      </x:c>
    </x:row>
    <x:row r="9" ht="18" customHeight="1"/>
    <x:row r="10" ht="18" customHeight="1"/>
    <x:row r="11" ht="18" customHeight="1"/>
    <x:row r="12" ht="18" customHeight="1"/>
    <x:row r="13" ht="18" customHeight="1"/>
    <x:row r="14" ht="18" customHeight="1"/>
    <x:row r="15" ht="18" customHeight="1"/>
    <x:row r="16" ht="18" customHeight="1"/>
    <x:row r="17" ht="18" customHeight="1"/>
    <x:row r="18" ht="18" customHeight="1"/>
    <x:row r="19" ht="18" customHeight="1"/>
    <x:row r="20" ht="18" customHeight="1"/>
    <x:row r="21" ht="18" customHeight="1"/>
    <x:row r="22" ht="18" customHeight="1"/>
    <x:row r="23" ht="18" customHeight="1"/>
    <x:row r="24" ht="18" customHeight="1"/>
    <x:row r="25" ht="18" customHeight="1"/>
    <x:row r="26" ht="18" customHeight="1"/>
    <x:row r="27" ht="18" customHeight="1"/>
    <x:row r="28" ht="18" customHeight="1"/>
    <x:row r="29" ht="18" customHeight="1"/>
    <x:row r="30" ht="18" customHeight="1"/>
    <x:row r="31" ht="18" customHeight="1"/>
    <x:row r="32" ht="18" customHeight="1"/>
    <x:row r="33" ht="18" customHeight="1"/>
    <x:row r="34" ht="18" customHeight="1"/>
    <x:row r="35" ht="18" customHeight="1"/>
    <x:row r="36" ht="18" customHeight="1"/>
    <x:row r="37" ht="18" customHeight="1"/>
    <x:row r="38" ht="18" customHeight="1"/>
    <x:row r="39" ht="18" customHeight="1"/>
    <x:row r="40" ht="18" customHeight="1"/>
    <x:row r="41" ht="18" customHeight="1"/>
    <x:row r="42" ht="18" customHeight="1"/>
    <x:row r="43" ht="18" customHeight="1"/>
    <x:row r="44" ht="18" customHeight="1"/>
    <x:row r="45" ht="18" customHeight="1"/>
    <x:row r="46" ht="18" customHeight="1"/>
    <x:row r="47" ht="18" customHeight="1"/>
    <x:row r="48" ht="18" customHeight="1"/>
    <x:row r="49" ht="18" customHeight="1"/>
    <x:row r="50" ht="18" customHeight="1"/>
    <x:row r="51" ht="18" customHeight="1"/>
    <x:row r="52" ht="18" customHeight="1"/>
    <x:row r="53" ht="18" customHeight="1"/>
    <x:row r="54" ht="18" customHeight="1"/>
    <x:row r="55" ht="18" customHeight="1"/>
    <x:row r="56" ht="18" customHeight="1"/>
    <x:row r="57" ht="18" customHeight="1"/>
    <x:row r="58" ht="18" customHeight="1"/>
    <x:row r="59" ht="18" customHeight="1"/>
    <x:row r="60" ht="18" customHeight="1"/>
    <x:row r="61" ht="18" customHeight="1"/>
    <x:row r="62" ht="18" customHeight="1"/>
    <x:row r="63" ht="18" customHeight="1"/>
    <x:row r="64" ht="18" customHeight="1"/>
    <x:row r="65" ht="18" customHeight="1"/>
    <x:row r="66" ht="18" customHeight="1"/>
    <x:row r="67" ht="18" customHeight="1"/>
    <x:row r="68" ht="18" customHeight="1"/>
    <x:row r="69" ht="18" customHeight="1"/>
    <x:row r="70" ht="18" customHeight="1"/>
    <x:row r="71" ht="18" customHeight="1"/>
    <x:row r="72" ht="18" customHeight="1"/>
    <x:row r="73" ht="18" customHeight="1"/>
    <x:row r="74" ht="18" customHeight="1"/>
    <x:row r="75" ht="18" customHeight="1"/>
    <x:row r="76" ht="18" customHeight="1"/>
    <x:row r="77" ht="18" customHeight="1"/>
    <x:row r="78" ht="18" customHeight="1"/>
    <x:row r="79" ht="18" customHeight="1"/>
    <x:row r="80" ht="18" customHeight="1"/>
    <x:row r="81" ht="18" customHeight="1"/>
    <x:row r="82" ht="18" customHeight="1"/>
    <x:row r="83" ht="18" customHeight="1"/>
    <x:row r="84" ht="18" customHeight="1"/>
    <x:row r="85" ht="18" customHeight="1"/>
    <x:row r="86" ht="18" customHeight="1"/>
    <x:row r="87" ht="18" customHeight="1"/>
    <x:row r="88" ht="18" customHeight="1"/>
    <x:row r="89" ht="18" customHeight="1"/>
    <x:row r="90" ht="18" customHeight="1"/>
    <x:row r="91" ht="18" customHeight="1"/>
    <x:row r="92" ht="18" customHeight="1"/>
    <x:row r="93" ht="18" customHeight="1"/>
    <x:row r="94" ht="18" customHeight="1"/>
    <x:row r="95" ht="18" customHeight="1"/>
    <x:row r="96" ht="18" customHeight="1"/>
    <x:row r="97" ht="18" customHeight="1"/>
    <x:row r="98" ht="18" customHeight="1"/>
    <x:row r="99" ht="18" customHeight="1"/>
    <x:row r="100" ht="18" customHeight="1"/>
    <x:row r="101" ht="18" customHeight="1"/>
    <x:row r="102" ht="18" customHeight="1"/>
    <x:row r="103" ht="18" customHeight="1"/>
    <x:row r="104" ht="18" customHeight="1"/>
    <x:row r="105" ht="18" customHeight="1"/>
    <x:row r="106" ht="18" customHeight="1"/>
    <x:row r="107" ht="18" customHeight="1"/>
    <x:row r="108" ht="18" customHeight="1"/>
    <x:row r="109" ht="18" customHeight="1"/>
    <x:row r="110" ht="18" customHeight="1"/>
    <x:row r="111" ht="18" customHeight="1"/>
    <x:row r="112" ht="18" customHeight="1"/>
    <x:row r="113" ht="18" customHeight="1"/>
    <x:row r="114" ht="18" customHeight="1"/>
    <x:row r="115" ht="18" customHeight="1"/>
    <x:row r="116" ht="18" customHeight="1"/>
    <x:row r="117" ht="18" customHeight="1"/>
    <x:row r="118" ht="18" customHeight="1"/>
    <x:row r="119" ht="18" customHeight="1"/>
    <x:row r="120" ht="18" customHeight="1"/>
    <x:row r="121" ht="18" customHeight="1"/>
    <x:row r="122" ht="18" customHeight="1"/>
    <x:row r="123" ht="18" customHeight="1"/>
    <x:row r="124" ht="18" customHeight="1"/>
    <x:row r="125" ht="18" customHeight="1"/>
    <x:row r="126" ht="18" customHeight="1"/>
    <x:row r="127" ht="18" customHeight="1"/>
    <x:row r="128" ht="18" customHeight="1"/>
    <x:row r="129" ht="18" customHeight="1"/>
    <x:row r="130" ht="18" customHeight="1"/>
    <x:row r="131" ht="18" customHeight="1"/>
    <x:row r="132" ht="18" customHeight="1"/>
    <x:row r="133" ht="18" customHeight="1"/>
    <x:row r="134" ht="18" customHeight="1"/>
    <x:row r="135" ht="18" customHeight="1"/>
    <x:row r="136" ht="18" customHeight="1"/>
    <x:row r="137" ht="18" customHeight="1"/>
    <x:row r="138" ht="18" customHeight="1"/>
    <x:row r="139" ht="18" customHeight="1"/>
    <x:row r="140" ht="18" customHeight="1"/>
    <x:row r="141" ht="18" customHeight="1"/>
    <x:row r="142" ht="18" customHeight="1"/>
    <x:row r="143" ht="18" customHeight="1"/>
    <x:row r="144" ht="18" customHeight="1"/>
    <x:row r="145" ht="18" customHeight="1"/>
    <x:row r="146" ht="18" customHeight="1"/>
    <x:row r="147" ht="18" customHeight="1"/>
    <x:row r="148" ht="18" customHeight="1"/>
    <x:row r="149" ht="18" customHeight="1"/>
    <x:row r="150" ht="18" customHeight="1"/>
    <x:row r="151" ht="18" customHeight="1"/>
    <x:row r="152" ht="18" customHeight="1"/>
    <x:row r="153" ht="18" customHeight="1"/>
    <x:row r="154" ht="18" customHeight="1"/>
    <x:row r="155" ht="18" customHeight="1"/>
    <x:row r="156" ht="18" customHeight="1"/>
    <x:row r="157" ht="18" customHeight="1"/>
    <x:row r="158" ht="18" customHeight="1"/>
    <x:row r="159" ht="18" customHeight="1"/>
    <x:row r="160" ht="18" customHeight="1"/>
    <x:row r="161" ht="18" customHeight="1"/>
    <x:row r="162" ht="18" customHeight="1"/>
    <x:row r="163" ht="18" customHeight="1"/>
    <x:row r="164" ht="18" customHeight="1"/>
    <x:row r="165" ht="18" customHeight="1"/>
    <x:row r="166" ht="18" customHeight="1"/>
    <x:row r="167" ht="18" customHeight="1"/>
    <x:row r="168" ht="18" customHeight="1"/>
    <x:row r="169" ht="18" customHeight="1"/>
    <x:row r="170" ht="18" customHeight="1"/>
    <x:row r="171" ht="18" customHeight="1"/>
    <x:row r="172" ht="18" customHeight="1"/>
    <x:row r="173" ht="18" customHeight="1"/>
    <x:row r="174" ht="18" customHeight="1"/>
    <x:row r="175" ht="18" customHeight="1"/>
    <x:row r="176" ht="18" customHeight="1"/>
    <x:row r="177" ht="18" customHeight="1"/>
    <x:row r="178" ht="18" customHeight="1"/>
    <x:row r="179" ht="18" customHeight="1"/>
    <x:row r="180" ht="18" customHeight="1"/>
    <x:row r="181" ht="18" customHeight="1"/>
    <x:row r="182" ht="18" customHeight="1"/>
    <x:row r="183" ht="18" customHeight="1"/>
    <x:row r="184" ht="18" customHeight="1"/>
    <x:row r="185" ht="18" customHeight="1"/>
    <x:row r="186" ht="18" customHeight="1"/>
    <x:row r="187" ht="18" customHeight="1"/>
    <x:row r="188" ht="18" customHeight="1"/>
    <x:row r="189" ht="18" customHeight="1"/>
    <x:row r="190" ht="18" customHeight="1"/>
    <x:row r="191" ht="18" customHeight="1"/>
    <x:row r="192" ht="18" customHeight="1"/>
    <x:row r="193" ht="18" customHeight="1"/>
    <x:row r="194" ht="18" customHeight="1"/>
    <x:row r="195" ht="18" customHeight="1"/>
    <x:row r="196" ht="18" customHeight="1"/>
    <x:row r="197" ht="18" customHeight="1"/>
    <x:row r="198" ht="18" customHeight="1"/>
    <x:row r="199" ht="18" customHeight="1"/>
    <x:row r="200" ht="18" customHeight="1"/>
    <x:row r="201" ht="18" customHeight="1"/>
    <x:row r="202" ht="18" customHeight="1"/>
    <x:row r="203" ht="18" customHeight="1"/>
    <x:row r="204" ht="18" customHeight="1"/>
    <x:row r="205" ht="18" customHeight="1"/>
    <x:row r="206" ht="18" customHeight="1"/>
    <x:row r="207" ht="18" customHeight="1"/>
    <x:row r="208" ht="18" customHeight="1"/>
    <x:row r="209" ht="18" customHeight="1"/>
    <x:row r="210" ht="18" customHeight="1"/>
    <x:row r="211" ht="18" customHeight="1"/>
    <x:row r="212" ht="18" customHeight="1"/>
    <x:row r="213" ht="18" customHeight="1"/>
    <x:row r="214" ht="18" customHeight="1"/>
    <x:row r="215" ht="18" customHeight="1"/>
    <x:row r="216" ht="18" customHeight="1"/>
    <x:row r="217" ht="18" customHeight="1"/>
    <x:row r="218" ht="18" customHeight="1"/>
    <x:row r="219" ht="18" customHeight="1"/>
    <x:row r="220" ht="18" customHeight="1"/>
    <x:row r="221" ht="18" customHeight="1"/>
    <x:row r="222" ht="18" customHeight="1"/>
    <x:row r="223" ht="18" customHeight="1"/>
    <x:row r="224" ht="18" customHeight="1"/>
    <x:row r="225" ht="18" customHeight="1"/>
    <x:row r="226" ht="18" customHeight="1"/>
    <x:row r="227" ht="18" customHeight="1"/>
    <x:row r="228" ht="18" customHeight="1"/>
    <x:row r="229" ht="18" customHeight="1"/>
    <x:row r="230" ht="18" customHeight="1"/>
    <x:row r="231" ht="18" customHeight="1"/>
    <x:row r="232" ht="18" customHeight="1"/>
    <x:row r="233" ht="18" customHeight="1"/>
    <x:row r="234" ht="18" customHeight="1"/>
    <x:row r="235" ht="18" customHeight="1"/>
    <x:row r="236" ht="18" customHeight="1"/>
    <x:row r="237" ht="18" customHeight="1"/>
    <x:row r="238" ht="18" customHeight="1"/>
    <x:row r="239" ht="18" customHeight="1"/>
    <x:row r="240" ht="18" customHeight="1"/>
    <x:row r="241" ht="18" customHeight="1"/>
    <x:row r="242" ht="18" customHeight="1"/>
    <x:row r="243" ht="18" customHeight="1"/>
    <x:row r="244" ht="18" customHeight="1"/>
    <x:row r="245" ht="18" customHeight="1"/>
    <x:row r="246" ht="18" customHeight="1"/>
    <x:row r="247" ht="18" customHeight="1"/>
    <x:row r="248" ht="18" customHeight="1"/>
    <x:row r="249" ht="18" customHeight="1"/>
    <x:row r="250" ht="18" customHeight="1"/>
    <x:row r="251" ht="18" customHeight="1"/>
    <x:row r="252" ht="18" customHeight="1"/>
    <x:row r="253" ht="18" customHeight="1"/>
    <x:row r="254" ht="18" customHeight="1"/>
    <x:row r="255" ht="18" customHeight="1"/>
    <x:row r="256" ht="18" customHeight="1"/>
    <x:row r="257" ht="18" customHeight="1"/>
    <x:row r="258" ht="18" customHeight="1"/>
    <x:row r="259" ht="18" customHeight="1"/>
    <x:row r="260" ht="18" customHeight="1"/>
    <x:row r="261" ht="18" customHeight="1"/>
    <x:row r="262" ht="18" customHeight="1"/>
    <x:row r="263" ht="18" customHeight="1"/>
    <x:row r="264" ht="18" customHeight="1"/>
    <x:row r="265" ht="18" customHeight="1"/>
    <x:row r="266" ht="18" customHeight="1"/>
    <x:row r="267" ht="18" customHeight="1"/>
    <x:row r="268" ht="18" customHeight="1"/>
    <x:row r="269" ht="18" customHeight="1"/>
    <x:row r="270" ht="18" customHeight="1"/>
    <x:row r="271" ht="18" customHeight="1"/>
    <x:row r="272" ht="18" customHeight="1"/>
    <x:row r="273" ht="18" customHeight="1"/>
    <x:row r="274" ht="18" customHeight="1"/>
    <x:row r="275" ht="18" customHeight="1"/>
    <x:row r="276" ht="18" customHeight="1"/>
    <x:row r="277" ht="18" customHeight="1"/>
    <x:row r="278" ht="18" customHeight="1"/>
    <x:row r="279" ht="18" customHeight="1"/>
    <x:row r="280" ht="18" customHeight="1"/>
    <x:row r="281" ht="18" customHeight="1"/>
    <x:row r="282" ht="18" customHeight="1"/>
    <x:row r="283" ht="18" customHeight="1"/>
    <x:row r="284" ht="18" customHeight="1"/>
    <x:row r="285" ht="18" customHeight="1"/>
    <x:row r="286" ht="18" customHeight="1"/>
    <x:row r="287" ht="18" customHeight="1"/>
    <x:row r="288" ht="18" customHeight="1"/>
    <x:row r="289" ht="18" customHeight="1"/>
    <x:row r="290" ht="18" customHeight="1"/>
    <x:row r="291" ht="18" customHeight="1"/>
    <x:row r="292" ht="18" customHeight="1"/>
    <x:row r="293" ht="18" customHeight="1"/>
    <x:row r="294" ht="18" customHeight="1"/>
    <x:row r="295" ht="18" customHeight="1"/>
    <x:row r="296" ht="18" customHeight="1"/>
    <x:row r="297" ht="18" customHeight="1"/>
    <x:row r="298" ht="18" customHeight="1"/>
    <x:row r="299" ht="18" customHeight="1"/>
    <x:row r="300" ht="18" customHeight="1"/>
    <x:row r="301" ht="18" customHeight="1"/>
    <x:row r="302" ht="18" customHeight="1"/>
    <x:row r="303" ht="18" customHeight="1"/>
    <x:row r="304" ht="18" customHeight="1"/>
    <x:row r="305" ht="18" customHeight="1"/>
    <x:row r="306" ht="18" customHeight="1"/>
    <x:row r="307" ht="18" customHeight="1"/>
    <x:row r="308" ht="18" customHeight="1"/>
    <x:row r="309" ht="18" customHeight="1"/>
    <x:row r="310" ht="18" customHeight="1"/>
    <x:row r="311" ht="18" customHeight="1"/>
    <x:row r="312" ht="18" customHeight="1"/>
    <x:row r="313" ht="18" customHeight="1"/>
    <x:row r="314" ht="18" customHeight="1"/>
    <x:row r="315" ht="18" customHeight="1"/>
    <x:row r="316" ht="18" customHeight="1"/>
    <x:row r="317" ht="18" customHeight="1"/>
    <x:row r="318" ht="18" customHeight="1"/>
    <x:row r="319" ht="18" customHeight="1"/>
    <x:row r="320" ht="18" customHeight="1"/>
    <x:row r="321" ht="18" customHeight="1"/>
    <x:row r="322" ht="18" customHeight="1"/>
    <x:row r="323" ht="18" customHeight="1"/>
    <x:row r="324" ht="18" customHeight="1"/>
    <x:row r="325" ht="18" customHeight="1"/>
    <x:row r="326" ht="18" customHeight="1"/>
    <x:row r="327" ht="18" customHeight="1"/>
    <x:row r="328" ht="18" customHeight="1"/>
    <x:row r="329" ht="18" customHeight="1"/>
    <x:row r="330" ht="18" customHeight="1"/>
    <x:row r="331" ht="18" customHeight="1"/>
    <x:row r="332" ht="18" customHeight="1"/>
    <x:row r="333" ht="18" customHeight="1"/>
    <x:row r="334" ht="18" customHeight="1"/>
    <x:row r="335" ht="18" customHeight="1"/>
    <x:row r="336" ht="18" customHeight="1"/>
    <x:row r="337" ht="18" customHeight="1"/>
    <x:row r="338" ht="18" customHeight="1"/>
    <x:row r="339" ht="18" customHeight="1"/>
    <x:row r="340" ht="18" customHeight="1"/>
    <x:row r="341" ht="18" customHeight="1"/>
    <x:row r="342" ht="18" customHeight="1"/>
    <x:row r="343" ht="18" customHeight="1"/>
    <x:row r="344" ht="18" customHeight="1"/>
    <x:row r="345" ht="18" customHeight="1"/>
    <x:row r="346" ht="18" customHeight="1"/>
    <x:row r="347" ht="18" customHeight="1"/>
    <x:row r="348" ht="18" customHeight="1"/>
    <x:row r="349" ht="18" customHeight="1"/>
    <x:row r="350" ht="18" customHeight="1"/>
    <x:row r="351" ht="18" customHeight="1"/>
    <x:row r="352" ht="18" customHeight="1"/>
    <x:row r="353" ht="18" customHeight="1"/>
    <x:row r="354" ht="18" customHeight="1"/>
    <x:row r="355" ht="18" customHeight="1"/>
    <x:row r="356" ht="18" customHeight="1"/>
    <x:row r="357" ht="18" customHeight="1"/>
    <x:row r="358" ht="18" customHeight="1"/>
    <x:row r="359" ht="18" customHeight="1"/>
    <x:row r="360" ht="18" customHeight="1"/>
    <x:row r="361" ht="18" customHeight="1"/>
    <x:row r="362" ht="18" customHeight="1"/>
    <x:row r="363" ht="18" customHeight="1"/>
    <x:row r="364" ht="18" customHeight="1"/>
    <x:row r="365" ht="18" customHeight="1"/>
    <x:row r="366" ht="18" customHeight="1"/>
    <x:row r="367" ht="18" customHeight="1"/>
    <x:row r="368" ht="18" customHeight="1"/>
    <x:row r="369" ht="18" customHeight="1"/>
    <x:row r="370" ht="18" customHeight="1"/>
    <x:row r="371" ht="18" customHeight="1"/>
    <x:row r="372" ht="18" customHeight="1"/>
    <x:row r="373" ht="18" customHeight="1"/>
    <x:row r="374" ht="18" customHeight="1"/>
    <x:row r="375" ht="18" customHeight="1"/>
    <x:row r="376" ht="18" customHeight="1"/>
    <x:row r="377" ht="18" customHeight="1"/>
    <x:row r="378" ht="18" customHeight="1"/>
    <x:row r="379" ht="18" customHeight="1"/>
    <x:row r="380" ht="18" customHeight="1"/>
    <x:row r="381" ht="18" customHeight="1"/>
    <x:row r="382" ht="18" customHeight="1"/>
    <x:row r="383" ht="18" customHeight="1"/>
    <x:row r="384" ht="18" customHeight="1"/>
    <x:row r="385" ht="18" customHeight="1"/>
    <x:row r="386" ht="18" customHeight="1"/>
    <x:row r="387" ht="18" customHeight="1"/>
    <x:row r="388" ht="18" customHeight="1"/>
    <x:row r="389" ht="18" customHeight="1"/>
    <x:row r="390" ht="18" customHeight="1"/>
    <x:row r="391" ht="18" customHeight="1"/>
    <x:row r="392" ht="18" customHeight="1"/>
    <x:row r="393" ht="18" customHeight="1"/>
    <x:row r="394" ht="18" customHeight="1"/>
    <x:row r="395" ht="18" customHeight="1"/>
    <x:row r="396" ht="18" customHeight="1"/>
    <x:row r="397" ht="18" customHeight="1"/>
    <x:row r="398" ht="18" customHeight="1"/>
    <x:row r="399" ht="18" customHeight="1"/>
    <x:row r="400" ht="18" customHeight="1"/>
    <x:row r="401" ht="18" customHeight="1"/>
    <x:row r="402" ht="18" customHeight="1"/>
    <x:row r="403" ht="18" customHeight="1"/>
    <x:row r="404" ht="18" customHeight="1"/>
    <x:row r="405" ht="18" customHeight="1"/>
    <x:row r="406" ht="18" customHeight="1"/>
    <x:row r="407" ht="18" customHeight="1"/>
    <x:row r="408" ht="18" customHeight="1"/>
    <x:row r="409" ht="18" customHeight="1"/>
    <x:row r="410" ht="18" customHeight="1"/>
    <x:row r="411" ht="18" customHeight="1"/>
    <x:row r="412" ht="18" customHeight="1"/>
    <x:row r="413" ht="18" customHeight="1"/>
    <x:row r="414" ht="18" customHeight="1"/>
    <x:row r="415" ht="18" customHeight="1"/>
    <x:row r="416" ht="18" customHeight="1"/>
    <x:row r="417" ht="18" customHeight="1"/>
    <x:row r="418" ht="18" customHeight="1"/>
    <x:row r="419" ht="18" customHeight="1"/>
    <x:row r="420" ht="18" customHeight="1"/>
    <x:row r="421" ht="18" customHeight="1"/>
    <x:row r="422" ht="18" customHeight="1"/>
    <x:row r="423" ht="18" customHeight="1"/>
    <x:row r="424" ht="18" customHeight="1"/>
    <x:row r="425" ht="18" customHeight="1"/>
    <x:row r="426" ht="18" customHeight="1"/>
    <x:row r="427" ht="18" customHeight="1"/>
    <x:row r="428" ht="18" customHeight="1"/>
    <x:row r="429" ht="18" customHeight="1"/>
    <x:row r="430" ht="18" customHeight="1"/>
    <x:row r="431" ht="18" customHeight="1"/>
    <x:row r="432" ht="18" customHeight="1"/>
    <x:row r="433" ht="18" customHeight="1"/>
    <x:row r="434" ht="18" customHeight="1"/>
    <x:row r="435" ht="18" customHeight="1"/>
    <x:row r="436" ht="18" customHeight="1"/>
    <x:row r="437" ht="18" customHeight="1"/>
    <x:row r="438" ht="18" customHeight="1"/>
    <x:row r="439" ht="18" customHeight="1"/>
    <x:row r="440" ht="18" customHeight="1"/>
    <x:row r="441" ht="18" customHeight="1"/>
    <x:row r="442" ht="18" customHeight="1"/>
    <x:row r="443" ht="18" customHeight="1"/>
    <x:row r="444" ht="18" customHeight="1"/>
    <x:row r="445" ht="18" customHeight="1"/>
    <x:row r="446" ht="18" customHeight="1"/>
    <x:row r="447" ht="18" customHeight="1"/>
    <x:row r="448" ht="18" customHeight="1"/>
    <x:row r="449" ht="18" customHeight="1"/>
    <x:row r="450" ht="18" customHeight="1"/>
    <x:row r="451" ht="18" customHeight="1"/>
    <x:row r="452" ht="18" customHeight="1"/>
    <x:row r="453" ht="18" customHeight="1"/>
    <x:row r="454" ht="18" customHeight="1"/>
    <x:row r="455" ht="18" customHeight="1"/>
    <x:row r="456" ht="18" customHeight="1"/>
    <x:row r="457" ht="18" customHeight="1"/>
    <x:row r="458" ht="18" customHeight="1"/>
    <x:row r="459" ht="18" customHeight="1"/>
    <x:row r="460" ht="18" customHeight="1"/>
    <x:row r="461" ht="18" customHeight="1"/>
    <x:row r="462" ht="18" customHeight="1"/>
    <x:row r="463" ht="18" customHeight="1"/>
    <x:row r="464" ht="18" customHeight="1"/>
    <x:row r="465" ht="18" customHeight="1"/>
    <x:row r="466" ht="18" customHeight="1"/>
    <x:row r="467" ht="18" customHeight="1"/>
    <x:row r="468" ht="18" customHeight="1"/>
    <x:row r="469" ht="18" customHeight="1"/>
    <x:row r="470" ht="18" customHeight="1"/>
    <x:row r="471" ht="18" customHeight="1"/>
    <x:row r="472" ht="18" customHeight="1"/>
    <x:row r="473" ht="18" customHeight="1"/>
    <x:row r="474" ht="18" customHeight="1"/>
    <x:row r="475" ht="18" customHeight="1"/>
    <x:row r="476" ht="18" customHeight="1"/>
    <x:row r="477" ht="18" customHeight="1"/>
    <x:row r="478" ht="18" customHeight="1"/>
    <x:row r="479" ht="18" customHeight="1"/>
    <x:row r="480" ht="18" customHeight="1"/>
    <x:row r="481" ht="18" customHeight="1"/>
    <x:row r="482" ht="18" customHeight="1"/>
    <x:row r="483" ht="18" customHeight="1"/>
    <x:row r="484" ht="18" customHeight="1"/>
    <x:row r="485" ht="18" customHeight="1"/>
    <x:row r="486" ht="18" customHeight="1"/>
    <x:row r="487" ht="18" customHeight="1"/>
    <x:row r="488" ht="18" customHeight="1"/>
    <x:row r="489" ht="18" customHeight="1"/>
    <x:row r="490" ht="18" customHeight="1"/>
    <x:row r="491" ht="18" customHeight="1"/>
    <x:row r="492" ht="18" customHeight="1"/>
    <x:row r="493" ht="18" customHeight="1"/>
    <x:row r="494" ht="18" customHeight="1"/>
    <x:row r="495" ht="18" customHeight="1"/>
    <x:row r="496" ht="18" customHeight="1"/>
    <x:row r="497" ht="18" customHeight="1"/>
    <x:row r="498" ht="18" customHeight="1"/>
    <x:row r="499" ht="18" customHeight="1"/>
    <x:row r="500" ht="18" customHeight="1"/>
    <x:row r="501" ht="18" customHeight="1"/>
    <x:row r="502" ht="18" customHeight="1"/>
    <x:row r="503" ht="18" customHeight="1"/>
    <x:row r="504" ht="18" customHeight="1"/>
    <x:row r="505" ht="18" customHeight="1"/>
    <x:row r="506" ht="18" customHeight="1"/>
    <x:row r="507" ht="18" customHeight="1"/>
    <x:row r="508" ht="18" customHeight="1"/>
    <x:row r="509" ht="18" customHeight="1"/>
    <x:row r="510" ht="18" customHeight="1"/>
    <x:row r="511" ht="18" customHeight="1"/>
    <x:row r="512" ht="18" customHeight="1"/>
    <x:row r="513" ht="18" customHeight="1"/>
    <x:row r="514" ht="18" customHeight="1"/>
    <x:row r="515" ht="18" customHeight="1"/>
    <x:row r="516" ht="18" customHeight="1"/>
    <x:row r="517" ht="18" customHeight="1"/>
    <x:row r="518" ht="18" customHeight="1"/>
    <x:row r="519" ht="18" customHeight="1"/>
    <x:row r="520" ht="18" customHeight="1"/>
    <x:row r="521" ht="18" customHeight="1"/>
    <x:row r="522" ht="18" customHeight="1"/>
    <x:row r="523" ht="18" customHeight="1"/>
    <x:row r="524" ht="18" customHeight="1"/>
    <x:row r="525" ht="18" customHeight="1"/>
    <x:row r="526" ht="18" customHeight="1"/>
    <x:row r="527" ht="18" customHeight="1"/>
    <x:row r="528" ht="18" customHeight="1"/>
    <x:row r="529" ht="18" customHeight="1"/>
    <x:row r="530" ht="18" customHeight="1"/>
    <x:row r="531" ht="18" customHeight="1"/>
    <x:row r="532" ht="18" customHeight="1"/>
    <x:row r="533" ht="18" customHeight="1"/>
    <x:row r="534" ht="18" customHeight="1"/>
    <x:row r="535" ht="18" customHeight="1"/>
    <x:row r="536" ht="18" customHeight="1"/>
    <x:row r="537" ht="18" customHeight="1"/>
    <x:row r="538" ht="18" customHeight="1"/>
    <x:row r="539" ht="18" customHeight="1"/>
    <x:row r="540" ht="18" customHeight="1"/>
    <x:row r="541" ht="18" customHeight="1"/>
    <x:row r="542" ht="18" customHeight="1"/>
    <x:row r="543" ht="18" customHeight="1"/>
    <x:row r="544" ht="18" customHeight="1"/>
    <x:row r="545" ht="18" customHeight="1"/>
    <x:row r="546" ht="18" customHeight="1"/>
    <x:row r="547" ht="18" customHeight="1"/>
    <x:row r="548" ht="18" customHeight="1"/>
    <x:row r="549" ht="18" customHeight="1"/>
    <x:row r="550" ht="18" customHeight="1"/>
    <x:row r="551" ht="18" customHeight="1"/>
    <x:row r="552" ht="18" customHeight="1"/>
    <x:row r="553" ht="18" customHeight="1"/>
    <x:row r="554" ht="18" customHeight="1"/>
    <x:row r="555" ht="18" customHeight="1"/>
    <x:row r="556" ht="18" customHeight="1"/>
    <x:row r="557" ht="18" customHeight="1"/>
    <x:row r="558" ht="18" customHeight="1"/>
    <x:row r="559" ht="18" customHeight="1"/>
    <x:row r="560" ht="18" customHeight="1"/>
    <x:row r="561" ht="18" customHeight="1"/>
    <x:row r="562" ht="18" customHeight="1"/>
    <x:row r="563" ht="18" customHeight="1"/>
    <x:row r="564" ht="18" customHeight="1"/>
    <x:row r="565" ht="18" customHeight="1"/>
    <x:row r="566" ht="18" customHeight="1"/>
    <x:row r="567" ht="18" customHeight="1"/>
    <x:row r="568" ht="18" customHeight="1"/>
    <x:row r="569" ht="18" customHeight="1"/>
    <x:row r="570" ht="18" customHeight="1"/>
    <x:row r="571" ht="18" customHeight="1"/>
    <x:row r="572" ht="18" customHeight="1"/>
    <x:row r="573" ht="18" customHeight="1"/>
    <x:row r="574" ht="18" customHeight="1"/>
    <x:row r="575" ht="18" customHeight="1"/>
    <x:row r="576" ht="18" customHeight="1"/>
    <x:row r="577" ht="18" customHeight="1"/>
    <x:row r="578" ht="18" customHeight="1"/>
    <x:row r="579" ht="18" customHeight="1"/>
    <x:row r="580" ht="18" customHeight="1"/>
    <x:row r="581" ht="18" customHeight="1"/>
    <x:row r="582" ht="18" customHeight="1"/>
    <x:row r="583" ht="18" customHeight="1"/>
    <x:row r="584" ht="18" customHeight="1"/>
    <x:row r="585" ht="18" customHeight="1"/>
    <x:row r="586" ht="18" customHeight="1"/>
    <x:row r="587" ht="18" customHeight="1"/>
    <x:row r="588" ht="18" customHeight="1"/>
    <x:row r="589" ht="18" customHeight="1"/>
    <x:row r="590" ht="18" customHeight="1"/>
    <x:row r="591" ht="18" customHeight="1"/>
    <x:row r="592" ht="18" customHeight="1"/>
    <x:row r="593" ht="18" customHeight="1"/>
    <x:row r="594" ht="18" customHeight="1"/>
    <x:row r="595" ht="18" customHeight="1"/>
    <x:row r="596" ht="18" customHeight="1"/>
    <x:row r="597" ht="18" customHeight="1"/>
    <x:row r="598" ht="18" customHeight="1"/>
    <x:row r="599" ht="18" customHeight="1"/>
    <x:row r="600" ht="18" customHeight="1"/>
    <x:row r="601" ht="18" customHeight="1"/>
    <x:row r="602" ht="18" customHeight="1"/>
    <x:row r="603" ht="18" customHeight="1"/>
    <x:row r="604" ht="18" customHeight="1"/>
    <x:row r="605" ht="18" customHeight="1"/>
    <x:row r="606" ht="18" customHeight="1"/>
    <x:row r="607" ht="18" customHeight="1"/>
    <x:row r="608" ht="18" customHeight="1"/>
    <x:row r="609" ht="18" customHeight="1"/>
    <x:row r="610" ht="18" customHeight="1"/>
    <x:row r="611" ht="18" customHeight="1"/>
    <x:row r="612" ht="18" customHeight="1"/>
    <x:row r="613" ht="18" customHeight="1"/>
    <x:row r="614" ht="18" customHeight="1"/>
    <x:row r="615" ht="18" customHeight="1"/>
    <x:row r="616" ht="18" customHeight="1"/>
    <x:row r="617" ht="18" customHeight="1"/>
    <x:row r="618" ht="18" customHeight="1"/>
    <x:row r="619" ht="18" customHeight="1"/>
    <x:row r="620" ht="18" customHeight="1"/>
    <x:row r="621" ht="18" customHeight="1"/>
    <x:row r="622" ht="18" customHeight="1"/>
    <x:row r="623" ht="18" customHeight="1"/>
    <x:row r="624" ht="18" customHeight="1"/>
    <x:row r="625" ht="18" customHeight="1"/>
    <x:row r="626" ht="18" customHeight="1"/>
    <x:row r="627" ht="18" customHeight="1"/>
    <x:row r="628" ht="18" customHeight="1"/>
    <x:row r="629" ht="18" customHeight="1"/>
    <x:row r="630" ht="18" customHeight="1"/>
    <x:row r="631" ht="18" customHeight="1"/>
    <x:row r="632" ht="18" customHeight="1"/>
    <x:row r="633" ht="18" customHeight="1"/>
    <x:row r="634" ht="18" customHeight="1"/>
    <x:row r="635" ht="18" customHeight="1"/>
    <x:row r="636" ht="18" customHeight="1"/>
    <x:row r="637" ht="18" customHeight="1"/>
    <x:row r="638" ht="18" customHeight="1"/>
    <x:row r="639" ht="18" customHeight="1"/>
    <x:row r="640" ht="18" customHeight="1"/>
    <x:row r="641" ht="18" customHeight="1"/>
    <x:row r="642" ht="18" customHeight="1"/>
    <x:row r="643" ht="18" customHeight="1"/>
    <x:row r="644" ht="18" customHeight="1"/>
    <x:row r="645" ht="18" customHeight="1"/>
    <x:row r="646" ht="18" customHeight="1"/>
    <x:row r="647" ht="18" customHeight="1"/>
    <x:row r="648" ht="18" customHeight="1"/>
    <x:row r="649" ht="18" customHeight="1"/>
    <x:row r="650" ht="18" customHeight="1"/>
    <x:row r="651" ht="18" customHeight="1"/>
    <x:row r="652" ht="18" customHeight="1"/>
    <x:row r="653" ht="18" customHeight="1"/>
    <x:row r="654" ht="18" customHeight="1"/>
    <x:row r="655" ht="18" customHeight="1"/>
    <x:row r="656" ht="18" customHeight="1"/>
    <x:row r="657" ht="18" customHeight="1"/>
    <x:row r="658" ht="18" customHeight="1"/>
    <x:row r="659" ht="18" customHeight="1"/>
    <x:row r="660" ht="18" customHeight="1"/>
    <x:row r="661" ht="18" customHeight="1"/>
    <x:row r="662" ht="18" customHeight="1"/>
    <x:row r="663" ht="18" customHeight="1"/>
    <x:row r="664" ht="18" customHeight="1"/>
    <x:row r="665" ht="18" customHeight="1"/>
    <x:row r="666" ht="18" customHeight="1"/>
    <x:row r="667" ht="18" customHeight="1"/>
    <x:row r="668" ht="18" customHeight="1"/>
    <x:row r="669" ht="18" customHeight="1"/>
    <x:row r="670" ht="18" customHeight="1"/>
    <x:row r="671" ht="18" customHeight="1"/>
    <x:row r="672" ht="18" customHeight="1"/>
    <x:row r="673" ht="18" customHeight="1"/>
    <x:row r="674" ht="18" customHeight="1"/>
    <x:row r="675" ht="18" customHeight="1"/>
    <x:row r="676" ht="18" customHeight="1"/>
    <x:row r="677" ht="18" customHeight="1"/>
    <x:row r="678" ht="18" customHeight="1"/>
    <x:row r="679" ht="18" customHeight="1"/>
    <x:row r="680" ht="18" customHeight="1"/>
    <x:row r="681" ht="18" customHeight="1"/>
    <x:row r="682" ht="18" customHeight="1"/>
    <x:row r="683" ht="18" customHeight="1"/>
    <x:row r="684" ht="18" customHeight="1"/>
    <x:row r="685" ht="18" customHeight="1"/>
    <x:row r="686" ht="18" customHeight="1"/>
    <x:row r="687" ht="18" customHeight="1"/>
    <x:row r="688" ht="18" customHeight="1"/>
    <x:row r="689" ht="18" customHeight="1"/>
    <x:row r="690" ht="18" customHeight="1"/>
    <x:row r="691" ht="18" customHeight="1"/>
    <x:row r="692" ht="18" customHeight="1"/>
    <x:row r="693" ht="18" customHeight="1"/>
    <x:row r="694" ht="18" customHeight="1"/>
    <x:row r="695" ht="18" customHeight="1"/>
    <x:row r="696" ht="18" customHeight="1"/>
    <x:row r="697" ht="18" customHeight="1"/>
    <x:row r="698" ht="18" customHeight="1"/>
    <x:row r="699" ht="18" customHeight="1"/>
    <x:row r="700" ht="18" customHeight="1"/>
    <x:row r="701" ht="18" customHeight="1"/>
    <x:row r="702" ht="18" customHeight="1"/>
    <x:row r="703" ht="18" customHeight="1"/>
    <x:row r="704" ht="18" customHeight="1"/>
    <x:row r="705" ht="18" customHeight="1"/>
    <x:row r="706" ht="18" customHeight="1"/>
    <x:row r="707" ht="18" customHeight="1"/>
    <x:row r="708" ht="18" customHeight="1"/>
    <x:row r="709" ht="18" customHeight="1"/>
    <x:row r="710" ht="18" customHeight="1"/>
    <x:row r="711" ht="18" customHeight="1"/>
    <x:row r="712" ht="18" customHeight="1"/>
    <x:row r="713" ht="18" customHeight="1"/>
    <x:row r="714" ht="18" customHeight="1"/>
    <x:row r="715" ht="18" customHeight="1"/>
    <x:row r="716" ht="18" customHeight="1"/>
    <x:row r="717" ht="18" customHeight="1"/>
    <x:row r="718" ht="18" customHeight="1"/>
    <x:row r="719" ht="18" customHeight="1"/>
    <x:row r="720" ht="18" customHeight="1"/>
    <x:row r="721" ht="18" customHeight="1"/>
    <x:row r="722" ht="18" customHeight="1"/>
    <x:row r="723" ht="18" customHeight="1"/>
    <x:row r="724" ht="18" customHeight="1"/>
    <x:row r="725" ht="18" customHeight="1"/>
    <x:row r="726" ht="18" customHeight="1"/>
    <x:row r="727" ht="18" customHeight="1"/>
    <x:row r="728" ht="18" customHeight="1"/>
    <x:row r="729" ht="18" customHeight="1"/>
    <x:row r="730" ht="18" customHeight="1"/>
    <x:row r="731" ht="18" customHeight="1"/>
    <x:row r="732" ht="18" customHeight="1"/>
    <x:row r="733" ht="18" customHeight="1"/>
    <x:row r="734" ht="18" customHeight="1"/>
    <x:row r="735" ht="18" customHeight="1"/>
    <x:row r="736" ht="18" customHeight="1"/>
    <x:row r="737" ht="18" customHeight="1"/>
    <x:row r="738" ht="18" customHeight="1"/>
    <x:row r="739" ht="18" customHeight="1"/>
    <x:row r="740" ht="18" customHeight="1"/>
    <x:row r="741" ht="18" customHeight="1"/>
    <x:row r="742" ht="18" customHeight="1"/>
    <x:row r="743" ht="18" customHeight="1"/>
    <x:row r="744" ht="18" customHeight="1"/>
    <x:row r="745" ht="18" customHeight="1"/>
    <x:row r="746" ht="18" customHeight="1"/>
    <x:row r="747" ht="18" customHeight="1"/>
    <x:row r="748" ht="18" customHeight="1"/>
    <x:row r="749" ht="18" customHeight="1"/>
    <x:row r="750" ht="18" customHeight="1"/>
    <x:row r="751" ht="18" customHeight="1"/>
    <x:row r="752" ht="18" customHeight="1"/>
    <x:row r="753" ht="18" customHeight="1"/>
    <x:row r="754" ht="18" customHeight="1"/>
    <x:row r="755" ht="18" customHeight="1"/>
    <x:row r="756" ht="18" customHeight="1"/>
    <x:row r="757" ht="18" customHeight="1"/>
    <x:row r="758" ht="18" customHeight="1"/>
    <x:row r="759" ht="18" customHeight="1"/>
    <x:row r="760" ht="18" customHeight="1"/>
    <x:row r="761" ht="18" customHeight="1"/>
    <x:row r="762" ht="18" customHeight="1"/>
    <x:row r="763" ht="18" customHeight="1"/>
    <x:row r="764" ht="18" customHeight="1"/>
    <x:row r="765" ht="18" customHeight="1"/>
    <x:row r="766" ht="18" customHeight="1"/>
    <x:row r="767" ht="18" customHeight="1"/>
    <x:row r="768" ht="18" customHeight="1"/>
    <x:row r="769" ht="18" customHeight="1"/>
    <x:row r="770" ht="18" customHeight="1"/>
    <x:row r="771" ht="18" customHeight="1"/>
    <x:row r="772" ht="18" customHeight="1"/>
    <x:row r="773" ht="18" customHeight="1"/>
    <x:row r="774" ht="18" customHeight="1"/>
    <x:row r="775" ht="18" customHeight="1"/>
    <x:row r="776" ht="18" customHeight="1"/>
    <x:row r="777" ht="18" customHeight="1"/>
    <x:row r="778" ht="18" customHeight="1"/>
    <x:row r="779" ht="18" customHeight="1"/>
    <x:row r="780" ht="18" customHeight="1"/>
    <x:row r="781" ht="18" customHeight="1"/>
    <x:row r="782" ht="18" customHeight="1"/>
    <x:row r="783" ht="18" customHeight="1"/>
    <x:row r="784" ht="18" customHeight="1"/>
    <x:row r="785" ht="18" customHeight="1"/>
    <x:row r="786" ht="18" customHeight="1"/>
    <x:row r="787" ht="18" customHeight="1"/>
    <x:row r="788" ht="18" customHeight="1"/>
    <x:row r="789" ht="18" customHeight="1"/>
    <x:row r="790" ht="18" customHeight="1"/>
    <x:row r="791" ht="18" customHeight="1"/>
    <x:row r="792" ht="18" customHeight="1"/>
    <x:row r="793" ht="18" customHeight="1"/>
    <x:row r="794" ht="18" customHeight="1"/>
    <x:row r="795" ht="18" customHeight="1"/>
    <x:row r="796" ht="18" customHeight="1"/>
    <x:row r="797" ht="18" customHeight="1"/>
    <x:row r="798" ht="18" customHeight="1"/>
    <x:row r="799" ht="18" customHeight="1"/>
    <x:row r="800" ht="18" customHeight="1"/>
    <x:row r="801" ht="18" customHeight="1"/>
    <x:row r="802" ht="18" customHeight="1"/>
    <x:row r="803" ht="18" customHeight="1"/>
    <x:row r="804" ht="18" customHeight="1"/>
    <x:row r="805" ht="18" customHeight="1"/>
    <x:row r="806" ht="18" customHeight="1"/>
    <x:row r="807" ht="18" customHeight="1"/>
    <x:row r="808" ht="18" customHeight="1"/>
    <x:row r="809" ht="18" customHeight="1"/>
    <x:row r="810" ht="18" customHeight="1"/>
    <x:row r="811" ht="18" customHeight="1"/>
    <x:row r="812" ht="18" customHeight="1"/>
    <x:row r="813" ht="18" customHeight="1"/>
    <x:row r="814" ht="18" customHeight="1"/>
    <x:row r="815" ht="18" customHeight="1"/>
    <x:row r="816" ht="18" customHeight="1"/>
    <x:row r="817" ht="18" customHeight="1"/>
    <x:row r="818" ht="18" customHeight="1"/>
    <x:row r="819" ht="18" customHeight="1"/>
    <x:row r="820" ht="18" customHeight="1"/>
    <x:row r="821" ht="18" customHeight="1"/>
    <x:row r="822" ht="18" customHeight="1"/>
    <x:row r="823" ht="18" customHeight="1"/>
    <x:row r="824" ht="18" customHeight="1"/>
    <x:row r="825" ht="18" customHeight="1"/>
    <x:row r="826" ht="18" customHeight="1"/>
    <x:row r="827" ht="18" customHeight="1"/>
    <x:row r="828" ht="18" customHeight="1"/>
    <x:row r="829" ht="18" customHeight="1"/>
    <x:row r="830" ht="18" customHeight="1"/>
    <x:row r="831" ht="18" customHeight="1"/>
    <x:row r="832" ht="18" customHeight="1"/>
    <x:row r="833" ht="18" customHeight="1"/>
    <x:row r="834" ht="18" customHeight="1"/>
    <x:row r="835" ht="18" customHeight="1"/>
    <x:row r="836" ht="18" customHeight="1"/>
    <x:row r="837" ht="18" customHeight="1"/>
    <x:row r="838" ht="18" customHeight="1"/>
    <x:row r="839" ht="18" customHeight="1"/>
    <x:row r="840" ht="18" customHeight="1"/>
    <x:row r="841" ht="18" customHeight="1"/>
    <x:row r="842" ht="18" customHeight="1"/>
    <x:row r="843" ht="18" customHeight="1"/>
    <x:row r="844" ht="18" customHeight="1"/>
    <x:row r="845" ht="18" customHeight="1"/>
    <x:row r="846" ht="18" customHeight="1"/>
    <x:row r="847" ht="18" customHeight="1"/>
    <x:row r="848" ht="18" customHeight="1"/>
    <x:row r="849" ht="18" customHeight="1"/>
    <x:row r="850" ht="18" customHeight="1"/>
    <x:row r="851" ht="18" customHeight="1"/>
    <x:row r="852" ht="18" customHeight="1"/>
    <x:row r="853" ht="18" customHeight="1"/>
    <x:row r="854" ht="18" customHeight="1"/>
    <x:row r="855" ht="18" customHeight="1"/>
    <x:row r="856" ht="18" customHeight="1"/>
    <x:row r="857" ht="18" customHeight="1"/>
    <x:row r="858" ht="18" customHeight="1"/>
    <x:row r="859" ht="18" customHeight="1"/>
    <x:row r="860" ht="18" customHeight="1"/>
    <x:row r="861" ht="18" customHeight="1"/>
    <x:row r="862" ht="18" customHeight="1"/>
    <x:row r="863" ht="18" customHeight="1"/>
    <x:row r="864" ht="18" customHeight="1"/>
    <x:row r="865" ht="18" customHeight="1"/>
    <x:row r="866" ht="18" customHeight="1"/>
    <x:row r="867" ht="18" customHeight="1"/>
    <x:row r="868" ht="18" customHeight="1"/>
    <x:row r="869" ht="18" customHeight="1"/>
    <x:row r="870" ht="18" customHeight="1"/>
    <x:row r="871" ht="18" customHeight="1"/>
    <x:row r="872" ht="18" customHeight="1"/>
    <x:row r="873" ht="18" customHeight="1"/>
    <x:row r="874" ht="18" customHeight="1"/>
    <x:row r="875" ht="18" customHeight="1"/>
    <x:row r="876" ht="18" customHeight="1"/>
    <x:row r="877" ht="18" customHeight="1"/>
    <x:row r="878" ht="18" customHeight="1"/>
    <x:row r="879" ht="18" customHeight="1"/>
    <x:row r="880" ht="18" customHeight="1"/>
    <x:row r="881" ht="18" customHeight="1"/>
    <x:row r="882" ht="18" customHeight="1"/>
    <x:row r="883" ht="18" customHeight="1"/>
    <x:row r="884" ht="18" customHeight="1"/>
    <x:row r="885" ht="18" customHeight="1"/>
    <x:row r="886" ht="18" customHeight="1"/>
    <x:row r="887" ht="18" customHeight="1"/>
    <x:row r="888" ht="18" customHeight="1"/>
    <x:row r="889" ht="18" customHeight="1"/>
    <x:row r="890" ht="18" customHeight="1"/>
    <x:row r="891" ht="18" customHeight="1"/>
    <x:row r="892" ht="18" customHeight="1"/>
    <x:row r="893" ht="18" customHeight="1"/>
    <x:row r="894" ht="18" customHeight="1"/>
    <x:row r="895" ht="18" customHeight="1"/>
    <x:row r="896" ht="18" customHeight="1"/>
    <x:row r="897" ht="18" customHeight="1"/>
    <x:row r="898" ht="18" customHeight="1"/>
    <x:row r="899" ht="18" customHeight="1"/>
    <x:row r="900" ht="18" customHeight="1"/>
    <x:row r="901" ht="18" customHeight="1"/>
    <x:row r="902" ht="18" customHeight="1"/>
    <x:row r="903" ht="18" customHeight="1"/>
    <x:row r="904" ht="18" customHeight="1"/>
    <x:row r="905" ht="18" customHeight="1"/>
    <x:row r="906" ht="18" customHeight="1"/>
    <x:row r="907" ht="18" customHeight="1"/>
    <x:row r="908" ht="18" customHeight="1"/>
    <x:row r="909" ht="18" customHeight="1"/>
    <x:row r="910" ht="18" customHeight="1"/>
    <x:row r="911" ht="18" customHeight="1"/>
    <x:row r="912" ht="18" customHeight="1"/>
    <x:row r="913" ht="18" customHeight="1"/>
    <x:row r="914" ht="18" customHeight="1"/>
    <x:row r="915" ht="18" customHeight="1"/>
    <x:row r="916" ht="18" customHeight="1"/>
    <x:row r="917" ht="18" customHeight="1"/>
    <x:row r="918" ht="18" customHeight="1"/>
    <x:row r="919" ht="18" customHeight="1"/>
    <x:row r="920" ht="18" customHeight="1"/>
    <x:row r="921" ht="18" customHeight="1"/>
    <x:row r="922" ht="18" customHeight="1"/>
    <x:row r="923" ht="18" customHeight="1"/>
    <x:row r="924" ht="18" customHeight="1"/>
    <x:row r="925" ht="18" customHeight="1"/>
    <x:row r="926" ht="18" customHeight="1"/>
    <x:row r="927" ht="18" customHeight="1"/>
    <x:row r="928" ht="18" customHeight="1"/>
    <x:row r="929" ht="18" customHeight="1"/>
    <x:row r="930" ht="18" customHeight="1"/>
    <x:row r="931" ht="18" customHeight="1"/>
    <x:row r="932" ht="18" customHeight="1"/>
    <x:row r="933" ht="18" customHeight="1"/>
    <x:row r="934" ht="18" customHeight="1"/>
    <x:row r="935" ht="18" customHeight="1"/>
    <x:row r="936" ht="18" customHeight="1"/>
    <x:row r="937" ht="18" customHeight="1"/>
    <x:row r="938" ht="18" customHeight="1"/>
    <x:row r="939" ht="18" customHeight="1"/>
    <x:row r="940" ht="18" customHeight="1"/>
    <x:row r="941" ht="18" customHeight="1"/>
    <x:row r="942" ht="18" customHeight="1"/>
    <x:row r="943" ht="18" customHeight="1"/>
    <x:row r="944" ht="18" customHeight="1"/>
    <x:row r="945" ht="18" customHeight="1"/>
    <x:row r="946" ht="18" customHeight="1"/>
    <x:row r="947" ht="18" customHeight="1"/>
    <x:row r="948" ht="18" customHeight="1"/>
    <x:row r="949" ht="18" customHeight="1"/>
    <x:row r="950" ht="18" customHeight="1"/>
    <x:row r="951" ht="18" customHeight="1"/>
    <x:row r="952" ht="18" customHeight="1"/>
    <x:row r="953" ht="18" customHeight="1"/>
    <x:row r="954" ht="18" customHeight="1"/>
    <x:row r="955" ht="18" customHeight="1"/>
    <x:row r="956" ht="18" customHeight="1"/>
    <x:row r="957" ht="18" customHeight="1"/>
    <x:row r="958" ht="18" customHeight="1"/>
    <x:row r="959" ht="18" customHeight="1"/>
    <x:row r="960" ht="18" customHeight="1"/>
    <x:row r="961" ht="18" customHeight="1"/>
    <x:row r="962" ht="18" customHeight="1"/>
    <x:row r="963" ht="18" customHeight="1"/>
    <x:row r="964" ht="18" customHeight="1"/>
    <x:row r="965" ht="18" customHeight="1"/>
    <x:row r="966" ht="18" customHeight="1"/>
    <x:row r="967" ht="18" customHeight="1"/>
    <x:row r="968" ht="18" customHeight="1"/>
    <x:row r="969" ht="18" customHeight="1"/>
    <x:row r="970" ht="18" customHeight="1"/>
    <x:row r="971" ht="18" customHeight="1"/>
    <x:row r="972" ht="18" customHeight="1"/>
    <x:row r="973" ht="18" customHeight="1"/>
    <x:row r="974" ht="18" customHeight="1"/>
    <x:row r="975" ht="18" customHeight="1"/>
    <x:row r="976" ht="18" customHeight="1"/>
    <x:row r="977" ht="18" customHeight="1"/>
    <x:row r="978" ht="18" customHeight="1"/>
    <x:row r="979" ht="18" customHeight="1"/>
    <x:row r="980" ht="18" customHeight="1"/>
    <x:row r="981" ht="18" customHeight="1"/>
    <x:row r="982" ht="18" customHeight="1"/>
    <x:row r="983" ht="18" customHeight="1"/>
    <x:row r="984" ht="18" customHeight="1"/>
    <x:row r="985" ht="18" customHeight="1"/>
    <x:row r="986" ht="18" customHeight="1"/>
    <x:row r="987" ht="18" customHeight="1"/>
    <x:row r="988" ht="18" customHeight="1"/>
    <x:row r="989" ht="18" customHeight="1"/>
    <x:row r="990" ht="18" customHeight="1"/>
    <x:row r="991" ht="18" customHeight="1"/>
    <x:row r="992" ht="18" customHeight="1"/>
    <x:row r="993" ht="18" customHeight="1"/>
    <x:row r="994" ht="18" customHeight="1"/>
    <x:row r="995" ht="18" customHeight="1"/>
    <x:row r="996" ht="18" customHeight="1"/>
    <x:row r="997" ht="18" customHeight="1"/>
    <x:row r="998" ht="18" customHeight="1"/>
    <x:row r="999" ht="18" customHeight="1"/>
    <x:row r="1000" ht="18" customHeight="1"/>
    <x:row r="1001" ht="18" customHeight="1"/>
    <x:row r="1002" ht="18" customHeight="1"/>
    <x:row r="1003" ht="18" customHeight="1"/>
    <x:row r="1004" ht="18" customHeight="1"/>
    <x:row r="1005" ht="18" customHeight="1"/>
    <x:row r="1006" ht="18" customHeight="1"/>
    <x:row r="1007" ht="18" customHeight="1"/>
    <x:row r="1008" ht="18" customHeight="1"/>
    <x:row r="1009" ht="18" customHeight="1"/>
    <x:row r="1010" ht="18" customHeight="1"/>
    <x:row r="1011" ht="18" customHeight="1"/>
    <x:row r="1012" ht="18" customHeight="1"/>
    <x:row r="1013" ht="18" customHeight="1"/>
    <x:row r="1014" ht="18" customHeight="1"/>
    <x:row r="1015" ht="18" customHeight="1"/>
    <x:row r="1016" ht="18" customHeight="1"/>
    <x:row r="1017" ht="18" customHeight="1"/>
    <x:row r="1018" ht="18" customHeight="1"/>
    <x:row r="1019" ht="18" customHeight="1"/>
    <x:row r="1020" ht="18" customHeight="1"/>
    <x:row r="1021" ht="18" customHeight="1"/>
    <x:row r="1022" ht="18" customHeight="1"/>
    <x:row r="1023" ht="18" customHeight="1"/>
    <x:row r="1024" ht="18" customHeight="1"/>
    <x:row r="1025" ht="18" customHeight="1"/>
    <x:row r="1026" ht="18" customHeight="1"/>
    <x:row r="1027" ht="18" customHeight="1"/>
    <x:row r="1028" ht="18" customHeight="1"/>
    <x:row r="1029" ht="18" customHeight="1"/>
    <x:row r="1030" ht="18" customHeight="1"/>
    <x:row r="1031" ht="18" customHeight="1"/>
    <x:row r="1032" ht="18" customHeight="1"/>
    <x:row r="1033" ht="18" customHeight="1"/>
    <x:row r="1034" ht="18" customHeight="1"/>
    <x:row r="1035" ht="18" customHeight="1"/>
    <x:row r="1036" ht="18" customHeight="1"/>
    <x:row r="1037" ht="18" customHeight="1"/>
    <x:row r="1038" ht="18" customHeight="1"/>
    <x:row r="1039" ht="18" customHeight="1"/>
    <x:row r="1040" ht="18" customHeight="1"/>
    <x:row r="1041" ht="18" customHeight="1"/>
    <x:row r="1042" ht="18" customHeight="1"/>
    <x:row r="1043" ht="18" customHeight="1"/>
    <x:row r="1044" ht="18" customHeight="1"/>
    <x:row r="1045" ht="18" customHeight="1"/>
    <x:row r="1046" ht="18" customHeight="1"/>
    <x:row r="1047" ht="18" customHeight="1"/>
    <x:row r="1048" ht="18" customHeight="1"/>
    <x:row r="1049" ht="18" customHeight="1"/>
    <x:row r="1050" ht="18" customHeight="1"/>
    <x:row r="1051" ht="18" customHeight="1"/>
    <x:row r="1052" ht="18" customHeight="1"/>
    <x:row r="1053" ht="18" customHeight="1"/>
    <x:row r="1054" ht="18" customHeight="1"/>
    <x:row r="1055" ht="18" customHeight="1"/>
    <x:row r="1056" ht="18" customHeight="1"/>
    <x:row r="1057" ht="18" customHeight="1"/>
    <x:row r="1058" ht="18" customHeight="1"/>
    <x:row r="1059" ht="18" customHeight="1"/>
    <x:row r="1060" ht="18" customHeight="1"/>
    <x:row r="1061" ht="18" customHeight="1"/>
    <x:row r="1062" ht="18" customHeight="1"/>
    <x:row r="1063" ht="18" customHeight="1"/>
    <x:row r="1064" ht="18" customHeight="1"/>
    <x:row r="1065" ht="18" customHeight="1"/>
    <x:row r="1066" ht="18" customHeight="1"/>
    <x:row r="1067" ht="18" customHeight="1"/>
    <x:row r="1068" ht="18" customHeight="1"/>
    <x:row r="1069" ht="18" customHeight="1"/>
    <x:row r="1070" ht="18" customHeight="1"/>
    <x:row r="1071" ht="18" customHeight="1"/>
    <x:row r="1072" ht="18" customHeight="1"/>
    <x:row r="1073" ht="18" customHeight="1"/>
    <x:row r="1074" ht="18" customHeight="1"/>
    <x:row r="1075" ht="18" customHeight="1"/>
    <x:row r="1076" ht="18" customHeight="1"/>
    <x:row r="1077" ht="18" customHeight="1"/>
    <x:row r="1078" ht="18" customHeight="1"/>
    <x:row r="1079" ht="18" customHeight="1"/>
    <x:row r="1080" ht="18" customHeight="1"/>
    <x:row r="1081" ht="18" customHeight="1"/>
    <x:row r="1082" ht="18" customHeight="1"/>
    <x:row r="1083" ht="18" customHeight="1"/>
    <x:row r="1084" ht="18" customHeight="1"/>
    <x:row r="1085" ht="18" customHeight="1"/>
    <x:row r="1086" ht="18" customHeight="1"/>
    <x:row r="1087" ht="18" customHeight="1"/>
    <x:row r="1088" ht="18" customHeight="1"/>
    <x:row r="1089" ht="18" customHeight="1"/>
    <x:row r="1090" ht="18" customHeight="1"/>
    <x:row r="1091" ht="18" customHeight="1"/>
    <x:row r="1092" ht="18" customHeight="1"/>
    <x:row r="1093" ht="18" customHeight="1"/>
    <x:row r="1094" ht="18" customHeight="1"/>
    <x:row r="1095" ht="18" customHeight="1"/>
    <x:row r="1096" ht="18" customHeight="1"/>
    <x:row r="1097" ht="18" customHeight="1"/>
    <x:row r="1098" ht="18" customHeight="1"/>
    <x:row r="1099" ht="18" customHeight="1"/>
    <x:row r="1100" ht="18" customHeight="1"/>
    <x:row r="1101" ht="18" customHeight="1"/>
    <x:row r="1102" ht="18" customHeight="1"/>
    <x:row r="1103" ht="18" customHeight="1"/>
    <x:row r="1104" ht="18" customHeight="1"/>
    <x:row r="1105" ht="18" customHeight="1"/>
    <x:row r="1106" ht="18" customHeight="1"/>
    <x:row r="1107" ht="18" customHeight="1"/>
    <x:row r="1108" ht="18" customHeight="1"/>
    <x:row r="1109" ht="18" customHeight="1"/>
    <x:row r="1110" ht="18" customHeight="1"/>
    <x:row r="1111" ht="18" customHeight="1"/>
    <x:row r="1112" ht="18" customHeight="1"/>
    <x:row r="1113" ht="18" customHeight="1"/>
    <x:row r="1114" ht="18" customHeight="1"/>
    <x:row r="1115" ht="18" customHeight="1"/>
    <x:row r="1116" ht="18" customHeight="1"/>
    <x:row r="1117" ht="18" customHeight="1"/>
    <x:row r="1118" ht="18" customHeight="1"/>
    <x:row r="1119" ht="18" customHeight="1"/>
    <x:row r="1120" ht="18" customHeight="1"/>
    <x:row r="1121" ht="18" customHeight="1"/>
    <x:row r="1122" ht="18" customHeight="1"/>
    <x:row r="1123" ht="18" customHeight="1"/>
    <x:row r="1124" ht="18" customHeight="1"/>
    <x:row r="1125" ht="18" customHeight="1"/>
    <x:row r="1126" ht="18" customHeight="1"/>
    <x:row r="1127" ht="18" customHeight="1"/>
    <x:row r="1128" ht="18" customHeight="1"/>
    <x:row r="1129" ht="18" customHeight="1"/>
    <x:row r="1130" ht="18" customHeight="1"/>
    <x:row r="1131" ht="18" customHeight="1"/>
    <x:row r="1132" ht="18" customHeight="1"/>
    <x:row r="1133" ht="18" customHeight="1"/>
    <x:row r="1134" ht="18" customHeight="1"/>
    <x:row r="1135" ht="18" customHeight="1"/>
    <x:row r="1136" ht="18" customHeight="1"/>
    <x:row r="1137" ht="18" customHeight="1"/>
    <x:row r="1138" ht="18" customHeight="1"/>
    <x:row r="1139" ht="18" customHeight="1"/>
    <x:row r="1140" ht="18" customHeight="1"/>
    <x:row r="1141" ht="18" customHeight="1"/>
    <x:row r="1142" ht="18" customHeight="1"/>
    <x:row r="1143" ht="18" customHeight="1"/>
    <x:row r="1144" ht="18" customHeight="1"/>
    <x:row r="1145" ht="18" customHeight="1"/>
    <x:row r="1146" ht="18" customHeight="1"/>
    <x:row r="1147" ht="18" customHeight="1"/>
    <x:row r="1148" ht="18" customHeight="1"/>
    <x:row r="1149" ht="18" customHeight="1"/>
    <x:row r="1150" ht="18" customHeight="1"/>
    <x:row r="1151" ht="18" customHeight="1"/>
    <x:row r="1152" ht="18" customHeight="1"/>
    <x:row r="1153" ht="18" customHeight="1"/>
    <x:row r="1154" ht="18" customHeight="1"/>
    <x:row r="1155" ht="18" customHeight="1"/>
    <x:row r="1156" ht="18" customHeight="1"/>
    <x:row r="1157" ht="18" customHeight="1"/>
    <x:row r="1158" ht="18" customHeight="1"/>
    <x:row r="1159" ht="18" customHeight="1"/>
    <x:row r="1160" ht="18" customHeight="1"/>
    <x:row r="1161" ht="18" customHeight="1"/>
    <x:row r="1162" ht="18" customHeight="1"/>
    <x:row r="1163" ht="18" customHeight="1"/>
    <x:row r="1164" ht="18" customHeight="1"/>
    <x:row r="1165" ht="18" customHeight="1"/>
    <x:row r="1166" ht="18" customHeight="1"/>
    <x:row r="1167" ht="18" customHeight="1"/>
    <x:row r="1168" ht="18" customHeight="1"/>
    <x:row r="1169" ht="18" customHeight="1"/>
    <x:row r="1170" ht="18" customHeight="1"/>
    <x:row r="1171" ht="18" customHeight="1"/>
    <x:row r="1172" ht="18" customHeight="1"/>
    <x:row r="1173" ht="18" customHeight="1"/>
    <x:row r="1174" ht="18" customHeight="1"/>
    <x:row r="1175" ht="18" customHeight="1"/>
    <x:row r="1176" ht="18" customHeight="1"/>
    <x:row r="1177" ht="18" customHeight="1"/>
    <x:row r="1178" ht="18" customHeight="1"/>
    <x:row r="1179" ht="18" customHeight="1"/>
    <x:row r="1180" ht="18" customHeight="1"/>
    <x:row r="1181" ht="18" customHeight="1"/>
    <x:row r="1182" ht="18" customHeight="1"/>
    <x:row r="1183" ht="18" customHeight="1"/>
    <x:row r="1184" ht="18" customHeight="1"/>
    <x:row r="1185" ht="18" customHeight="1"/>
    <x:row r="1186" ht="18" customHeight="1"/>
    <x:row r="1187" ht="18" customHeight="1"/>
    <x:row r="1188" ht="18" customHeight="1"/>
    <x:row r="1189" ht="18" customHeight="1"/>
    <x:row r="1190" ht="18" customHeight="1"/>
    <x:row r="1191" ht="18" customHeight="1"/>
    <x:row r="1192" ht="18" customHeight="1"/>
    <x:row r="1193" ht="18" customHeight="1"/>
    <x:row r="1194" ht="18" customHeight="1"/>
    <x:row r="1195" ht="18" customHeight="1"/>
    <x:row r="1196" ht="18" customHeight="1"/>
    <x:row r="1197" ht="18" customHeight="1"/>
    <x:row r="1198" ht="18" customHeight="1"/>
    <x:row r="1199" ht="18" customHeight="1"/>
    <x:row r="1200" ht="18" customHeight="1"/>
    <x:row r="1201" ht="18" customHeight="1"/>
    <x:row r="1202" ht="18" customHeight="1"/>
    <x:row r="1203" ht="18" customHeight="1"/>
    <x:row r="1204" ht="18" customHeight="1"/>
    <x:row r="1205" ht="18" customHeight="1"/>
    <x:row r="1206" ht="18" customHeight="1"/>
    <x:row r="1207" ht="18" customHeight="1"/>
    <x:row r="1208" ht="18" customHeight="1"/>
    <x:row r="1209" ht="18" customHeight="1"/>
    <x:row r="1210" ht="18" customHeight="1"/>
    <x:row r="1211" ht="18" customHeight="1"/>
    <x:row r="1212" ht="18" customHeight="1"/>
    <x:row r="1213" ht="18" customHeight="1"/>
    <x:row r="1214" ht="18" customHeight="1"/>
    <x:row r="1215" ht="18" customHeight="1"/>
    <x:row r="1216" ht="18" customHeight="1"/>
    <x:row r="1217" ht="18" customHeight="1"/>
    <x:row r="1218" ht="18" customHeight="1"/>
    <x:row r="1219" ht="18" customHeight="1"/>
    <x:row r="1220" ht="18" customHeight="1"/>
    <x:row r="1221" ht="18" customHeight="1"/>
    <x:row r="1222" ht="18" customHeight="1"/>
    <x:row r="1223" ht="18" customHeight="1"/>
    <x:row r="1224" ht="18" customHeight="1"/>
    <x:row r="1225" ht="18" customHeight="1"/>
    <x:row r="1226" ht="18" customHeight="1"/>
    <x:row r="1227" ht="18" customHeight="1"/>
    <x:row r="1228" ht="18" customHeight="1"/>
    <x:row r="1229" ht="18" customHeight="1"/>
    <x:row r="1230" ht="18" customHeight="1"/>
    <x:row r="1231" ht="18" customHeight="1"/>
    <x:row r="1232" ht="18" customHeight="1"/>
    <x:row r="1233" ht="18" customHeight="1"/>
    <x:row r="1234" ht="18" customHeight="1"/>
    <x:row r="1235" ht="18" customHeight="1"/>
    <x:row r="1236" ht="18" customHeight="1"/>
    <x:row r="1237" ht="18" customHeight="1"/>
    <x:row r="1238" ht="18" customHeight="1"/>
    <x:row r="1239" ht="18" customHeight="1"/>
    <x:row r="1240" ht="18" customHeight="1"/>
    <x:row r="1241" ht="18" customHeight="1"/>
    <x:row r="1242" ht="18" customHeight="1"/>
    <x:row r="1243" ht="18" customHeight="1"/>
    <x:row r="1244" ht="18" customHeight="1"/>
    <x:row r="1245" ht="18" customHeight="1"/>
    <x:row r="1246" ht="18" customHeight="1"/>
    <x:row r="1247" ht="18" customHeight="1"/>
    <x:row r="1248" ht="18" customHeight="1"/>
    <x:row r="1249" ht="18" customHeight="1"/>
    <x:row r="1250" ht="18" customHeight="1"/>
    <x:row r="1251" ht="18" customHeight="1"/>
    <x:row r="1252" ht="18" customHeight="1"/>
    <x:row r="1253" ht="18" customHeight="1"/>
    <x:row r="1254" ht="18" customHeight="1"/>
    <x:row r="1255" ht="18" customHeight="1"/>
    <x:row r="1256" ht="18" customHeight="1"/>
    <x:row r="1257" ht="18" customHeight="1"/>
    <x:row r="1258" ht="18" customHeight="1"/>
    <x:row r="1259" ht="18" customHeight="1"/>
    <x:row r="1260" ht="18" customHeight="1"/>
    <x:row r="1261" ht="18" customHeight="1"/>
    <x:row r="1262" ht="18" customHeight="1"/>
    <x:row r="1263" ht="18" customHeight="1"/>
    <x:row r="1264" ht="18" customHeight="1"/>
    <x:row r="1265" ht="18" customHeight="1"/>
    <x:row r="1266" ht="18" customHeight="1"/>
    <x:row r="1267" ht="18" customHeight="1"/>
    <x:row r="1268" ht="18" customHeight="1"/>
    <x:row r="1269" ht="18" customHeight="1"/>
    <x:row r="1270" ht="18" customHeight="1"/>
    <x:row r="1271" ht="18" customHeight="1"/>
    <x:row r="1272" ht="18" customHeight="1"/>
    <x:row r="1273" ht="18" customHeight="1"/>
    <x:row r="1274" ht="18" customHeight="1"/>
    <x:row r="1275" ht="18" customHeight="1"/>
    <x:row r="1276" ht="18" customHeight="1"/>
    <x:row r="1277" ht="18" customHeight="1"/>
    <x:row r="1278" ht="18" customHeight="1"/>
    <x:row r="1279" ht="18" customHeight="1"/>
    <x:row r="1280" ht="18" customHeight="1"/>
    <x:row r="1281" ht="18" customHeight="1"/>
    <x:row r="1282" ht="18" customHeight="1"/>
    <x:row r="1283" ht="18" customHeight="1"/>
    <x:row r="1284" ht="18" customHeight="1"/>
    <x:row r="1285" ht="18" customHeight="1"/>
    <x:row r="1286" ht="18" customHeight="1"/>
    <x:row r="1287" ht="18" customHeight="1"/>
    <x:row r="1288" ht="18" customHeight="1"/>
    <x:row r="1289" ht="18" customHeight="1"/>
    <x:row r="1290" ht="18" customHeight="1"/>
    <x:row r="1291" ht="18" customHeight="1"/>
    <x:row r="1292" ht="18" customHeight="1"/>
    <x:row r="1293" ht="18" customHeight="1"/>
    <x:row r="1294" ht="18" customHeight="1"/>
    <x:row r="1295" ht="18" customHeight="1"/>
    <x:row r="1296" ht="18" customHeight="1"/>
    <x:row r="1297" ht="18" customHeight="1"/>
    <x:row r="1298" ht="18" customHeight="1"/>
    <x:row r="1299" ht="18" customHeight="1"/>
    <x:row r="1300" ht="18" customHeight="1"/>
    <x:row r="1301" ht="18" customHeight="1"/>
    <x:row r="1302" ht="18" customHeight="1"/>
    <x:row r="1303" ht="18" customHeight="1"/>
    <x:row r="1304" ht="18" customHeight="1"/>
    <x:row r="1305" ht="18" customHeight="1"/>
    <x:row r="1306" ht="18" customHeight="1"/>
    <x:row r="1307" ht="18" customHeight="1"/>
    <x:row r="1308" ht="18" customHeight="1"/>
    <x:row r="1309" ht="18" customHeight="1"/>
    <x:row r="1310" ht="18" customHeight="1"/>
    <x:row r="1311" ht="18" customHeight="1"/>
    <x:row r="1312" ht="18" customHeight="1"/>
    <x:row r="1313" ht="18" customHeight="1"/>
    <x:row r="1314" ht="18" customHeight="1"/>
    <x:row r="1315" ht="18" customHeight="1"/>
    <x:row r="1316" ht="18" customHeight="1"/>
    <x:row r="1317" ht="18" customHeight="1"/>
    <x:row r="1318" ht="18" customHeight="1"/>
    <x:row r="1319" ht="18" customHeight="1"/>
    <x:row r="1320" ht="18" customHeight="1"/>
    <x:row r="1321" ht="18" customHeight="1"/>
    <x:row r="1322" ht="18" customHeight="1"/>
    <x:row r="1323" ht="18" customHeight="1"/>
    <x:row r="1324" ht="18" customHeight="1"/>
    <x:row r="1325" ht="18" customHeight="1"/>
    <x:row r="1326" ht="18" customHeight="1"/>
    <x:row r="1327" ht="18" customHeight="1"/>
    <x:row r="1328" ht="18" customHeight="1"/>
    <x:row r="1329" ht="18" customHeight="1"/>
    <x:row r="1330" ht="18" customHeight="1"/>
    <x:row r="1331" ht="18" customHeight="1"/>
    <x:row r="1332" ht="18" customHeight="1"/>
    <x:row r="1333" ht="18" customHeight="1"/>
    <x:row r="1334" ht="18" customHeight="1"/>
    <x:row r="1335" ht="18" customHeight="1"/>
    <x:row r="1336" ht="18" customHeight="1"/>
    <x:row r="1337" ht="18" customHeight="1"/>
    <x:row r="1338" ht="18" customHeight="1"/>
    <x:row r="1339" ht="18" customHeight="1"/>
    <x:row r="1340" ht="18" customHeight="1"/>
    <x:row r="1341" ht="18" customHeight="1"/>
    <x:row r="1342" ht="18" customHeight="1"/>
    <x:row r="1343" ht="18" customHeight="1"/>
    <x:row r="1344" ht="18" customHeight="1"/>
    <x:row r="1345" ht="18" customHeight="1"/>
    <x:row r="1346" ht="18" customHeight="1"/>
    <x:row r="1347" ht="18" customHeight="1"/>
    <x:row r="1348" ht="18" customHeight="1"/>
    <x:row r="1349" ht="18" customHeight="1"/>
    <x:row r="1350" ht="18" customHeight="1"/>
    <x:row r="1351" ht="18" customHeight="1"/>
    <x:row r="1352" ht="18" customHeight="1"/>
    <x:row r="1353" ht="18" customHeight="1"/>
    <x:row r="1354" ht="18" customHeight="1"/>
    <x:row r="1355" ht="18" customHeight="1"/>
    <x:row r="1356" ht="18" customHeight="1"/>
    <x:row r="1357" ht="18" customHeight="1"/>
    <x:row r="1358" ht="18" customHeight="1"/>
    <x:row r="1359" ht="18" customHeight="1"/>
    <x:row r="1360" ht="18" customHeight="1"/>
    <x:row r="1361" ht="18" customHeight="1"/>
    <x:row r="1362" ht="18" customHeight="1"/>
    <x:row r="1363" ht="18" customHeight="1"/>
    <x:row r="1364" ht="18" customHeight="1"/>
    <x:row r="1365" ht="18" customHeight="1"/>
    <x:row r="1366" ht="18" customHeight="1"/>
    <x:row r="1367" ht="18" customHeight="1"/>
    <x:row r="1368" ht="18" customHeight="1"/>
    <x:row r="1369" ht="18" customHeight="1"/>
    <x:row r="1370" ht="18" customHeight="1"/>
    <x:row r="1371" ht="18" customHeight="1"/>
    <x:row r="1372" ht="18" customHeight="1"/>
    <x:row r="1373" ht="18" customHeight="1"/>
    <x:row r="1374" ht="18" customHeight="1"/>
    <x:row r="1375" ht="18" customHeight="1"/>
    <x:row r="1376" ht="18" customHeight="1"/>
    <x:row r="1377" ht="18" customHeight="1"/>
    <x:row r="1378" ht="18" customHeight="1"/>
    <x:row r="1379" ht="18" customHeight="1"/>
    <x:row r="1380" ht="18" customHeight="1"/>
    <x:row r="1381" ht="18" customHeight="1"/>
    <x:row r="1382" ht="18" customHeight="1"/>
    <x:row r="1383" ht="18" customHeight="1"/>
    <x:row r="1384" ht="18" customHeight="1"/>
    <x:row r="1385" ht="18" customHeight="1"/>
    <x:row r="1386" ht="18" customHeight="1"/>
    <x:row r="1387" ht="18" customHeight="1"/>
    <x:row r="1388" ht="18" customHeight="1"/>
    <x:row r="1389" ht="18" customHeight="1"/>
    <x:row r="1390" ht="18" customHeight="1"/>
    <x:row r="1391" ht="18" customHeight="1"/>
    <x:row r="1392" ht="18" customHeight="1"/>
    <x:row r="1393" ht="18" customHeight="1"/>
    <x:row r="1394" ht="18" customHeight="1"/>
    <x:row r="1395" ht="18" customHeight="1"/>
    <x:row r="1396" ht="18" customHeight="1"/>
    <x:row r="1397" ht="18" customHeight="1"/>
    <x:row r="1398" ht="18" customHeight="1"/>
    <x:row r="1399" ht="18" customHeight="1"/>
    <x:row r="1400" ht="18" customHeight="1"/>
    <x:row r="1401" ht="18" customHeight="1"/>
    <x:row r="1402" ht="18" customHeight="1"/>
    <x:row r="1403" ht="18" customHeight="1"/>
    <x:row r="1404" ht="18" customHeight="1"/>
    <x:row r="1405" ht="18" customHeight="1"/>
    <x:row r="1406" ht="18" customHeight="1"/>
    <x:row r="1407" ht="18" customHeight="1"/>
    <x:row r="1408" ht="18" customHeight="1"/>
    <x:row r="1409" ht="18" customHeight="1"/>
    <x:row r="1410" ht="18" customHeight="1"/>
    <x:row r="1411" ht="18" customHeight="1"/>
    <x:row r="1412" ht="18" customHeight="1"/>
    <x:row r="1413" ht="18" customHeight="1"/>
    <x:row r="1414" ht="18" customHeight="1"/>
    <x:row r="1415" ht="18" customHeight="1"/>
    <x:row r="1416" ht="18" customHeight="1"/>
    <x:row r="1417" ht="18" customHeight="1"/>
    <x:row r="1418" ht="18" customHeight="1"/>
    <x:row r="1419" ht="18" customHeight="1"/>
    <x:row r="1420" ht="18" customHeight="1"/>
    <x:row r="1421" ht="18" customHeight="1"/>
    <x:row r="1422" ht="18" customHeight="1"/>
    <x:row r="1423" ht="18" customHeight="1"/>
    <x:row r="1424" ht="18" customHeight="1"/>
    <x:row r="1425" ht="18" customHeight="1"/>
    <x:row r="1426" ht="18" customHeight="1"/>
    <x:row r="1427" ht="18" customHeight="1"/>
    <x:row r="1428" ht="18" customHeight="1"/>
    <x:row r="1429" ht="18" customHeight="1"/>
    <x:row r="1430" ht="18" customHeight="1"/>
    <x:row r="1431" ht="18" customHeight="1"/>
    <x:row r="1432" ht="18" customHeight="1"/>
    <x:row r="1433" ht="18" customHeight="1"/>
    <x:row r="1434" ht="18" customHeight="1"/>
    <x:row r="1435" ht="18" customHeight="1"/>
    <x:row r="1436" ht="18" customHeight="1"/>
    <x:row r="1437" ht="18" customHeight="1"/>
    <x:row r="1438" ht="18" customHeight="1"/>
    <x:row r="1439" ht="18" customHeight="1"/>
    <x:row r="1440" ht="18" customHeight="1"/>
    <x:row r="1441" ht="18" customHeight="1"/>
    <x:row r="1442" ht="18" customHeight="1"/>
    <x:row r="1443" ht="18" customHeight="1"/>
    <x:row r="1444" ht="18" customHeight="1"/>
    <x:row r="1445" ht="18" customHeight="1"/>
    <x:row r="1446" ht="18" customHeight="1"/>
    <x:row r="1447" ht="18" customHeight="1"/>
    <x:row r="1448" ht="18" customHeight="1"/>
    <x:row r="1449" ht="18" customHeight="1"/>
    <x:row r="1450" ht="18" customHeight="1"/>
    <x:row r="1451" ht="18" customHeight="1"/>
    <x:row r="1452" ht="18" customHeight="1"/>
    <x:row r="1453" ht="18" customHeight="1"/>
    <x:row r="1454" ht="18" customHeight="1"/>
    <x:row r="1455" ht="18" customHeight="1"/>
    <x:row r="1456" ht="18" customHeight="1"/>
    <x:row r="1457" ht="18" customHeight="1"/>
    <x:row r="1458" ht="18" customHeight="1"/>
    <x:row r="1459" ht="18" customHeight="1"/>
    <x:row r="1460" ht="18" customHeight="1"/>
    <x:row r="1461" ht="18" customHeight="1"/>
    <x:row r="1462" ht="18" customHeight="1"/>
    <x:row r="1463" ht="18" customHeight="1"/>
    <x:row r="1464" ht="18" customHeight="1"/>
    <x:row r="1465" ht="18" customHeight="1"/>
    <x:row r="1466" ht="18" customHeight="1"/>
    <x:row r="1467" ht="18" customHeight="1"/>
    <x:row r="1468" ht="18" customHeight="1"/>
    <x:row r="1469" ht="18" customHeight="1"/>
    <x:row r="1470" ht="18" customHeight="1"/>
    <x:row r="1471" ht="18" customHeight="1"/>
    <x:row r="1472" ht="18" customHeight="1"/>
    <x:row r="1473" ht="18" customHeight="1"/>
    <x:row r="1474" ht="18" customHeight="1"/>
    <x:row r="1475" ht="18" customHeight="1"/>
    <x:row r="1476" ht="18" customHeight="1"/>
    <x:row r="1477" ht="18" customHeight="1"/>
    <x:row r="1478" ht="18" customHeight="1"/>
    <x:row r="1479" ht="18" customHeight="1"/>
    <x:row r="1480" ht="18" customHeight="1"/>
    <x:row r="1481" ht="18" customHeight="1"/>
    <x:row r="1482" ht="18" customHeight="1"/>
    <x:row r="1483" ht="18" customHeight="1"/>
    <x:row r="1484" ht="18" customHeight="1"/>
    <x:row r="1485" ht="18" customHeight="1"/>
    <x:row r="1486" ht="18" customHeight="1"/>
    <x:row r="1487" ht="18" customHeight="1"/>
    <x:row r="1488" ht="18" customHeight="1"/>
    <x:row r="1489" ht="18" customHeight="1"/>
    <x:row r="1490" ht="18" customHeight="1"/>
    <x:row r="1491" ht="18" customHeight="1"/>
    <x:row r="1492" ht="18" customHeight="1"/>
    <x:row r="1493" ht="18" customHeight="1"/>
    <x:row r="1494" ht="18" customHeight="1"/>
    <x:row r="1495" ht="18" customHeight="1"/>
    <x:row r="1496" ht="18" customHeight="1"/>
    <x:row r="1497" ht="18" customHeight="1"/>
    <x:row r="1498" ht="18" customHeight="1"/>
    <x:row r="1499" ht="18" customHeight="1"/>
    <x:row r="1500" ht="18" customHeight="1"/>
    <x:row r="1501" ht="18" customHeight="1"/>
    <x:row r="1502" ht="18" customHeight="1"/>
    <x:row r="1503" ht="18" customHeight="1"/>
    <x:row r="1504" ht="18" customHeight="1"/>
    <x:row r="1505" ht="18" customHeight="1"/>
    <x:row r="1506" ht="18" customHeight="1"/>
    <x:row r="1507" ht="18" customHeight="1"/>
    <x:row r="1508" ht="18" customHeight="1"/>
    <x:row r="1509" ht="18" customHeight="1"/>
    <x:row r="1510" ht="18" customHeight="1"/>
    <x:row r="1511" ht="18" customHeight="1"/>
    <x:row r="1512" ht="18" customHeight="1"/>
    <x:row r="1513" ht="18" customHeight="1"/>
    <x:row r="1514" ht="18" customHeight="1"/>
    <x:row r="1515" ht="18" customHeight="1"/>
    <x:row r="1516" ht="18" customHeight="1"/>
    <x:row r="1517" ht="18" customHeight="1"/>
    <x:row r="1518" ht="18" customHeight="1"/>
    <x:row r="1519" ht="18" customHeight="1"/>
    <x:row r="1520" ht="18" customHeight="1"/>
    <x:row r="1521" ht="18" customHeight="1"/>
    <x:row r="1522" ht="18" customHeight="1"/>
    <x:row r="1523" ht="18" customHeight="1"/>
    <x:row r="1524" ht="18" customHeight="1"/>
    <x:row r="1525" ht="18" customHeight="1"/>
    <x:row r="1526" ht="18" customHeight="1"/>
    <x:row r="1527" ht="18" customHeight="1"/>
    <x:row r="1528" ht="18" customHeight="1"/>
    <x:row r="1529" ht="18" customHeight="1"/>
    <x:row r="1530" ht="18" customHeight="1"/>
    <x:row r="1531" ht="18" customHeight="1"/>
    <x:row r="1532" ht="18" customHeight="1"/>
    <x:row r="1533" ht="18" customHeight="1"/>
    <x:row r="1534" ht="18" customHeight="1"/>
    <x:row r="1535" ht="18" customHeight="1"/>
    <x:row r="1536" ht="18" customHeight="1"/>
    <x:row r="1537" ht="18" customHeight="1"/>
    <x:row r="1538" ht="18" customHeight="1"/>
    <x:row r="1539" ht="18" customHeight="1"/>
    <x:row r="1540" ht="18" customHeight="1"/>
    <x:row r="1541" ht="18" customHeight="1"/>
    <x:row r="1542" ht="18" customHeight="1"/>
    <x:row r="1543" ht="18" customHeight="1"/>
    <x:row r="1544" ht="18" customHeight="1"/>
    <x:row r="1545" ht="18" customHeight="1"/>
    <x:row r="1546" ht="18" customHeight="1"/>
    <x:row r="1547" ht="18" customHeight="1"/>
    <x:row r="1548" ht="18" customHeight="1"/>
    <x:row r="1549" ht="18" customHeight="1"/>
    <x:row r="1550" ht="18" customHeight="1"/>
    <x:row r="1551" ht="18" customHeight="1"/>
    <x:row r="1552" ht="18" customHeight="1"/>
    <x:row r="1553" ht="18" customHeight="1"/>
    <x:row r="1554" ht="18" customHeight="1"/>
    <x:row r="1555" ht="18" customHeight="1"/>
    <x:row r="1556" ht="18" customHeight="1"/>
    <x:row r="1557" ht="18" customHeight="1"/>
    <x:row r="1558" ht="18" customHeight="1"/>
    <x:row r="1559" ht="18" customHeight="1"/>
    <x:row r="1560" ht="18" customHeight="1"/>
    <x:row r="1561" ht="18" customHeight="1"/>
    <x:row r="1562" ht="18" customHeight="1"/>
    <x:row r="1563" ht="18" customHeight="1"/>
    <x:row r="1564" ht="18" customHeight="1"/>
    <x:row r="1565" ht="18" customHeight="1"/>
    <x:row r="1566" ht="18" customHeight="1"/>
    <x:row r="1567" ht="18" customHeight="1"/>
    <x:row r="1568" ht="18" customHeight="1"/>
    <x:row r="1569" ht="18" customHeight="1"/>
    <x:row r="1570" ht="18" customHeight="1"/>
    <x:row r="1571" ht="18" customHeight="1"/>
    <x:row r="1572" ht="18" customHeight="1"/>
    <x:row r="1573" ht="18" customHeight="1"/>
    <x:row r="1574" ht="18" customHeight="1"/>
    <x:row r="1575" ht="18" customHeight="1"/>
    <x:row r="1576" ht="18" customHeight="1"/>
    <x:row r="1577" ht="18" customHeight="1"/>
    <x:row r="1578" ht="18" customHeight="1"/>
    <x:row r="1579" ht="18" customHeight="1"/>
    <x:row r="1580" ht="18" customHeight="1"/>
    <x:row r="1581" ht="18" customHeight="1"/>
    <x:row r="1582" ht="18" customHeight="1"/>
    <x:row r="1583" ht="18" customHeight="1"/>
    <x:row r="1584" ht="18" customHeight="1"/>
    <x:row r="1585" ht="18" customHeight="1"/>
    <x:row r="1586" ht="18" customHeight="1"/>
    <x:row r="1587" ht="18" customHeight="1"/>
    <x:row r="1588" ht="18" customHeight="1"/>
    <x:row r="1589" ht="18" customHeight="1"/>
    <x:row r="1590" ht="18" customHeight="1"/>
    <x:row r="1591" ht="18" customHeight="1"/>
    <x:row r="1592" ht="18" customHeight="1"/>
    <x:row r="1593" ht="18" customHeight="1"/>
    <x:row r="1594" ht="18" customHeight="1"/>
    <x:row r="1595" ht="18" customHeight="1"/>
    <x:row r="1596" ht="18" customHeight="1"/>
    <x:row r="1597" ht="18" customHeight="1"/>
    <x:row r="1598" ht="18" customHeight="1"/>
    <x:row r="1599" ht="18" customHeight="1"/>
    <x:row r="1600" ht="18" customHeight="1"/>
    <x:row r="1601" ht="18" customHeight="1"/>
    <x:row r="1602" ht="18" customHeight="1"/>
    <x:row r="1603" ht="18" customHeight="1"/>
    <x:row r="1604" ht="18" customHeight="1"/>
    <x:row r="1605" ht="18" customHeight="1"/>
    <x:row r="1606" ht="18" customHeight="1"/>
    <x:row r="1607" ht="18" customHeight="1"/>
    <x:row r="1608" ht="18" customHeight="1"/>
    <x:row r="1609" ht="18" customHeight="1"/>
    <x:row r="1610" ht="18" customHeight="1"/>
    <x:row r="1611" ht="18" customHeight="1"/>
    <x:row r="1612" ht="18" customHeight="1"/>
    <x:row r="1613" ht="18" customHeight="1"/>
    <x:row r="1614" ht="18" customHeight="1"/>
    <x:row r="1615" ht="18" customHeight="1"/>
    <x:row r="1616" ht="18" customHeight="1"/>
    <x:row r="1617" ht="18" customHeight="1"/>
    <x:row r="1618" ht="18" customHeight="1"/>
    <x:row r="1619" ht="18" customHeight="1"/>
    <x:row r="1620" ht="18" customHeight="1"/>
    <x:row r="1621" ht="18" customHeight="1"/>
    <x:row r="1622" ht="18" customHeight="1"/>
    <x:row r="1623" ht="18" customHeight="1"/>
    <x:row r="1624" ht="18" customHeight="1"/>
    <x:row r="1625" ht="18" customHeight="1"/>
    <x:row r="1626" ht="18" customHeight="1"/>
    <x:row r="1627" ht="18" customHeight="1"/>
    <x:row r="1628" ht="18" customHeight="1"/>
    <x:row r="1629" ht="18" customHeight="1"/>
    <x:row r="1630" ht="18" customHeight="1"/>
    <x:row r="1631" ht="18" customHeight="1"/>
    <x:row r="1632" ht="18" customHeight="1"/>
    <x:row r="1633" ht="18" customHeight="1"/>
    <x:row r="1634" ht="18" customHeight="1"/>
    <x:row r="1635" ht="18" customHeight="1"/>
    <x:row r="1636" ht="18" customHeight="1"/>
    <x:row r="1637" ht="18" customHeight="1"/>
    <x:row r="1638" ht="18" customHeight="1"/>
    <x:row r="1639" ht="18" customHeight="1"/>
    <x:row r="1640" ht="18" customHeight="1"/>
    <x:row r="1641" ht="18" customHeight="1"/>
    <x:row r="1642" ht="18" customHeight="1"/>
    <x:row r="1643" ht="18" customHeight="1"/>
    <x:row r="1644" ht="18" customHeight="1"/>
    <x:row r="1645" ht="18" customHeight="1"/>
    <x:row r="1646" ht="18" customHeight="1"/>
    <x:row r="1647" ht="18" customHeight="1"/>
    <x:row r="1648" ht="18" customHeight="1"/>
    <x:row r="1649" ht="18" customHeight="1"/>
    <x:row r="1650" ht="18" customHeight="1"/>
    <x:row r="1651" ht="18" customHeight="1"/>
    <x:row r="1652" ht="18" customHeight="1"/>
    <x:row r="1653" ht="18" customHeight="1"/>
    <x:row r="1654" ht="18" customHeight="1"/>
    <x:row r="1655" ht="18" customHeight="1"/>
    <x:row r="1656" ht="18" customHeight="1"/>
    <x:row r="1657" ht="18" customHeight="1"/>
    <x:row r="1658" ht="18" customHeight="1"/>
    <x:row r="1659" ht="18" customHeight="1"/>
    <x:row r="1660" ht="18" customHeight="1"/>
    <x:row r="1661" ht="18" customHeight="1"/>
    <x:row r="1662" ht="18" customHeight="1"/>
    <x:row r="1663" ht="18" customHeight="1"/>
    <x:row r="1664" ht="18" customHeight="1"/>
    <x:row r="1665" ht="18" customHeight="1"/>
    <x:row r="1666" ht="18" customHeight="1"/>
    <x:row r="1667" ht="18" customHeight="1"/>
    <x:row r="1668" ht="18" customHeight="1"/>
    <x:row r="1669" ht="18" customHeight="1"/>
    <x:row r="1670" ht="18" customHeight="1"/>
    <x:row r="1671" ht="18" customHeight="1"/>
    <x:row r="1672" ht="18" customHeight="1"/>
    <x:row r="1673" ht="18" customHeight="1"/>
    <x:row r="1674" ht="18" customHeight="1"/>
    <x:row r="1675" ht="18" customHeight="1"/>
    <x:row r="1676" ht="18" customHeight="1"/>
    <x:row r="1677" ht="18" customHeight="1"/>
    <x:row r="1678" ht="18" customHeight="1"/>
    <x:row r="1679" ht="18" customHeight="1"/>
    <x:row r="1680" ht="18" customHeight="1"/>
    <x:row r="1681" ht="18" customHeight="1"/>
    <x:row r="1682" ht="18" customHeight="1"/>
    <x:row r="1683" ht="18" customHeight="1"/>
    <x:row r="1684" ht="18" customHeight="1"/>
    <x:row r="1685" ht="18" customHeight="1"/>
    <x:row r="1686" ht="18" customHeight="1"/>
    <x:row r="1687" ht="18" customHeight="1"/>
    <x:row r="1688" ht="18" customHeight="1"/>
    <x:row r="1689" ht="18" customHeight="1"/>
    <x:row r="1690" ht="18" customHeight="1"/>
    <x:row r="1691" ht="18" customHeight="1"/>
    <x:row r="1692" ht="18" customHeight="1"/>
    <x:row r="1693" ht="18" customHeight="1"/>
    <x:row r="1694" ht="18" customHeight="1"/>
    <x:row r="1695" ht="18" customHeight="1"/>
    <x:row r="1696" ht="18" customHeight="1"/>
    <x:row r="1697" ht="18" customHeight="1"/>
    <x:row r="1698" ht="18" customHeight="1"/>
    <x:row r="1699" ht="18" customHeight="1"/>
    <x:row r="1700" ht="18" customHeight="1"/>
    <x:row r="1701" ht="18" customHeight="1"/>
    <x:row r="1702" ht="18" customHeight="1"/>
    <x:row r="1703" ht="18" customHeight="1"/>
    <x:row r="1704" ht="18" customHeight="1"/>
    <x:row r="1705" ht="18" customHeight="1"/>
    <x:row r="1706" ht="18" customHeight="1"/>
    <x:row r="1707" ht="18" customHeight="1"/>
    <x:row r="1708" ht="18" customHeight="1"/>
    <x:row r="1709" ht="18" customHeight="1"/>
    <x:row r="1710" ht="18" customHeight="1"/>
    <x:row r="1711" ht="18" customHeight="1"/>
    <x:row r="1712" ht="18" customHeight="1"/>
    <x:row r="1713" ht="18" customHeight="1"/>
    <x:row r="1714" ht="18" customHeight="1"/>
    <x:row r="1715" ht="18" customHeight="1"/>
    <x:row r="1716" ht="18" customHeight="1"/>
    <x:row r="1717" ht="18" customHeight="1"/>
    <x:row r="1718" ht="18" customHeight="1"/>
    <x:row r="1719" ht="18" customHeight="1"/>
    <x:row r="1720" ht="18" customHeight="1"/>
    <x:row r="1721" ht="18" customHeight="1"/>
    <x:row r="1722" ht="18" customHeight="1"/>
    <x:row r="1723" ht="18" customHeight="1"/>
    <x:row r="1724" ht="18" customHeight="1"/>
    <x:row r="1725" ht="18" customHeight="1"/>
    <x:row r="1726" ht="18" customHeight="1"/>
    <x:row r="1727" ht="18" customHeight="1"/>
    <x:row r="1728" ht="18" customHeight="1"/>
    <x:row r="1729" ht="18" customHeight="1"/>
    <x:row r="1730" ht="18" customHeight="1"/>
    <x:row r="1731" ht="18" customHeight="1"/>
    <x:row r="1732" ht="18" customHeight="1"/>
    <x:row r="1733" ht="18" customHeight="1"/>
    <x:row r="1734" ht="18" customHeight="1"/>
    <x:row r="1735" ht="18" customHeight="1"/>
    <x:row r="1736" ht="18" customHeight="1"/>
    <x:row r="1737" ht="18" customHeight="1"/>
    <x:row r="1738" ht="18" customHeight="1"/>
    <x:row r="1739" ht="18" customHeight="1"/>
    <x:row r="1740" ht="18" customHeight="1"/>
    <x:row r="1741" ht="18" customHeight="1"/>
    <x:row r="1742" ht="18" customHeight="1"/>
    <x:row r="1743" ht="18" customHeight="1"/>
    <x:row r="1744" ht="18" customHeight="1"/>
    <x:row r="1745" ht="18" customHeight="1"/>
    <x:row r="1746" ht="18" customHeight="1"/>
    <x:row r="1747" ht="18" customHeight="1"/>
    <x:row r="1748" ht="18" customHeight="1"/>
    <x:row r="1749" ht="18" customHeight="1"/>
    <x:row r="1750" ht="18" customHeight="1"/>
    <x:row r="1751" ht="18" customHeight="1"/>
    <x:row r="1752" ht="18" customHeight="1"/>
    <x:row r="1753" ht="18" customHeight="1"/>
    <x:row r="1754" ht="18" customHeight="1"/>
    <x:row r="1755" ht="18" customHeight="1"/>
    <x:row r="1756" ht="18" customHeight="1"/>
    <x:row r="1757" ht="18" customHeight="1"/>
    <x:row r="1758" ht="18" customHeight="1"/>
    <x:row r="1759" ht="18" customHeight="1"/>
    <x:row r="1760" ht="18" customHeight="1"/>
    <x:row r="1761" ht="18" customHeight="1"/>
    <x:row r="1762" ht="18" customHeight="1"/>
    <x:row r="1763" ht="18" customHeight="1"/>
    <x:row r="1764" ht="18" customHeight="1"/>
    <x:row r="1765" ht="18" customHeight="1"/>
    <x:row r="1766" ht="18" customHeight="1"/>
    <x:row r="1767" ht="18" customHeight="1"/>
    <x:row r="1768" ht="18" customHeight="1"/>
    <x:row r="1769" ht="18" customHeight="1"/>
    <x:row r="1770" ht="18" customHeight="1"/>
    <x:row r="1771" ht="18" customHeight="1"/>
    <x:row r="1772" ht="18" customHeight="1"/>
    <x:row r="1773" ht="18" customHeight="1"/>
    <x:row r="1774" ht="18" customHeight="1"/>
    <x:row r="1775" ht="18" customHeight="1"/>
    <x:row r="1776" ht="18" customHeight="1"/>
    <x:row r="1777" ht="18" customHeight="1"/>
    <x:row r="1778" ht="18" customHeight="1"/>
    <x:row r="1779" ht="18" customHeight="1"/>
    <x:row r="1780" ht="18" customHeight="1"/>
    <x:row r="1781" ht="18" customHeight="1"/>
    <x:row r="1782" ht="18" customHeight="1"/>
    <x:row r="1783" ht="18" customHeight="1"/>
    <x:row r="1784" ht="18" customHeight="1"/>
    <x:row r="1785" ht="18" customHeight="1"/>
    <x:row r="1786" ht="18" customHeight="1"/>
    <x:row r="1787" ht="18" customHeight="1"/>
    <x:row r="1788" ht="18" customHeight="1"/>
    <x:row r="1789" ht="18" customHeight="1"/>
    <x:row r="1790" ht="18" customHeight="1"/>
    <x:row r="1791" ht="18" customHeight="1"/>
    <x:row r="1792" ht="18" customHeight="1"/>
    <x:row r="1793" ht="18" customHeight="1"/>
    <x:row r="1794" ht="18" customHeight="1"/>
    <x:row r="1795" ht="18" customHeight="1"/>
    <x:row r="1796" ht="18" customHeight="1"/>
    <x:row r="1797" ht="18" customHeight="1"/>
    <x:row r="1798" ht="18" customHeight="1"/>
    <x:row r="1799" ht="18" customHeight="1"/>
    <x:row r="1800" ht="18" customHeight="1"/>
    <x:row r="1801" ht="18" customHeight="1"/>
    <x:row r="1802" ht="18" customHeight="1"/>
    <x:row r="1803" ht="18" customHeight="1"/>
    <x:row r="1804" ht="18" customHeight="1"/>
    <x:row r="1805" ht="18" customHeight="1"/>
    <x:row r="1806" ht="18" customHeight="1"/>
    <x:row r="1807" ht="18" customHeight="1"/>
    <x:row r="1808" ht="18" customHeight="1"/>
    <x:row r="1809" ht="18" customHeight="1"/>
    <x:row r="1810" ht="18" customHeight="1"/>
    <x:row r="1811" ht="18" customHeight="1"/>
    <x:row r="1812" ht="18" customHeight="1"/>
    <x:row r="1813" ht="18" customHeight="1"/>
    <x:row r="1814" ht="18" customHeight="1"/>
    <x:row r="1815" ht="18" customHeight="1"/>
    <x:row r="1816" ht="18" customHeight="1"/>
    <x:row r="1817" ht="18" customHeight="1"/>
    <x:row r="1818" ht="18" customHeight="1"/>
    <x:row r="1819" ht="18" customHeight="1"/>
    <x:row r="1820" ht="18" customHeight="1"/>
    <x:row r="1821" ht="18" customHeight="1"/>
    <x:row r="1822" ht="18" customHeight="1"/>
    <x:row r="1823" ht="18" customHeight="1"/>
    <x:row r="1824" ht="18" customHeight="1"/>
    <x:row r="1825" ht="18" customHeight="1"/>
    <x:row r="1826" ht="18" customHeight="1"/>
    <x:row r="1827" ht="18" customHeight="1"/>
    <x:row r="1828" ht="18" customHeight="1"/>
    <x:row r="1829" ht="18" customHeight="1"/>
    <x:row r="1830" ht="18" customHeight="1"/>
    <x:row r="1831" ht="18" customHeight="1"/>
    <x:row r="1832" ht="18" customHeight="1"/>
    <x:row r="1833" ht="18" customHeight="1"/>
    <x:row r="1834" ht="18" customHeight="1"/>
    <x:row r="1835" ht="18" customHeight="1"/>
    <x:row r="1836" ht="18" customHeight="1"/>
    <x:row r="1837" ht="18" customHeight="1"/>
    <x:row r="1838" ht="18" customHeight="1"/>
    <x:row r="1839" ht="18" customHeight="1"/>
    <x:row r="1840" ht="18" customHeight="1"/>
    <x:row r="1841" ht="18" customHeight="1"/>
    <x:row r="1842" ht="18" customHeight="1"/>
    <x:row r="1843" ht="18" customHeight="1"/>
    <x:row r="1844" ht="18" customHeight="1"/>
    <x:row r="1845" ht="18" customHeight="1"/>
    <x:row r="1846" ht="18" customHeight="1"/>
    <x:row r="1847" ht="18" customHeight="1"/>
    <x:row r="1848" ht="18" customHeight="1"/>
    <x:row r="1849" ht="18" customHeight="1"/>
    <x:row r="1850" ht="18" customHeight="1"/>
    <x:row r="1851" ht="18" customHeight="1"/>
    <x:row r="1852" ht="18" customHeight="1"/>
    <x:row r="1853" ht="18" customHeight="1"/>
    <x:row r="1854" ht="18" customHeight="1"/>
    <x:row r="1855" ht="18" customHeight="1"/>
    <x:row r="1856" ht="18" customHeight="1"/>
    <x:row r="1857" ht="18" customHeight="1"/>
    <x:row r="1858" ht="18" customHeight="1"/>
    <x:row r="1859" ht="18" customHeight="1"/>
    <x:row r="1860" ht="18" customHeight="1"/>
    <x:row r="1861" ht="18" customHeight="1"/>
    <x:row r="1862" ht="18" customHeight="1"/>
    <x:row r="1863" ht="18" customHeight="1"/>
    <x:row r="1864" ht="18" customHeight="1"/>
    <x:row r="1865" ht="18" customHeight="1"/>
    <x:row r="1866" ht="18" customHeight="1"/>
    <x:row r="1867" ht="18" customHeight="1"/>
    <x:row r="1868" ht="18" customHeight="1"/>
    <x:row r="1869" ht="18" customHeight="1"/>
    <x:row r="1870" ht="18" customHeight="1"/>
    <x:row r="1871" ht="18" customHeight="1"/>
    <x:row r="1872" ht="18" customHeight="1"/>
    <x:row r="1873" ht="18" customHeight="1"/>
    <x:row r="1874" ht="18" customHeight="1"/>
    <x:row r="1875" ht="18" customHeight="1"/>
    <x:row r="1876" ht="18" customHeight="1"/>
    <x:row r="1877" ht="18" customHeight="1"/>
    <x:row r="1878" ht="18" customHeight="1"/>
    <x:row r="1879" ht="18" customHeight="1"/>
    <x:row r="1880" ht="18" customHeight="1"/>
    <x:row r="1881" ht="18" customHeight="1"/>
    <x:row r="1882" ht="18" customHeight="1"/>
    <x:row r="1883" ht="18" customHeight="1"/>
    <x:row r="1884" ht="18" customHeight="1"/>
    <x:row r="1885" ht="18" customHeight="1"/>
    <x:row r="1886" ht="18" customHeight="1"/>
    <x:row r="1887" ht="18" customHeight="1"/>
    <x:row r="1888" ht="18" customHeight="1"/>
    <x:row r="1889" ht="18" customHeight="1"/>
    <x:row r="1890" ht="18" customHeight="1"/>
    <x:row r="1891" ht="18" customHeight="1"/>
    <x:row r="1892" ht="18" customHeight="1"/>
    <x:row r="1893" ht="18" customHeight="1"/>
    <x:row r="1894" ht="18" customHeight="1"/>
    <x:row r="1895" ht="18" customHeight="1"/>
    <x:row r="1896" ht="18" customHeight="1"/>
    <x:row r="1897" ht="18" customHeight="1"/>
    <x:row r="1898" ht="18" customHeight="1"/>
    <x:row r="1899" ht="18" customHeight="1"/>
    <x:row r="1900" ht="18" customHeight="1"/>
    <x:row r="1901" ht="18" customHeight="1"/>
    <x:row r="1902" ht="18" customHeight="1"/>
    <x:row r="1903" ht="18" customHeight="1"/>
    <x:row r="1904" ht="18" customHeight="1"/>
    <x:row r="1905" ht="18" customHeight="1"/>
    <x:row r="1906" ht="18" customHeight="1"/>
    <x:row r="1907" ht="18" customHeight="1"/>
    <x:row r="1908" ht="18" customHeight="1"/>
    <x:row r="1909" ht="18" customHeight="1"/>
    <x:row r="1910" ht="18" customHeight="1"/>
    <x:row r="1911" ht="18" customHeight="1"/>
    <x:row r="1912" ht="18" customHeight="1"/>
    <x:row r="1913" ht="18" customHeight="1"/>
    <x:row r="1914" ht="18" customHeight="1"/>
    <x:row r="1915" ht="18" customHeight="1"/>
    <x:row r="1916" ht="18" customHeight="1"/>
    <x:row r="1917" ht="18" customHeight="1"/>
    <x:row r="1918" ht="18" customHeight="1"/>
    <x:row r="1919" ht="18" customHeight="1"/>
    <x:row r="1920" ht="18" customHeight="1"/>
    <x:row r="1921" ht="18" customHeight="1"/>
    <x:row r="1922" ht="18" customHeight="1"/>
    <x:row r="1923" ht="18" customHeight="1"/>
    <x:row r="1924" ht="18" customHeight="1"/>
    <x:row r="1925" ht="18" customHeight="1"/>
    <x:row r="1926" ht="18" customHeight="1"/>
    <x:row r="1927" ht="18" customHeight="1"/>
    <x:row r="1928" ht="18" customHeight="1"/>
    <x:row r="1929" ht="18" customHeight="1"/>
    <x:row r="1930" ht="18" customHeight="1"/>
    <x:row r="1931" ht="18" customHeight="1"/>
    <x:row r="1932" ht="18" customHeight="1"/>
    <x:row r="1933" ht="18" customHeight="1"/>
    <x:row r="1934" ht="18" customHeight="1"/>
    <x:row r="1935" ht="18" customHeight="1"/>
    <x:row r="1936" ht="18" customHeight="1"/>
    <x:row r="1937" ht="18" customHeight="1"/>
    <x:row r="1938" ht="18" customHeight="1"/>
    <x:row r="1939" ht="18" customHeight="1"/>
    <x:row r="1940" ht="18" customHeight="1"/>
    <x:row r="1941" ht="18" customHeight="1"/>
    <x:row r="1942" ht="18" customHeight="1"/>
    <x:row r="1943" ht="18" customHeight="1"/>
    <x:row r="1944" ht="18" customHeight="1"/>
    <x:row r="1945" ht="18" customHeight="1"/>
    <x:row r="1946" ht="18" customHeight="1"/>
    <x:row r="1947" ht="18" customHeight="1"/>
    <x:row r="1948" ht="18" customHeight="1"/>
    <x:row r="1949" ht="18" customHeight="1"/>
    <x:row r="1950" ht="18" customHeight="1"/>
    <x:row r="1951" ht="18" customHeight="1"/>
    <x:row r="1952" ht="18" customHeight="1"/>
    <x:row r="1953" ht="18" customHeight="1"/>
    <x:row r="1954" ht="18" customHeight="1"/>
    <x:row r="1955" ht="18" customHeight="1"/>
    <x:row r="1956" ht="18" customHeight="1"/>
    <x:row r="1957" ht="18" customHeight="1"/>
    <x:row r="1958" ht="18" customHeight="1"/>
    <x:row r="1959" ht="18" customHeight="1"/>
    <x:row r="1960" ht="18" customHeight="1"/>
    <x:row r="1961" ht="18" customHeight="1"/>
    <x:row r="1962" ht="18" customHeight="1"/>
    <x:row r="1963" ht="18" customHeight="1"/>
    <x:row r="1964" ht="18" customHeight="1"/>
    <x:row r="1965" ht="18" customHeight="1"/>
    <x:row r="1966" ht="18" customHeight="1"/>
    <x:row r="1967" ht="18" customHeight="1"/>
    <x:row r="1968" ht="18" customHeight="1"/>
    <x:row r="1969" ht="18" customHeight="1"/>
    <x:row r="1970" ht="18" customHeight="1"/>
    <x:row r="1971" ht="18" customHeight="1"/>
    <x:row r="1972" ht="18" customHeight="1"/>
    <x:row r="1973" ht="18" customHeight="1"/>
    <x:row r="1974" ht="18" customHeight="1"/>
    <x:row r="1975" ht="18" customHeight="1"/>
    <x:row r="1976" ht="18" customHeight="1"/>
    <x:row r="1977" ht="18" customHeight="1"/>
    <x:row r="1978" ht="18" customHeight="1"/>
    <x:row r="1979" ht="18" customHeight="1"/>
    <x:row r="1980" ht="18" customHeight="1"/>
    <x:row r="1981" ht="18" customHeight="1"/>
    <x:row r="1982" ht="18" customHeight="1"/>
    <x:row r="1983" ht="18" customHeight="1"/>
    <x:row r="1984" ht="18" customHeight="1"/>
    <x:row r="1985" ht="18" customHeight="1"/>
    <x:row r="1986" ht="18" customHeight="1"/>
    <x:row r="1987" ht="18" customHeight="1"/>
    <x:row r="1988" ht="18" customHeight="1"/>
    <x:row r="1989" ht="18" customHeight="1"/>
    <x:row r="1990" ht="18" customHeight="1"/>
    <x:row r="1991" ht="18" customHeight="1"/>
    <x:row r="1992" ht="18" customHeight="1"/>
    <x:row r="1993" ht="18" customHeight="1"/>
    <x:row r="1994" ht="18" customHeight="1"/>
    <x:row r="1995" ht="18" customHeight="1"/>
    <x:row r="1996" ht="18" customHeight="1"/>
    <x:row r="1997" ht="18" customHeight="1"/>
    <x:row r="1998" ht="18" customHeight="1"/>
    <x:row r="1999" ht="18" customHeight="1"/>
    <x:row r="2000" ht="18" customHeight="1"/>
  </x:sheetData>
  <x:pageMargins left="0.7" right="0.7" top="0.75" bottom="0.75" header="0.3" footer="0.3"/>
</x:worksheet>
</file>