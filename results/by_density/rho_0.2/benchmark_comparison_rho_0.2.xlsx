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m053250\Downloads\"/>
    </mc:Choice>
  </mc:AlternateContent>
  <xr:revisionPtr revIDLastSave="0" documentId="13_ncr:1_{4CD7C62D-5699-4B99-9449-3FFDC485B395}" xr6:coauthVersionLast="47" xr6:coauthVersionMax="47" xr10:uidLastSave="{00000000-0000-0000-0000-000000000000}"/>
  <bookViews>
    <workbookView xWindow="-19310" yWindow="-840" windowWidth="19420" windowHeight="11500" activeTab="2" xr2:uid="{00000000-000D-0000-FFFF-FFFF00000000}"/>
  </bookViews>
  <sheets>
    <sheet name="Summary" sheetId="1" r:id="rId1"/>
    <sheet name="By_n_items" sheetId="2" r:id="rId2"/>
    <sheet name="Comparison" sheetId="3" r:id="rId3"/>
    <sheet name="Unmatched_Check" sheetId="4" r:id="rId4"/>
    <sheet name="Calculation_Not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82" i="3" l="1"/>
  <c r="S482" i="3" a="1"/>
  <c r="S482" i="3" s="1"/>
  <c r="T482" i="3" a="1"/>
  <c r="T482" i="3" s="1"/>
  <c r="M481" i="3"/>
  <c r="W480" i="3"/>
  <c r="U480" i="3"/>
  <c r="T480" i="3"/>
  <c r="S480" i="3"/>
  <c r="R480" i="3"/>
  <c r="M480" i="3"/>
  <c r="Y479" i="3"/>
  <c r="X479" i="3"/>
  <c r="W479" i="3"/>
  <c r="M479" i="3"/>
  <c r="Y478" i="3"/>
  <c r="X478" i="3"/>
  <c r="W478" i="3"/>
  <c r="V478" i="3"/>
  <c r="U478" i="3"/>
  <c r="T478" i="3"/>
  <c r="Q478" i="3"/>
  <c r="P478" i="3"/>
  <c r="O478" i="3"/>
  <c r="N478" i="3"/>
  <c r="M478" i="3"/>
  <c r="S478" i="3" s="1"/>
  <c r="M477" i="3"/>
  <c r="U476" i="3"/>
  <c r="M476" i="3"/>
  <c r="Y475" i="3"/>
  <c r="X475" i="3"/>
  <c r="W475" i="3"/>
  <c r="V475" i="3"/>
  <c r="U475" i="3"/>
  <c r="T475" i="3"/>
  <c r="S475" i="3"/>
  <c r="R475" i="3"/>
  <c r="Q475" i="3"/>
  <c r="P475" i="3"/>
  <c r="O475" i="3"/>
  <c r="M475" i="3"/>
  <c r="N475" i="3" s="1"/>
  <c r="Y474" i="3"/>
  <c r="X474" i="3"/>
  <c r="W474" i="3"/>
  <c r="V474" i="3"/>
  <c r="T474" i="3"/>
  <c r="S474" i="3"/>
  <c r="R474" i="3"/>
  <c r="Q474" i="3"/>
  <c r="P474" i="3"/>
  <c r="O474" i="3"/>
  <c r="N474" i="3"/>
  <c r="M474" i="3"/>
  <c r="U474" i="3" s="1"/>
  <c r="P473" i="3"/>
  <c r="O473" i="3"/>
  <c r="M473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Y472" i="3" s="1"/>
  <c r="M471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M469" i="3"/>
  <c r="P469" i="3" s="1"/>
  <c r="Y468" i="3"/>
  <c r="X468" i="3"/>
  <c r="W468" i="3"/>
  <c r="V468" i="3"/>
  <c r="U468" i="3"/>
  <c r="T468" i="3"/>
  <c r="S468" i="3"/>
  <c r="R468" i="3"/>
  <c r="O468" i="3"/>
  <c r="N468" i="3"/>
  <c r="M468" i="3"/>
  <c r="M467" i="3"/>
  <c r="Y466" i="3"/>
  <c r="X466" i="3"/>
  <c r="W466" i="3"/>
  <c r="V466" i="3"/>
  <c r="S466" i="3"/>
  <c r="R466" i="3"/>
  <c r="Q466" i="3"/>
  <c r="P466" i="3"/>
  <c r="N466" i="3"/>
  <c r="M466" i="3"/>
  <c r="M465" i="3"/>
  <c r="W464" i="3"/>
  <c r="V464" i="3"/>
  <c r="U464" i="3"/>
  <c r="T464" i="3"/>
  <c r="R464" i="3"/>
  <c r="Q464" i="3"/>
  <c r="P464" i="3"/>
  <c r="M464" i="3"/>
  <c r="T463" i="3"/>
  <c r="S463" i="3"/>
  <c r="Q463" i="3"/>
  <c r="M463" i="3"/>
  <c r="Y462" i="3"/>
  <c r="X462" i="3"/>
  <c r="V462" i="3"/>
  <c r="U462" i="3"/>
  <c r="T462" i="3"/>
  <c r="S462" i="3"/>
  <c r="R462" i="3"/>
  <c r="Q462" i="3"/>
  <c r="P462" i="3"/>
  <c r="N462" i="3"/>
  <c r="M462" i="3"/>
  <c r="W462" i="3" s="1"/>
  <c r="Q461" i="3"/>
  <c r="O461" i="3"/>
  <c r="M461" i="3"/>
  <c r="Y460" i="3"/>
  <c r="X460" i="3"/>
  <c r="W460" i="3"/>
  <c r="V460" i="3"/>
  <c r="U460" i="3"/>
  <c r="T460" i="3"/>
  <c r="S460" i="3"/>
  <c r="R460" i="3"/>
  <c r="M460" i="3"/>
  <c r="Q460" i="3" s="1"/>
  <c r="U459" i="3"/>
  <c r="T459" i="3"/>
  <c r="S459" i="3"/>
  <c r="Q459" i="3"/>
  <c r="P459" i="3"/>
  <c r="O459" i="3"/>
  <c r="M459" i="3"/>
  <c r="Y458" i="3"/>
  <c r="X458" i="3"/>
  <c r="W458" i="3"/>
  <c r="V458" i="3"/>
  <c r="U458" i="3"/>
  <c r="T458" i="3"/>
  <c r="S458" i="3"/>
  <c r="R458" i="3"/>
  <c r="P458" i="3"/>
  <c r="M458" i="3"/>
  <c r="S457" i="3"/>
  <c r="Q457" i="3"/>
  <c r="P457" i="3"/>
  <c r="O457" i="3"/>
  <c r="N457" i="3"/>
  <c r="M457" i="3"/>
  <c r="Y456" i="3"/>
  <c r="X456" i="3"/>
  <c r="W456" i="3"/>
  <c r="V456" i="3"/>
  <c r="U456" i="3"/>
  <c r="T456" i="3"/>
  <c r="R456" i="3"/>
  <c r="Q456" i="3"/>
  <c r="P456" i="3"/>
  <c r="O456" i="3"/>
  <c r="N456" i="3"/>
  <c r="M456" i="3"/>
  <c r="S456" i="3" s="1"/>
  <c r="U455" i="3"/>
  <c r="Q455" i="3"/>
  <c r="P455" i="3"/>
  <c r="O455" i="3"/>
  <c r="M455" i="3"/>
  <c r="Y454" i="3"/>
  <c r="X454" i="3"/>
  <c r="U454" i="3"/>
  <c r="R454" i="3"/>
  <c r="P454" i="3"/>
  <c r="O454" i="3"/>
  <c r="N454" i="3"/>
  <c r="M454" i="3"/>
  <c r="Y453" i="3"/>
  <c r="X453" i="3"/>
  <c r="W453" i="3"/>
  <c r="V453" i="3"/>
  <c r="U453" i="3"/>
  <c r="T453" i="3"/>
  <c r="S453" i="3"/>
  <c r="R453" i="3"/>
  <c r="Q453" i="3"/>
  <c r="P453" i="3"/>
  <c r="O453" i="3"/>
  <c r="M453" i="3"/>
  <c r="N453" i="3" s="1"/>
  <c r="Y452" i="3"/>
  <c r="X452" i="3"/>
  <c r="W452" i="3"/>
  <c r="Q452" i="3"/>
  <c r="N452" i="3"/>
  <c r="M452" i="3"/>
  <c r="Y451" i="3"/>
  <c r="M451" i="3"/>
  <c r="M450" i="3"/>
  <c r="X450" i="3" s="1"/>
  <c r="Y449" i="3"/>
  <c r="X449" i="3"/>
  <c r="W449" i="3"/>
  <c r="T449" i="3"/>
  <c r="S449" i="3"/>
  <c r="R449" i="3"/>
  <c r="Q449" i="3"/>
  <c r="O449" i="3"/>
  <c r="N449" i="3"/>
  <c r="M449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X447" i="3"/>
  <c r="W447" i="3"/>
  <c r="V447" i="3"/>
  <c r="U447" i="3"/>
  <c r="S447" i="3"/>
  <c r="R447" i="3"/>
  <c r="Q447" i="3"/>
  <c r="P447" i="3"/>
  <c r="N447" i="3"/>
  <c r="M447" i="3"/>
  <c r="M446" i="3"/>
  <c r="Y445" i="3"/>
  <c r="W445" i="3"/>
  <c r="V445" i="3"/>
  <c r="U445" i="3"/>
  <c r="T445" i="3"/>
  <c r="S445" i="3"/>
  <c r="R445" i="3"/>
  <c r="Q445" i="3"/>
  <c r="P445" i="3"/>
  <c r="O445" i="3"/>
  <c r="N445" i="3"/>
  <c r="M445" i="3"/>
  <c r="X445" i="3" s="1"/>
  <c r="W444" i="3"/>
  <c r="Q444" i="3"/>
  <c r="N444" i="3"/>
  <c r="M444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V442" i="3"/>
  <c r="U442" i="3"/>
  <c r="Q442" i="3"/>
  <c r="P442" i="3"/>
  <c r="N442" i="3"/>
  <c r="M442" i="3"/>
  <c r="Y441" i="3"/>
  <c r="X441" i="3"/>
  <c r="W441" i="3"/>
  <c r="V441" i="3"/>
  <c r="U441" i="3"/>
  <c r="T441" i="3"/>
  <c r="S441" i="3"/>
  <c r="R441" i="3"/>
  <c r="Q441" i="3"/>
  <c r="N441" i="3"/>
  <c r="M441" i="3"/>
  <c r="N440" i="3"/>
  <c r="M440" i="3"/>
  <c r="Y439" i="3"/>
  <c r="X439" i="3"/>
  <c r="W439" i="3"/>
  <c r="V439" i="3"/>
  <c r="U439" i="3"/>
  <c r="R439" i="3"/>
  <c r="Q439" i="3"/>
  <c r="P439" i="3"/>
  <c r="O439" i="3"/>
  <c r="M439" i="3"/>
  <c r="M438" i="3"/>
  <c r="Y437" i="3"/>
  <c r="V437" i="3"/>
  <c r="U437" i="3"/>
  <c r="T437" i="3"/>
  <c r="S437" i="3"/>
  <c r="Q437" i="3"/>
  <c r="P437" i="3"/>
  <c r="O437" i="3"/>
  <c r="N437" i="3"/>
  <c r="M437" i="3"/>
  <c r="W436" i="3"/>
  <c r="R436" i="3"/>
  <c r="P436" i="3"/>
  <c r="M436" i="3"/>
  <c r="Y435" i="3"/>
  <c r="X435" i="3"/>
  <c r="W435" i="3"/>
  <c r="U435" i="3"/>
  <c r="T435" i="3"/>
  <c r="S435" i="3"/>
  <c r="R435" i="3"/>
  <c r="Q435" i="3"/>
  <c r="P435" i="3"/>
  <c r="M435" i="3"/>
  <c r="V435" i="3" s="1"/>
  <c r="Y434" i="3"/>
  <c r="X434" i="3"/>
  <c r="W434" i="3"/>
  <c r="V434" i="3"/>
  <c r="U434" i="3"/>
  <c r="T434" i="3"/>
  <c r="R434" i="3"/>
  <c r="Q434" i="3"/>
  <c r="P434" i="3"/>
  <c r="O434" i="3"/>
  <c r="N434" i="3"/>
  <c r="M434" i="3"/>
  <c r="S434" i="3" s="1"/>
  <c r="Y433" i="3"/>
  <c r="X433" i="3"/>
  <c r="W433" i="3"/>
  <c r="V433" i="3"/>
  <c r="U433" i="3"/>
  <c r="T433" i="3"/>
  <c r="S433" i="3"/>
  <c r="N433" i="3"/>
  <c r="M433" i="3"/>
  <c r="X432" i="3"/>
  <c r="T432" i="3"/>
  <c r="S432" i="3"/>
  <c r="O432" i="3"/>
  <c r="N432" i="3"/>
  <c r="M432" i="3"/>
  <c r="Y431" i="3"/>
  <c r="X431" i="3"/>
  <c r="W431" i="3"/>
  <c r="V431" i="3"/>
  <c r="U431" i="3"/>
  <c r="T431" i="3"/>
  <c r="S431" i="3"/>
  <c r="R431" i="3"/>
  <c r="Q431" i="3"/>
  <c r="P431" i="3"/>
  <c r="O431" i="3"/>
  <c r="M431" i="3"/>
  <c r="N431" i="3" s="1"/>
  <c r="M430" i="3"/>
  <c r="Y429" i="3"/>
  <c r="X429" i="3"/>
  <c r="W429" i="3"/>
  <c r="V429" i="3"/>
  <c r="P429" i="3"/>
  <c r="O429" i="3"/>
  <c r="N429" i="3"/>
  <c r="M429" i="3"/>
  <c r="Q428" i="3"/>
  <c r="M428" i="3"/>
  <c r="Y427" i="3"/>
  <c r="X427" i="3"/>
  <c r="O427" i="3"/>
  <c r="N427" i="3"/>
  <c r="M427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Q425" i="3"/>
  <c r="M425" i="3"/>
  <c r="W424" i="3"/>
  <c r="V424" i="3"/>
  <c r="U424" i="3"/>
  <c r="M424" i="3"/>
  <c r="Y423" i="3"/>
  <c r="W423" i="3"/>
  <c r="S423" i="3"/>
  <c r="R423" i="3"/>
  <c r="Q423" i="3"/>
  <c r="P423" i="3"/>
  <c r="N423" i="3"/>
  <c r="M423" i="3"/>
  <c r="Y422" i="3"/>
  <c r="X422" i="3"/>
  <c r="W422" i="3"/>
  <c r="V422" i="3"/>
  <c r="S422" i="3"/>
  <c r="R422" i="3"/>
  <c r="Q422" i="3"/>
  <c r="N422" i="3"/>
  <c r="M422" i="3"/>
  <c r="M421" i="3"/>
  <c r="W420" i="3"/>
  <c r="V420" i="3"/>
  <c r="U420" i="3"/>
  <c r="T420" i="3"/>
  <c r="R420" i="3"/>
  <c r="Q420" i="3"/>
  <c r="P420" i="3"/>
  <c r="O420" i="3"/>
  <c r="N420" i="3"/>
  <c r="M420" i="3"/>
  <c r="N419" i="3"/>
  <c r="M419" i="3"/>
  <c r="Y418" i="3"/>
  <c r="X418" i="3"/>
  <c r="V418" i="3"/>
  <c r="U418" i="3"/>
  <c r="T418" i="3"/>
  <c r="S418" i="3"/>
  <c r="R418" i="3"/>
  <c r="Q418" i="3"/>
  <c r="O418" i="3"/>
  <c r="N418" i="3"/>
  <c r="M418" i="3"/>
  <c r="W418" i="3" s="1"/>
  <c r="M417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U415" i="3"/>
  <c r="T415" i="3"/>
  <c r="S415" i="3"/>
  <c r="P415" i="3"/>
  <c r="N415" i="3"/>
  <c r="M415" i="3"/>
  <c r="R414" i="3"/>
  <c r="P414" i="3"/>
  <c r="M414" i="3"/>
  <c r="U413" i="3"/>
  <c r="T413" i="3"/>
  <c r="S413" i="3"/>
  <c r="R413" i="3"/>
  <c r="Q413" i="3"/>
  <c r="P413" i="3"/>
  <c r="N413" i="3"/>
  <c r="M413" i="3"/>
  <c r="Y412" i="3"/>
  <c r="X412" i="3"/>
  <c r="W412" i="3"/>
  <c r="V412" i="3"/>
  <c r="U412" i="3"/>
  <c r="T412" i="3"/>
  <c r="R412" i="3"/>
  <c r="Q412" i="3"/>
  <c r="P412" i="3"/>
  <c r="O412" i="3"/>
  <c r="N412" i="3"/>
  <c r="M412" i="3"/>
  <c r="S412" i="3" s="1"/>
  <c r="X411" i="3"/>
  <c r="W411" i="3"/>
  <c r="V411" i="3"/>
  <c r="U411" i="3"/>
  <c r="T411" i="3"/>
  <c r="S411" i="3"/>
  <c r="R411" i="3"/>
  <c r="P411" i="3"/>
  <c r="N411" i="3"/>
  <c r="M411" i="3"/>
  <c r="Y411" i="3" s="1"/>
  <c r="Y410" i="3"/>
  <c r="X410" i="3"/>
  <c r="U410" i="3"/>
  <c r="T410" i="3"/>
  <c r="S410" i="3"/>
  <c r="R410" i="3"/>
  <c r="P410" i="3"/>
  <c r="M410" i="3"/>
  <c r="Y409" i="3"/>
  <c r="X409" i="3"/>
  <c r="W409" i="3"/>
  <c r="V409" i="3"/>
  <c r="U409" i="3"/>
  <c r="T409" i="3"/>
  <c r="S409" i="3"/>
  <c r="R409" i="3"/>
  <c r="Q409" i="3"/>
  <c r="P409" i="3"/>
  <c r="O409" i="3"/>
  <c r="M409" i="3"/>
  <c r="N409" i="3" s="1"/>
  <c r="Y408" i="3"/>
  <c r="W408" i="3"/>
  <c r="V408" i="3"/>
  <c r="M408" i="3"/>
  <c r="Y407" i="3"/>
  <c r="X407" i="3"/>
  <c r="W407" i="3"/>
  <c r="V407" i="3"/>
  <c r="U407" i="3"/>
  <c r="T407" i="3"/>
  <c r="S407" i="3"/>
  <c r="P407" i="3"/>
  <c r="O407" i="3"/>
  <c r="N407" i="3"/>
  <c r="M407" i="3"/>
  <c r="X406" i="3"/>
  <c r="S406" i="3"/>
  <c r="M406" i="3"/>
  <c r="T405" i="3"/>
  <c r="R405" i="3"/>
  <c r="Q405" i="3"/>
  <c r="O405" i="3"/>
  <c r="N405" i="3"/>
  <c r="M405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R403" i="3"/>
  <c r="Q403" i="3"/>
  <c r="P403" i="3"/>
  <c r="N403" i="3"/>
  <c r="M403" i="3"/>
  <c r="V402" i="3"/>
  <c r="M402" i="3"/>
  <c r="M401" i="3"/>
  <c r="N401" i="3" s="1"/>
  <c r="Y400" i="3"/>
  <c r="X400" i="3"/>
  <c r="Q400" i="3"/>
  <c r="N400" i="3"/>
  <c r="M400" i="3"/>
  <c r="Y399" i="3"/>
  <c r="X399" i="3"/>
  <c r="W399" i="3"/>
  <c r="V399" i="3"/>
  <c r="U399" i="3"/>
  <c r="T399" i="3"/>
  <c r="S399" i="3"/>
  <c r="R399" i="3"/>
  <c r="Q399" i="3"/>
  <c r="P399" i="3"/>
  <c r="M399" i="3"/>
  <c r="O399" i="3" s="1"/>
  <c r="W398" i="3"/>
  <c r="V398" i="3"/>
  <c r="Q398" i="3"/>
  <c r="P398" i="3"/>
  <c r="N398" i="3"/>
  <c r="M398" i="3"/>
  <c r="Y397" i="3"/>
  <c r="W397" i="3"/>
  <c r="V397" i="3"/>
  <c r="U397" i="3"/>
  <c r="T397" i="3"/>
  <c r="S397" i="3"/>
  <c r="R397" i="3"/>
  <c r="Q397" i="3"/>
  <c r="N397" i="3"/>
  <c r="M397" i="3"/>
  <c r="Y396" i="3"/>
  <c r="X396" i="3"/>
  <c r="V396" i="3"/>
  <c r="R396" i="3"/>
  <c r="Q396" i="3"/>
  <c r="P396" i="3"/>
  <c r="O396" i="3"/>
  <c r="N396" i="3"/>
  <c r="M396" i="3"/>
  <c r="U395" i="3"/>
  <c r="R395" i="3"/>
  <c r="Q395" i="3"/>
  <c r="M395" i="3"/>
  <c r="Y394" i="3"/>
  <c r="X394" i="3"/>
  <c r="W394" i="3"/>
  <c r="S394" i="3"/>
  <c r="R394" i="3"/>
  <c r="Q394" i="3"/>
  <c r="P394" i="3"/>
  <c r="O394" i="3"/>
  <c r="M394" i="3"/>
  <c r="P393" i="3"/>
  <c r="O393" i="3"/>
  <c r="M393" i="3"/>
  <c r="Y392" i="3"/>
  <c r="X392" i="3"/>
  <c r="T392" i="3"/>
  <c r="S392" i="3"/>
  <c r="R392" i="3"/>
  <c r="Q392" i="3"/>
  <c r="P392" i="3"/>
  <c r="M392" i="3"/>
  <c r="U391" i="3"/>
  <c r="M391" i="3"/>
  <c r="Y390" i="3"/>
  <c r="X390" i="3"/>
  <c r="W390" i="3"/>
  <c r="V390" i="3"/>
  <c r="U390" i="3"/>
  <c r="T390" i="3"/>
  <c r="R390" i="3"/>
  <c r="Q390" i="3"/>
  <c r="P390" i="3"/>
  <c r="O390" i="3"/>
  <c r="N390" i="3"/>
  <c r="M390" i="3"/>
  <c r="S390" i="3" s="1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P388" i="3"/>
  <c r="O388" i="3"/>
  <c r="N388" i="3"/>
  <c r="M388" i="3"/>
  <c r="Y387" i="3"/>
  <c r="X387" i="3"/>
  <c r="W387" i="3"/>
  <c r="V387" i="3"/>
  <c r="U387" i="3"/>
  <c r="T387" i="3"/>
  <c r="S387" i="3"/>
  <c r="R387" i="3"/>
  <c r="Q387" i="3"/>
  <c r="P387" i="3"/>
  <c r="O387" i="3"/>
  <c r="M387" i="3"/>
  <c r="N387" i="3" s="1"/>
  <c r="R386" i="3"/>
  <c r="M386" i="3"/>
  <c r="Y385" i="3"/>
  <c r="X385" i="3"/>
  <c r="W385" i="3"/>
  <c r="V385" i="3"/>
  <c r="U385" i="3"/>
  <c r="T385" i="3"/>
  <c r="S385" i="3"/>
  <c r="P385" i="3"/>
  <c r="M385" i="3"/>
  <c r="U384" i="3"/>
  <c r="S384" i="3"/>
  <c r="R384" i="3"/>
  <c r="M384" i="3"/>
  <c r="Y383" i="3"/>
  <c r="X383" i="3"/>
  <c r="W383" i="3"/>
  <c r="T383" i="3"/>
  <c r="S383" i="3"/>
  <c r="R383" i="3"/>
  <c r="Q383" i="3"/>
  <c r="M383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X381" i="3"/>
  <c r="W381" i="3"/>
  <c r="V381" i="3"/>
  <c r="U381" i="3"/>
  <c r="M381" i="3"/>
  <c r="R380" i="3"/>
  <c r="M380" i="3"/>
  <c r="M379" i="3"/>
  <c r="X378" i="3"/>
  <c r="V378" i="3"/>
  <c r="S378" i="3"/>
  <c r="R378" i="3"/>
  <c r="Q378" i="3"/>
  <c r="M378" i="3"/>
  <c r="Y377" i="3"/>
  <c r="W377" i="3"/>
  <c r="V377" i="3"/>
  <c r="U377" i="3"/>
  <c r="T377" i="3"/>
  <c r="P377" i="3"/>
  <c r="N377" i="3"/>
  <c r="M377" i="3"/>
  <c r="M376" i="3"/>
  <c r="M375" i="3"/>
  <c r="Y374" i="3"/>
  <c r="X374" i="3"/>
  <c r="V374" i="3"/>
  <c r="U374" i="3"/>
  <c r="S374" i="3"/>
  <c r="Q374" i="3"/>
  <c r="O374" i="3"/>
  <c r="N374" i="3"/>
  <c r="M374" i="3"/>
  <c r="M373" i="3"/>
  <c r="V372" i="3"/>
  <c r="T372" i="3"/>
  <c r="S372" i="3"/>
  <c r="O372" i="3"/>
  <c r="M372" i="3"/>
  <c r="V371" i="3"/>
  <c r="U371" i="3"/>
  <c r="P371" i="3"/>
  <c r="O371" i="3"/>
  <c r="N371" i="3"/>
  <c r="M371" i="3"/>
  <c r="Y370" i="3"/>
  <c r="X370" i="3"/>
  <c r="W370" i="3"/>
  <c r="V370" i="3"/>
  <c r="U370" i="3"/>
  <c r="R370" i="3"/>
  <c r="Q370" i="3"/>
  <c r="M370" i="3"/>
  <c r="X369" i="3"/>
  <c r="U369" i="3"/>
  <c r="Q369" i="3"/>
  <c r="P369" i="3"/>
  <c r="N369" i="3"/>
  <c r="M369" i="3"/>
  <c r="Y368" i="3"/>
  <c r="X368" i="3"/>
  <c r="W368" i="3"/>
  <c r="V368" i="3"/>
  <c r="U368" i="3"/>
  <c r="T368" i="3"/>
  <c r="S368" i="3"/>
  <c r="R368" i="3"/>
  <c r="Q368" i="3"/>
  <c r="P368" i="3"/>
  <c r="O368" i="3"/>
  <c r="N368" i="3"/>
  <c r="M368" i="3"/>
  <c r="M367" i="3"/>
  <c r="N367" i="3" s="1"/>
  <c r="X366" i="3"/>
  <c r="S366" i="3"/>
  <c r="R366" i="3"/>
  <c r="P366" i="3"/>
  <c r="O366" i="3"/>
  <c r="N366" i="3"/>
  <c r="M366" i="3"/>
  <c r="Y365" i="3"/>
  <c r="X365" i="3"/>
  <c r="W365" i="3"/>
  <c r="V365" i="3"/>
  <c r="U365" i="3"/>
  <c r="T365" i="3"/>
  <c r="S365" i="3"/>
  <c r="R365" i="3"/>
  <c r="Q365" i="3"/>
  <c r="P365" i="3"/>
  <c r="O365" i="3"/>
  <c r="M365" i="3"/>
  <c r="N365" i="3" s="1"/>
  <c r="Y364" i="3"/>
  <c r="X364" i="3"/>
  <c r="W364" i="3"/>
  <c r="V364" i="3"/>
  <c r="T364" i="3"/>
  <c r="S364" i="3"/>
  <c r="R364" i="3"/>
  <c r="Q364" i="3"/>
  <c r="P364" i="3"/>
  <c r="O364" i="3"/>
  <c r="N364" i="3"/>
  <c r="M364" i="3"/>
  <c r="U364" i="3" s="1"/>
  <c r="M363" i="3"/>
  <c r="X362" i="3"/>
  <c r="W362" i="3"/>
  <c r="V362" i="3"/>
  <c r="U362" i="3"/>
  <c r="T362" i="3"/>
  <c r="S362" i="3"/>
  <c r="R362" i="3"/>
  <c r="Q362" i="3"/>
  <c r="P362" i="3"/>
  <c r="M362" i="3"/>
  <c r="Y362" i="3" s="1"/>
  <c r="M361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X359" i="3"/>
  <c r="V359" i="3"/>
  <c r="S359" i="3"/>
  <c r="Q359" i="3"/>
  <c r="M359" i="3"/>
  <c r="W358" i="3"/>
  <c r="V358" i="3"/>
  <c r="U358" i="3"/>
  <c r="M358" i="3"/>
  <c r="W357" i="3"/>
  <c r="U357" i="3"/>
  <c r="S357" i="3"/>
  <c r="R357" i="3"/>
  <c r="Q357" i="3"/>
  <c r="P357" i="3"/>
  <c r="O357" i="3"/>
  <c r="N357" i="3"/>
  <c r="M357" i="3"/>
  <c r="R356" i="3"/>
  <c r="P356" i="3"/>
  <c r="M356" i="3"/>
  <c r="S355" i="3"/>
  <c r="P355" i="3"/>
  <c r="N355" i="3"/>
  <c r="M355" i="3"/>
  <c r="M354" i="3"/>
  <c r="M353" i="3"/>
  <c r="W353" i="3" s="1"/>
  <c r="Y352" i="3"/>
  <c r="S352" i="3"/>
  <c r="M352" i="3"/>
  <c r="U351" i="3"/>
  <c r="Q351" i="3"/>
  <c r="P351" i="3"/>
  <c r="M351" i="3"/>
  <c r="Y350" i="3"/>
  <c r="X350" i="3"/>
  <c r="W350" i="3"/>
  <c r="V350" i="3"/>
  <c r="U350" i="3"/>
  <c r="T350" i="3"/>
  <c r="R350" i="3"/>
  <c r="Q350" i="3"/>
  <c r="P350" i="3"/>
  <c r="O350" i="3"/>
  <c r="N350" i="3"/>
  <c r="M350" i="3"/>
  <c r="S350" i="3" s="1"/>
  <c r="O349" i="3"/>
  <c r="M349" i="3"/>
  <c r="Y348" i="3"/>
  <c r="V348" i="3"/>
  <c r="U348" i="3"/>
  <c r="S348" i="3"/>
  <c r="M348" i="3"/>
  <c r="Y347" i="3"/>
  <c r="X347" i="3"/>
  <c r="W347" i="3"/>
  <c r="T347" i="3"/>
  <c r="O347" i="3"/>
  <c r="N347" i="3"/>
  <c r="M347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T345" i="3"/>
  <c r="M345" i="3"/>
  <c r="R344" i="3"/>
  <c r="O344" i="3"/>
  <c r="N344" i="3"/>
  <c r="M344" i="3"/>
  <c r="Y343" i="3"/>
  <c r="X343" i="3"/>
  <c r="W343" i="3"/>
  <c r="V343" i="3"/>
  <c r="U343" i="3"/>
  <c r="T343" i="3"/>
  <c r="S343" i="3"/>
  <c r="R343" i="3"/>
  <c r="Q343" i="3"/>
  <c r="P343" i="3"/>
  <c r="O343" i="3"/>
  <c r="M343" i="3"/>
  <c r="N343" i="3" s="1"/>
  <c r="X342" i="3"/>
  <c r="W342" i="3"/>
  <c r="V342" i="3"/>
  <c r="T342" i="3"/>
  <c r="S342" i="3"/>
  <c r="R342" i="3"/>
  <c r="Q342" i="3"/>
  <c r="P342" i="3"/>
  <c r="O342" i="3"/>
  <c r="N342" i="3"/>
  <c r="M342" i="3"/>
  <c r="Y341" i="3"/>
  <c r="X341" i="3"/>
  <c r="W341" i="3"/>
  <c r="V341" i="3"/>
  <c r="U341" i="3"/>
  <c r="T341" i="3"/>
  <c r="S341" i="3"/>
  <c r="P341" i="3"/>
  <c r="O341" i="3"/>
  <c r="N341" i="3"/>
  <c r="M341" i="3"/>
  <c r="V340" i="3"/>
  <c r="S340" i="3"/>
  <c r="O340" i="3"/>
  <c r="M340" i="3"/>
  <c r="Y339" i="3"/>
  <c r="X339" i="3"/>
  <c r="W339" i="3"/>
  <c r="T339" i="3"/>
  <c r="S339" i="3"/>
  <c r="R339" i="3"/>
  <c r="Q339" i="3"/>
  <c r="O339" i="3"/>
  <c r="N339" i="3"/>
  <c r="M339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X337" i="3"/>
  <c r="W337" i="3"/>
  <c r="V337" i="3"/>
  <c r="P337" i="3"/>
  <c r="M337" i="3"/>
  <c r="X336" i="3"/>
  <c r="W336" i="3"/>
  <c r="V336" i="3"/>
  <c r="U336" i="3"/>
  <c r="S336" i="3"/>
  <c r="M336" i="3"/>
  <c r="M335" i="3"/>
  <c r="R335" i="3" s="1"/>
  <c r="Y334" i="3"/>
  <c r="X334" i="3"/>
  <c r="W334" i="3"/>
  <c r="V334" i="3"/>
  <c r="S334" i="3"/>
  <c r="R334" i="3"/>
  <c r="Q334" i="3"/>
  <c r="P334" i="3"/>
  <c r="N334" i="3"/>
  <c r="M334" i="3"/>
  <c r="Y333" i="3"/>
  <c r="W333" i="3"/>
  <c r="V333" i="3"/>
  <c r="U333" i="3"/>
  <c r="T333" i="3"/>
  <c r="S333" i="3"/>
  <c r="R333" i="3"/>
  <c r="P333" i="3"/>
  <c r="M333" i="3"/>
  <c r="W332" i="3"/>
  <c r="V332" i="3"/>
  <c r="U332" i="3"/>
  <c r="T332" i="3"/>
  <c r="R332" i="3"/>
  <c r="Q332" i="3"/>
  <c r="P332" i="3"/>
  <c r="O332" i="3"/>
  <c r="N332" i="3"/>
  <c r="M332" i="3"/>
  <c r="Y331" i="3"/>
  <c r="W331" i="3"/>
  <c r="V331" i="3"/>
  <c r="T331" i="3"/>
  <c r="N331" i="3"/>
  <c r="M331" i="3"/>
  <c r="Y330" i="3"/>
  <c r="X330" i="3"/>
  <c r="V330" i="3"/>
  <c r="U330" i="3"/>
  <c r="T330" i="3"/>
  <c r="S330" i="3"/>
  <c r="R330" i="3"/>
  <c r="Q330" i="3"/>
  <c r="P330" i="3"/>
  <c r="O330" i="3"/>
  <c r="N330" i="3"/>
  <c r="M330" i="3"/>
  <c r="W330" i="3" s="1"/>
  <c r="Y329" i="3"/>
  <c r="W329" i="3"/>
  <c r="V329" i="3"/>
  <c r="U329" i="3"/>
  <c r="P329" i="3"/>
  <c r="O329" i="3"/>
  <c r="M329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Y327" i="3"/>
  <c r="U327" i="3"/>
  <c r="T327" i="3"/>
  <c r="S327" i="3"/>
  <c r="P327" i="3"/>
  <c r="N327" i="3"/>
  <c r="M327" i="3"/>
  <c r="S326" i="3"/>
  <c r="Q326" i="3"/>
  <c r="P326" i="3"/>
  <c r="M326" i="3"/>
  <c r="R325" i="3"/>
  <c r="Q325" i="3"/>
  <c r="P325" i="3"/>
  <c r="O325" i="3"/>
  <c r="N325" i="3"/>
  <c r="M325" i="3"/>
  <c r="Y324" i="3"/>
  <c r="W324" i="3"/>
  <c r="R324" i="3"/>
  <c r="O324" i="3"/>
  <c r="M324" i="3"/>
  <c r="X323" i="3"/>
  <c r="T323" i="3"/>
  <c r="N323" i="3"/>
  <c r="M323" i="3"/>
  <c r="Y322" i="3"/>
  <c r="X322" i="3"/>
  <c r="W322" i="3"/>
  <c r="S322" i="3"/>
  <c r="P322" i="3"/>
  <c r="M322" i="3"/>
  <c r="Y321" i="3"/>
  <c r="W321" i="3"/>
  <c r="V321" i="3"/>
  <c r="U321" i="3"/>
  <c r="S321" i="3"/>
  <c r="P321" i="3"/>
  <c r="O321" i="3"/>
  <c r="N321" i="3"/>
  <c r="M321" i="3"/>
  <c r="X321" i="3" s="1"/>
  <c r="U320" i="3"/>
  <c r="S320" i="3"/>
  <c r="O320" i="3"/>
  <c r="M320" i="3"/>
  <c r="M319" i="3"/>
  <c r="R318" i="3"/>
  <c r="P318" i="3"/>
  <c r="O318" i="3"/>
  <c r="M318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U316" i="3"/>
  <c r="Q316" i="3"/>
  <c r="P316" i="3"/>
  <c r="O316" i="3"/>
  <c r="M316" i="3"/>
  <c r="U315" i="3"/>
  <c r="S315" i="3"/>
  <c r="R315" i="3"/>
  <c r="O315" i="3"/>
  <c r="M315" i="3"/>
  <c r="W314" i="3"/>
  <c r="V314" i="3"/>
  <c r="T314" i="3"/>
  <c r="S314" i="3"/>
  <c r="R314" i="3"/>
  <c r="Q314" i="3"/>
  <c r="P314" i="3"/>
  <c r="N314" i="3"/>
  <c r="M314" i="3"/>
  <c r="Y313" i="3"/>
  <c r="X313" i="3"/>
  <c r="W313" i="3"/>
  <c r="V313" i="3"/>
  <c r="T313" i="3"/>
  <c r="R313" i="3"/>
  <c r="P313" i="3"/>
  <c r="O313" i="3"/>
  <c r="N313" i="3"/>
  <c r="M313" i="3"/>
  <c r="Q312" i="3"/>
  <c r="M312" i="3"/>
  <c r="X311" i="3"/>
  <c r="W311" i="3"/>
  <c r="U311" i="3"/>
  <c r="S311" i="3"/>
  <c r="R311" i="3"/>
  <c r="Q311" i="3"/>
  <c r="P311" i="3"/>
  <c r="O311" i="3"/>
  <c r="N311" i="3"/>
  <c r="M311" i="3"/>
  <c r="Y310" i="3"/>
  <c r="X310" i="3"/>
  <c r="V310" i="3"/>
  <c r="U310" i="3"/>
  <c r="T310" i="3"/>
  <c r="S310" i="3"/>
  <c r="R310" i="3"/>
  <c r="Q310" i="3"/>
  <c r="O310" i="3"/>
  <c r="N310" i="3"/>
  <c r="M310" i="3"/>
  <c r="R309" i="3"/>
  <c r="M309" i="3"/>
  <c r="Y308" i="3"/>
  <c r="X308" i="3"/>
  <c r="W308" i="3"/>
  <c r="V308" i="3"/>
  <c r="U308" i="3"/>
  <c r="S308" i="3"/>
  <c r="R308" i="3"/>
  <c r="Q308" i="3"/>
  <c r="P308" i="3"/>
  <c r="O308" i="3"/>
  <c r="N308" i="3"/>
  <c r="M308" i="3"/>
  <c r="T308" i="3" s="1"/>
  <c r="Y307" i="3"/>
  <c r="X307" i="3"/>
  <c r="W307" i="3"/>
  <c r="U307" i="3"/>
  <c r="M307" i="3"/>
  <c r="Q306" i="3"/>
  <c r="O306" i="3"/>
  <c r="N306" i="3"/>
  <c r="M306" i="3"/>
  <c r="U305" i="3"/>
  <c r="T305" i="3"/>
  <c r="Q305" i="3"/>
  <c r="M305" i="3"/>
  <c r="V304" i="3"/>
  <c r="Q304" i="3"/>
  <c r="P304" i="3"/>
  <c r="O304" i="3"/>
  <c r="M304" i="3"/>
  <c r="M303" i="3"/>
  <c r="W302" i="3"/>
  <c r="S302" i="3"/>
  <c r="R302" i="3"/>
  <c r="Q302" i="3"/>
  <c r="O302" i="3"/>
  <c r="M302" i="3"/>
  <c r="Y301" i="3"/>
  <c r="X301" i="3"/>
  <c r="V301" i="3"/>
  <c r="O301" i="3"/>
  <c r="M301" i="3"/>
  <c r="M300" i="3"/>
  <c r="W300" i="3" s="1"/>
  <c r="Y299" i="3"/>
  <c r="X299" i="3"/>
  <c r="V299" i="3"/>
  <c r="N299" i="3"/>
  <c r="M299" i="3"/>
  <c r="M298" i="3"/>
  <c r="Q298" i="3" s="1"/>
  <c r="Y297" i="3"/>
  <c r="X297" i="3"/>
  <c r="W297" i="3"/>
  <c r="S297" i="3"/>
  <c r="Q297" i="3"/>
  <c r="O297" i="3"/>
  <c r="N297" i="3"/>
  <c r="M297" i="3"/>
  <c r="Y296" i="3"/>
  <c r="X296" i="3"/>
  <c r="W296" i="3"/>
  <c r="U296" i="3"/>
  <c r="T296" i="3"/>
  <c r="S296" i="3"/>
  <c r="R296" i="3"/>
  <c r="Q296" i="3"/>
  <c r="O296" i="3"/>
  <c r="N296" i="3"/>
  <c r="M296" i="3"/>
  <c r="V296" i="3" s="1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Y294" i="3"/>
  <c r="X294" i="3"/>
  <c r="W294" i="3"/>
  <c r="V294" i="3"/>
  <c r="U294" i="3"/>
  <c r="T294" i="3"/>
  <c r="S294" i="3"/>
  <c r="R294" i="3"/>
  <c r="Q294" i="3"/>
  <c r="P294" i="3"/>
  <c r="O294" i="3"/>
  <c r="M294" i="3"/>
  <c r="N294" i="3" s="1"/>
  <c r="S293" i="3"/>
  <c r="R293" i="3"/>
  <c r="M293" i="3"/>
  <c r="Y292" i="3"/>
  <c r="X292" i="3"/>
  <c r="W292" i="3"/>
  <c r="V292" i="3"/>
  <c r="U292" i="3"/>
  <c r="T292" i="3"/>
  <c r="S292" i="3"/>
  <c r="R292" i="3"/>
  <c r="P292" i="3"/>
  <c r="N292" i="3"/>
  <c r="M292" i="3"/>
  <c r="X291" i="3"/>
  <c r="W291" i="3"/>
  <c r="T291" i="3"/>
  <c r="S291" i="3"/>
  <c r="R291" i="3"/>
  <c r="Q291" i="3"/>
  <c r="P291" i="3"/>
  <c r="O291" i="3"/>
  <c r="N291" i="3"/>
  <c r="M291" i="3"/>
  <c r="Y290" i="3"/>
  <c r="X290" i="3"/>
  <c r="W290" i="3"/>
  <c r="V290" i="3"/>
  <c r="U290" i="3"/>
  <c r="S290" i="3"/>
  <c r="Q290" i="3"/>
  <c r="P290" i="3"/>
  <c r="O290" i="3"/>
  <c r="N290" i="3"/>
  <c r="M290" i="3"/>
  <c r="X289" i="3"/>
  <c r="W289" i="3"/>
  <c r="U289" i="3"/>
  <c r="T289" i="3"/>
  <c r="S289" i="3"/>
  <c r="R289" i="3"/>
  <c r="Q289" i="3"/>
  <c r="P289" i="3"/>
  <c r="O289" i="3"/>
  <c r="N289" i="3"/>
  <c r="M289" i="3"/>
  <c r="Y288" i="3"/>
  <c r="X288" i="3"/>
  <c r="V288" i="3"/>
  <c r="T288" i="3"/>
  <c r="S288" i="3"/>
  <c r="R288" i="3"/>
  <c r="Q288" i="3"/>
  <c r="O288" i="3"/>
  <c r="N288" i="3"/>
  <c r="M288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Y286" i="3"/>
  <c r="W286" i="3"/>
  <c r="V286" i="3"/>
  <c r="U286" i="3"/>
  <c r="S286" i="3"/>
  <c r="R286" i="3"/>
  <c r="N286" i="3"/>
  <c r="M286" i="3"/>
  <c r="T285" i="3"/>
  <c r="S285" i="3"/>
  <c r="R285" i="3"/>
  <c r="Q285" i="3"/>
  <c r="O285" i="3"/>
  <c r="M285" i="3"/>
  <c r="Y284" i="3"/>
  <c r="W284" i="3"/>
  <c r="V284" i="3"/>
  <c r="U284" i="3"/>
  <c r="T284" i="3"/>
  <c r="S284" i="3"/>
  <c r="R284" i="3"/>
  <c r="Q284" i="3"/>
  <c r="O284" i="3"/>
  <c r="N284" i="3"/>
  <c r="M284" i="3"/>
  <c r="X284" i="3" s="1"/>
  <c r="U283" i="3"/>
  <c r="M283" i="3"/>
  <c r="Y282" i="3"/>
  <c r="X282" i="3"/>
  <c r="W282" i="3"/>
  <c r="V282" i="3"/>
  <c r="U282" i="3"/>
  <c r="T282" i="3"/>
  <c r="P282" i="3"/>
  <c r="M282" i="3"/>
  <c r="M281" i="3"/>
  <c r="Y280" i="3"/>
  <c r="X280" i="3"/>
  <c r="M280" i="3"/>
  <c r="X279" i="3"/>
  <c r="S279" i="3"/>
  <c r="M279" i="3"/>
  <c r="M278" i="3"/>
  <c r="Q278" i="3" s="1"/>
  <c r="X277" i="3"/>
  <c r="W277" i="3"/>
  <c r="V277" i="3"/>
  <c r="U277" i="3"/>
  <c r="T277" i="3"/>
  <c r="S277" i="3"/>
  <c r="Q277" i="3"/>
  <c r="N277" i="3"/>
  <c r="M277" i="3"/>
  <c r="Y276" i="3"/>
  <c r="V276" i="3"/>
  <c r="S276" i="3"/>
  <c r="Q276" i="3"/>
  <c r="M276" i="3"/>
  <c r="T275" i="3"/>
  <c r="S275" i="3"/>
  <c r="R275" i="3"/>
  <c r="M275" i="3"/>
  <c r="M274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W272" i="3"/>
  <c r="U272" i="3"/>
  <c r="M272" i="3"/>
  <c r="Y271" i="3"/>
  <c r="X271" i="3"/>
  <c r="W271" i="3"/>
  <c r="V271" i="3"/>
  <c r="U271" i="3"/>
  <c r="T271" i="3"/>
  <c r="S271" i="3"/>
  <c r="R271" i="3"/>
  <c r="P271" i="3"/>
  <c r="O271" i="3"/>
  <c r="N271" i="3"/>
  <c r="M271" i="3"/>
  <c r="Q271" i="3" s="1"/>
  <c r="M270" i="3"/>
  <c r="P270" i="3" s="1"/>
  <c r="Y269" i="3"/>
  <c r="X269" i="3"/>
  <c r="M269" i="3"/>
  <c r="M268" i="3"/>
  <c r="O268" i="3" s="1"/>
  <c r="Y267" i="3"/>
  <c r="X267" i="3"/>
  <c r="W267" i="3"/>
  <c r="V267" i="3"/>
  <c r="U267" i="3"/>
  <c r="Q267" i="3"/>
  <c r="P267" i="3"/>
  <c r="N267" i="3"/>
  <c r="M267" i="3"/>
  <c r="V266" i="3"/>
  <c r="U266" i="3"/>
  <c r="T266" i="3"/>
  <c r="R266" i="3"/>
  <c r="M266" i="3"/>
  <c r="Y265" i="3"/>
  <c r="W265" i="3"/>
  <c r="T265" i="3"/>
  <c r="S265" i="3"/>
  <c r="Q265" i="3"/>
  <c r="P265" i="3"/>
  <c r="O265" i="3"/>
  <c r="N265" i="3"/>
  <c r="M265" i="3"/>
  <c r="V264" i="3"/>
  <c r="U264" i="3"/>
  <c r="T264" i="3"/>
  <c r="S264" i="3"/>
  <c r="R264" i="3"/>
  <c r="Q264" i="3"/>
  <c r="P264" i="3"/>
  <c r="N264" i="3"/>
  <c r="M264" i="3"/>
  <c r="W263" i="3"/>
  <c r="V263" i="3"/>
  <c r="T263" i="3"/>
  <c r="S263" i="3"/>
  <c r="R263" i="3"/>
  <c r="Q263" i="3"/>
  <c r="P263" i="3"/>
  <c r="O263" i="3"/>
  <c r="N263" i="3"/>
  <c r="M263" i="3"/>
  <c r="M262" i="3"/>
  <c r="Y261" i="3"/>
  <c r="W261" i="3"/>
  <c r="V261" i="3"/>
  <c r="U261" i="3"/>
  <c r="T261" i="3"/>
  <c r="S261" i="3"/>
  <c r="R261" i="3"/>
  <c r="Q261" i="3"/>
  <c r="P261" i="3"/>
  <c r="O261" i="3"/>
  <c r="N261" i="3"/>
  <c r="M261" i="3"/>
  <c r="X261" i="3" s="1"/>
  <c r="Y260" i="3"/>
  <c r="U260" i="3"/>
  <c r="O260" i="3"/>
  <c r="M260" i="3"/>
  <c r="Y259" i="3"/>
  <c r="X259" i="3"/>
  <c r="W259" i="3"/>
  <c r="V259" i="3"/>
  <c r="U259" i="3"/>
  <c r="T259" i="3"/>
  <c r="S259" i="3"/>
  <c r="M259" i="3"/>
  <c r="R258" i="3"/>
  <c r="P258" i="3"/>
  <c r="O258" i="3"/>
  <c r="N258" i="3"/>
  <c r="M258" i="3"/>
  <c r="M257" i="3"/>
  <c r="O257" i="3" s="1"/>
  <c r="M256" i="3"/>
  <c r="V256" i="3" s="1"/>
  <c r="Y255" i="3"/>
  <c r="X255" i="3"/>
  <c r="W255" i="3"/>
  <c r="U255" i="3"/>
  <c r="T255" i="3"/>
  <c r="S255" i="3"/>
  <c r="R255" i="3"/>
  <c r="Q255" i="3"/>
  <c r="P255" i="3"/>
  <c r="O255" i="3"/>
  <c r="N255" i="3"/>
  <c r="M255" i="3"/>
  <c r="V255" i="3" s="1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M253" i="3"/>
  <c r="N252" i="3"/>
  <c r="M252" i="3"/>
  <c r="Y251" i="3"/>
  <c r="X251" i="3"/>
  <c r="W251" i="3"/>
  <c r="V251" i="3"/>
  <c r="U251" i="3"/>
  <c r="S251" i="3"/>
  <c r="R251" i="3"/>
  <c r="P251" i="3"/>
  <c r="N251" i="3"/>
  <c r="M251" i="3"/>
  <c r="M250" i="3"/>
  <c r="Y249" i="3"/>
  <c r="X249" i="3"/>
  <c r="V249" i="3"/>
  <c r="U249" i="3"/>
  <c r="S249" i="3"/>
  <c r="R249" i="3"/>
  <c r="Q249" i="3"/>
  <c r="O249" i="3"/>
  <c r="N249" i="3"/>
  <c r="M249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Y248" i="3" s="1"/>
  <c r="M247" i="3"/>
  <c r="Y246" i="3"/>
  <c r="X246" i="3"/>
  <c r="W246" i="3"/>
  <c r="V246" i="3"/>
  <c r="U246" i="3"/>
  <c r="T246" i="3"/>
  <c r="S246" i="3"/>
  <c r="P246" i="3"/>
  <c r="M246" i="3"/>
  <c r="M245" i="3"/>
  <c r="Y244" i="3"/>
  <c r="X244" i="3"/>
  <c r="W244" i="3"/>
  <c r="V244" i="3"/>
  <c r="T244" i="3"/>
  <c r="S244" i="3"/>
  <c r="Q244" i="3"/>
  <c r="P244" i="3"/>
  <c r="N244" i="3"/>
  <c r="M244" i="3"/>
  <c r="M243" i="3"/>
  <c r="M242" i="3"/>
  <c r="T242" i="3" s="1"/>
  <c r="Y241" i="3"/>
  <c r="X241" i="3"/>
  <c r="W241" i="3"/>
  <c r="V241" i="3"/>
  <c r="U241" i="3"/>
  <c r="T241" i="3"/>
  <c r="S241" i="3"/>
  <c r="R241" i="3"/>
  <c r="Q241" i="3"/>
  <c r="O241" i="3"/>
  <c r="N241" i="3"/>
  <c r="M241" i="3"/>
  <c r="P241" i="3" s="1"/>
  <c r="Y240" i="3"/>
  <c r="X240" i="3"/>
  <c r="W240" i="3"/>
  <c r="V240" i="3"/>
  <c r="U240" i="3"/>
  <c r="T240" i="3"/>
  <c r="S240" i="3"/>
  <c r="R240" i="3"/>
  <c r="P240" i="3"/>
  <c r="M240" i="3"/>
  <c r="N240" i="3" s="1"/>
  <c r="Y239" i="3"/>
  <c r="W239" i="3"/>
  <c r="V239" i="3"/>
  <c r="U239" i="3"/>
  <c r="P239" i="3"/>
  <c r="N239" i="3"/>
  <c r="M239" i="3"/>
  <c r="Y238" i="3"/>
  <c r="X238" i="3"/>
  <c r="W238" i="3"/>
  <c r="V238" i="3"/>
  <c r="U238" i="3"/>
  <c r="T238" i="3"/>
  <c r="S238" i="3"/>
  <c r="R238" i="3"/>
  <c r="Q238" i="3"/>
  <c r="O238" i="3"/>
  <c r="N238" i="3"/>
  <c r="M238" i="3"/>
  <c r="P238" i="3" s="1"/>
  <c r="Y237" i="3"/>
  <c r="W237" i="3"/>
  <c r="V237" i="3"/>
  <c r="T237" i="3"/>
  <c r="Q237" i="3"/>
  <c r="P237" i="3"/>
  <c r="O237" i="3"/>
  <c r="M237" i="3"/>
  <c r="Y236" i="3"/>
  <c r="X236" i="3"/>
  <c r="W236" i="3"/>
  <c r="V236" i="3"/>
  <c r="U236" i="3"/>
  <c r="T236" i="3"/>
  <c r="S236" i="3"/>
  <c r="P236" i="3"/>
  <c r="M236" i="3"/>
  <c r="M235" i="3"/>
  <c r="M234" i="3"/>
  <c r="Q234" i="3" s="1"/>
  <c r="W233" i="3"/>
  <c r="V233" i="3"/>
  <c r="U233" i="3"/>
  <c r="Q233" i="3"/>
  <c r="N233" i="3"/>
  <c r="M233" i="3"/>
  <c r="Y232" i="3"/>
  <c r="X232" i="3"/>
  <c r="V232" i="3"/>
  <c r="S232" i="3"/>
  <c r="R232" i="3"/>
  <c r="P232" i="3"/>
  <c r="O232" i="3"/>
  <c r="M232" i="3"/>
  <c r="T231" i="3"/>
  <c r="Q231" i="3"/>
  <c r="M231" i="3"/>
  <c r="M230" i="3"/>
  <c r="W229" i="3"/>
  <c r="V229" i="3"/>
  <c r="U229" i="3"/>
  <c r="T229" i="3"/>
  <c r="N229" i="3"/>
  <c r="M229" i="3"/>
  <c r="T228" i="3"/>
  <c r="S228" i="3"/>
  <c r="R228" i="3"/>
  <c r="M228" i="3"/>
  <c r="Y227" i="3"/>
  <c r="X227" i="3"/>
  <c r="W227" i="3"/>
  <c r="U227" i="3"/>
  <c r="T227" i="3"/>
  <c r="R227" i="3"/>
  <c r="Q227" i="3"/>
  <c r="P227" i="3"/>
  <c r="O227" i="3"/>
  <c r="N227" i="3"/>
  <c r="M227" i="3"/>
  <c r="Y226" i="3"/>
  <c r="X226" i="3"/>
  <c r="W226" i="3"/>
  <c r="V226" i="3"/>
  <c r="U226" i="3"/>
  <c r="T226" i="3"/>
  <c r="S226" i="3"/>
  <c r="R226" i="3"/>
  <c r="Q226" i="3"/>
  <c r="P226" i="3"/>
  <c r="O226" i="3"/>
  <c r="N226" i="3"/>
  <c r="M226" i="3"/>
  <c r="Y225" i="3"/>
  <c r="X225" i="3"/>
  <c r="V225" i="3"/>
  <c r="U225" i="3"/>
  <c r="T225" i="3"/>
  <c r="S225" i="3"/>
  <c r="R225" i="3"/>
  <c r="Q225" i="3"/>
  <c r="O225" i="3"/>
  <c r="N225" i="3"/>
  <c r="M225" i="3"/>
  <c r="W225" i="3" s="1"/>
  <c r="Y224" i="3"/>
  <c r="X224" i="3"/>
  <c r="W224" i="3"/>
  <c r="V224" i="3"/>
  <c r="U224" i="3"/>
  <c r="T224" i="3"/>
  <c r="S224" i="3"/>
  <c r="P224" i="3"/>
  <c r="M224" i="3"/>
  <c r="M223" i="3"/>
  <c r="Q223" i="3" s="1"/>
  <c r="Y222" i="3"/>
  <c r="X222" i="3"/>
  <c r="W222" i="3"/>
  <c r="V222" i="3"/>
  <c r="T222" i="3"/>
  <c r="S222" i="3"/>
  <c r="Q222" i="3"/>
  <c r="O222" i="3"/>
  <c r="M222" i="3"/>
  <c r="O221" i="3"/>
  <c r="M221" i="3"/>
  <c r="X220" i="3"/>
  <c r="W220" i="3"/>
  <c r="U220" i="3"/>
  <c r="T220" i="3"/>
  <c r="S220" i="3"/>
  <c r="R220" i="3"/>
  <c r="Q220" i="3"/>
  <c r="O220" i="3"/>
  <c r="M220" i="3"/>
  <c r="Y219" i="3"/>
  <c r="X219" i="3"/>
  <c r="W219" i="3"/>
  <c r="V219" i="3"/>
  <c r="U219" i="3"/>
  <c r="T219" i="3"/>
  <c r="S219" i="3"/>
  <c r="R219" i="3"/>
  <c r="Q219" i="3"/>
  <c r="O219" i="3"/>
  <c r="N219" i="3"/>
  <c r="M219" i="3"/>
  <c r="P219" i="3" s="1"/>
  <c r="M218" i="3"/>
  <c r="X218" i="3" s="1"/>
  <c r="X217" i="3"/>
  <c r="S217" i="3"/>
  <c r="R217" i="3"/>
  <c r="M217" i="3"/>
  <c r="M216" i="3"/>
  <c r="W216" i="3" s="1"/>
  <c r="Y215" i="3"/>
  <c r="M215" i="3"/>
  <c r="Y214" i="3"/>
  <c r="X214" i="3"/>
  <c r="V214" i="3"/>
  <c r="U214" i="3"/>
  <c r="T214" i="3"/>
  <c r="R214" i="3"/>
  <c r="M214" i="3"/>
  <c r="W213" i="3"/>
  <c r="V213" i="3"/>
  <c r="U213" i="3"/>
  <c r="R213" i="3"/>
  <c r="Q213" i="3"/>
  <c r="P213" i="3"/>
  <c r="O213" i="3"/>
  <c r="M213" i="3"/>
  <c r="Y212" i="3"/>
  <c r="X212" i="3"/>
  <c r="W212" i="3"/>
  <c r="V212" i="3"/>
  <c r="U212" i="3"/>
  <c r="T212" i="3"/>
  <c r="P212" i="3"/>
  <c r="M212" i="3"/>
  <c r="Y211" i="3"/>
  <c r="W211" i="3"/>
  <c r="S211" i="3"/>
  <c r="M211" i="3"/>
  <c r="Y210" i="3"/>
  <c r="P210" i="3"/>
  <c r="M210" i="3"/>
  <c r="M209" i="3"/>
  <c r="W209" i="3" s="1"/>
  <c r="Y208" i="3"/>
  <c r="X208" i="3"/>
  <c r="V208" i="3"/>
  <c r="U208" i="3"/>
  <c r="S208" i="3"/>
  <c r="Q208" i="3"/>
  <c r="M208" i="3"/>
  <c r="Y207" i="3"/>
  <c r="X207" i="3"/>
  <c r="W207" i="3"/>
  <c r="V207" i="3"/>
  <c r="U207" i="3"/>
  <c r="T207" i="3"/>
  <c r="S207" i="3"/>
  <c r="Q207" i="3"/>
  <c r="P207" i="3"/>
  <c r="O207" i="3"/>
  <c r="N207" i="3"/>
  <c r="M207" i="3"/>
  <c r="R207" i="3" s="1"/>
  <c r="Y206" i="3"/>
  <c r="X206" i="3"/>
  <c r="V206" i="3"/>
  <c r="U206" i="3"/>
  <c r="S206" i="3"/>
  <c r="P206" i="3"/>
  <c r="O206" i="3"/>
  <c r="N206" i="3"/>
  <c r="M206" i="3"/>
  <c r="Y205" i="3"/>
  <c r="X205" i="3"/>
  <c r="W205" i="3"/>
  <c r="U205" i="3"/>
  <c r="T205" i="3"/>
  <c r="S205" i="3"/>
  <c r="R205" i="3"/>
  <c r="Q205" i="3"/>
  <c r="O205" i="3"/>
  <c r="N205" i="3"/>
  <c r="M205" i="3"/>
  <c r="V205" i="3" s="1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W203" i="3"/>
  <c r="N203" i="3"/>
  <c r="M203" i="3"/>
  <c r="M202" i="3"/>
  <c r="Y202" i="3" s="1"/>
  <c r="Y201" i="3"/>
  <c r="R201" i="3"/>
  <c r="Q201" i="3"/>
  <c r="P201" i="3"/>
  <c r="O201" i="3"/>
  <c r="N201" i="3"/>
  <c r="M201" i="3"/>
  <c r="Y200" i="3"/>
  <c r="X200" i="3"/>
  <c r="W200" i="3"/>
  <c r="V200" i="3"/>
  <c r="T200" i="3"/>
  <c r="S200" i="3"/>
  <c r="R200" i="3"/>
  <c r="Q200" i="3"/>
  <c r="P200" i="3"/>
  <c r="O200" i="3"/>
  <c r="N200" i="3"/>
  <c r="M200" i="3"/>
  <c r="U200" i="3" s="1"/>
  <c r="T199" i="3"/>
  <c r="S199" i="3"/>
  <c r="R199" i="3"/>
  <c r="Q199" i="3"/>
  <c r="P199" i="3"/>
  <c r="M199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Y198" i="3" s="1"/>
  <c r="Y197" i="3"/>
  <c r="X197" i="3"/>
  <c r="W197" i="3"/>
  <c r="V197" i="3"/>
  <c r="U197" i="3"/>
  <c r="T197" i="3"/>
  <c r="S197" i="3"/>
  <c r="R197" i="3"/>
  <c r="O197" i="3"/>
  <c r="M197" i="3"/>
  <c r="P197" i="3" s="1"/>
  <c r="V196" i="3"/>
  <c r="R196" i="3"/>
  <c r="Q196" i="3"/>
  <c r="O196" i="3"/>
  <c r="M196" i="3"/>
  <c r="M195" i="3"/>
  <c r="Y194" i="3"/>
  <c r="X194" i="3"/>
  <c r="U194" i="3"/>
  <c r="R194" i="3"/>
  <c r="Q194" i="3"/>
  <c r="P194" i="3"/>
  <c r="O194" i="3"/>
  <c r="N194" i="3"/>
  <c r="M194" i="3"/>
  <c r="Y193" i="3"/>
  <c r="W193" i="3"/>
  <c r="V193" i="3"/>
  <c r="U193" i="3"/>
  <c r="T193" i="3"/>
  <c r="Q193" i="3"/>
  <c r="M193" i="3"/>
  <c r="M192" i="3"/>
  <c r="U192" i="3" s="1"/>
  <c r="Y191" i="3"/>
  <c r="X191" i="3"/>
  <c r="W191" i="3"/>
  <c r="V191" i="3"/>
  <c r="U191" i="3"/>
  <c r="M191" i="3"/>
  <c r="R190" i="3"/>
  <c r="Q190" i="3"/>
  <c r="P190" i="3"/>
  <c r="O190" i="3"/>
  <c r="N190" i="3"/>
  <c r="M190" i="3"/>
  <c r="X189" i="3"/>
  <c r="W189" i="3"/>
  <c r="V189" i="3"/>
  <c r="N189" i="3"/>
  <c r="M189" i="3"/>
  <c r="Y188" i="3"/>
  <c r="X188" i="3"/>
  <c r="V188" i="3"/>
  <c r="T188" i="3"/>
  <c r="M188" i="3"/>
  <c r="X187" i="3"/>
  <c r="V187" i="3"/>
  <c r="S187" i="3"/>
  <c r="O187" i="3"/>
  <c r="M187" i="3"/>
  <c r="Y186" i="3"/>
  <c r="X186" i="3"/>
  <c r="W186" i="3"/>
  <c r="U186" i="3"/>
  <c r="T186" i="3"/>
  <c r="S186" i="3"/>
  <c r="R186" i="3"/>
  <c r="Q186" i="3"/>
  <c r="O186" i="3"/>
  <c r="M186" i="3"/>
  <c r="V186" i="3" s="1"/>
  <c r="Y185" i="3"/>
  <c r="W185" i="3"/>
  <c r="V185" i="3"/>
  <c r="M185" i="3"/>
  <c r="M184" i="3"/>
  <c r="O184" i="3" s="1"/>
  <c r="M183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Q181" i="3"/>
  <c r="N181" i="3"/>
  <c r="M181" i="3"/>
  <c r="Y180" i="3"/>
  <c r="W180" i="3"/>
  <c r="V180" i="3"/>
  <c r="T180" i="3"/>
  <c r="S180" i="3"/>
  <c r="P180" i="3"/>
  <c r="O180" i="3"/>
  <c r="N180" i="3"/>
  <c r="M180" i="3"/>
  <c r="M179" i="3"/>
  <c r="Y178" i="3"/>
  <c r="W178" i="3"/>
  <c r="V178" i="3"/>
  <c r="S178" i="3"/>
  <c r="R178" i="3"/>
  <c r="Q178" i="3"/>
  <c r="P178" i="3"/>
  <c r="O178" i="3"/>
  <c r="N178" i="3"/>
  <c r="M178" i="3"/>
  <c r="Y177" i="3"/>
  <c r="V177" i="3"/>
  <c r="U177" i="3"/>
  <c r="T177" i="3"/>
  <c r="S177" i="3"/>
  <c r="R177" i="3"/>
  <c r="P177" i="3"/>
  <c r="M177" i="3"/>
  <c r="S176" i="3"/>
  <c r="R176" i="3"/>
  <c r="Q176" i="3"/>
  <c r="O176" i="3"/>
  <c r="M176" i="3"/>
  <c r="Y175" i="3"/>
  <c r="X175" i="3"/>
  <c r="W175" i="3"/>
  <c r="V175" i="3"/>
  <c r="U175" i="3"/>
  <c r="T175" i="3"/>
  <c r="S175" i="3"/>
  <c r="R175" i="3"/>
  <c r="O175" i="3"/>
  <c r="N175" i="3"/>
  <c r="M175" i="3"/>
  <c r="P175" i="3" s="1"/>
  <c r="Y174" i="3"/>
  <c r="X174" i="3"/>
  <c r="W174" i="3"/>
  <c r="V174" i="3"/>
  <c r="U174" i="3"/>
  <c r="T174" i="3"/>
  <c r="S174" i="3"/>
  <c r="R174" i="3"/>
  <c r="Q174" i="3"/>
  <c r="O174" i="3"/>
  <c r="M174" i="3"/>
  <c r="P174" i="3" s="1"/>
  <c r="X173" i="3"/>
  <c r="M173" i="3"/>
  <c r="V173" i="3" s="1"/>
  <c r="Y172" i="3"/>
  <c r="T172" i="3"/>
  <c r="S172" i="3"/>
  <c r="R172" i="3"/>
  <c r="P172" i="3"/>
  <c r="M172" i="3"/>
  <c r="T171" i="3"/>
  <c r="Q171" i="3"/>
  <c r="P171" i="3"/>
  <c r="O171" i="3"/>
  <c r="M171" i="3"/>
  <c r="Y170" i="3"/>
  <c r="X170" i="3"/>
  <c r="W170" i="3"/>
  <c r="V170" i="3"/>
  <c r="M170" i="3"/>
  <c r="X169" i="3"/>
  <c r="W169" i="3"/>
  <c r="V169" i="3"/>
  <c r="U169" i="3"/>
  <c r="R169" i="3"/>
  <c r="Q169" i="3"/>
  <c r="P169" i="3"/>
  <c r="M169" i="3"/>
  <c r="Y168" i="3"/>
  <c r="X168" i="3"/>
  <c r="W168" i="3"/>
  <c r="V168" i="3"/>
  <c r="U168" i="3"/>
  <c r="R168" i="3"/>
  <c r="M168" i="3"/>
  <c r="W167" i="3"/>
  <c r="U167" i="3"/>
  <c r="T167" i="3"/>
  <c r="S167" i="3"/>
  <c r="R167" i="3"/>
  <c r="P167" i="3"/>
  <c r="M167" i="3"/>
  <c r="Y166" i="3"/>
  <c r="X166" i="3"/>
  <c r="V166" i="3"/>
  <c r="M166" i="3"/>
  <c r="O166" i="3" s="1"/>
  <c r="S165" i="3"/>
  <c r="M165" i="3"/>
  <c r="Y164" i="3"/>
  <c r="X164" i="3"/>
  <c r="V164" i="3"/>
  <c r="R164" i="3"/>
  <c r="Q164" i="3"/>
  <c r="P164" i="3"/>
  <c r="O164" i="3"/>
  <c r="N164" i="3"/>
  <c r="M164" i="3"/>
  <c r="U164" i="3" s="1"/>
  <c r="M163" i="3"/>
  <c r="M162" i="3"/>
  <c r="N162" i="3" s="1"/>
  <c r="Y161" i="3"/>
  <c r="X161" i="3"/>
  <c r="W161" i="3"/>
  <c r="U161" i="3"/>
  <c r="T161" i="3"/>
  <c r="S161" i="3"/>
  <c r="R161" i="3"/>
  <c r="Q161" i="3"/>
  <c r="P161" i="3"/>
  <c r="O161" i="3"/>
  <c r="M161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M159" i="3"/>
  <c r="R159" i="3" s="1"/>
  <c r="M158" i="3"/>
  <c r="S158" i="3" s="1"/>
  <c r="M157" i="3"/>
  <c r="Y157" i="3" s="1"/>
  <c r="S156" i="3"/>
  <c r="M156" i="3"/>
  <c r="Y155" i="3"/>
  <c r="M155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Y154" i="3" s="1"/>
  <c r="Y153" i="3"/>
  <c r="V153" i="3"/>
  <c r="U153" i="3"/>
  <c r="T153" i="3"/>
  <c r="S153" i="3"/>
  <c r="O153" i="3"/>
  <c r="M153" i="3"/>
  <c r="Y152" i="3"/>
  <c r="X152" i="3"/>
  <c r="W152" i="3"/>
  <c r="V152" i="3"/>
  <c r="U152" i="3"/>
  <c r="T152" i="3"/>
  <c r="S152" i="3"/>
  <c r="R152" i="3"/>
  <c r="Q152" i="3"/>
  <c r="O152" i="3"/>
  <c r="M152" i="3"/>
  <c r="P152" i="3" s="1"/>
  <c r="Y151" i="3"/>
  <c r="X151" i="3"/>
  <c r="W151" i="3"/>
  <c r="V151" i="3"/>
  <c r="U151" i="3"/>
  <c r="R151" i="3"/>
  <c r="Q151" i="3"/>
  <c r="O151" i="3"/>
  <c r="M151" i="3"/>
  <c r="U150" i="3"/>
  <c r="R150" i="3"/>
  <c r="N150" i="3"/>
  <c r="M150" i="3"/>
  <c r="Y149" i="3"/>
  <c r="W149" i="3"/>
  <c r="U149" i="3"/>
  <c r="T149" i="3"/>
  <c r="S149" i="3"/>
  <c r="R149" i="3"/>
  <c r="Q149" i="3"/>
  <c r="P149" i="3"/>
  <c r="N149" i="3"/>
  <c r="M149" i="3"/>
  <c r="W148" i="3"/>
  <c r="U148" i="3"/>
  <c r="M148" i="3"/>
  <c r="X147" i="3"/>
  <c r="W147" i="3"/>
  <c r="V147" i="3"/>
  <c r="U147" i="3"/>
  <c r="T147" i="3"/>
  <c r="S147" i="3"/>
  <c r="R147" i="3"/>
  <c r="Q147" i="3"/>
  <c r="P147" i="3"/>
  <c r="O147" i="3"/>
  <c r="M147" i="3"/>
  <c r="Y147" i="3" s="1"/>
  <c r="M146" i="3"/>
  <c r="Y145" i="3"/>
  <c r="X145" i="3"/>
  <c r="W145" i="3"/>
  <c r="V145" i="3"/>
  <c r="U145" i="3"/>
  <c r="T145" i="3"/>
  <c r="S145" i="3"/>
  <c r="R145" i="3"/>
  <c r="Q145" i="3"/>
  <c r="P145" i="3"/>
  <c r="N145" i="3"/>
  <c r="M145" i="3"/>
  <c r="O145" i="3" s="1"/>
  <c r="S144" i="3"/>
  <c r="Q144" i="3"/>
  <c r="P144" i="3"/>
  <c r="M144" i="3"/>
  <c r="M143" i="3"/>
  <c r="V143" i="3" s="1"/>
  <c r="M142" i="3"/>
  <c r="W142" i="3" s="1"/>
  <c r="Y141" i="3"/>
  <c r="M141" i="3"/>
  <c r="P140" i="3"/>
  <c r="O140" i="3"/>
  <c r="N140" i="3"/>
  <c r="M140" i="3"/>
  <c r="Y139" i="3"/>
  <c r="W139" i="3"/>
  <c r="S139" i="3"/>
  <c r="R139" i="3"/>
  <c r="Q139" i="3"/>
  <c r="P139" i="3"/>
  <c r="O139" i="3"/>
  <c r="M139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W137" i="3"/>
  <c r="V137" i="3"/>
  <c r="U137" i="3"/>
  <c r="T137" i="3"/>
  <c r="S137" i="3"/>
  <c r="Q137" i="3"/>
  <c r="P137" i="3"/>
  <c r="O137" i="3"/>
  <c r="M137" i="3"/>
  <c r="Y136" i="3"/>
  <c r="X136" i="3"/>
  <c r="W136" i="3"/>
  <c r="V136" i="3"/>
  <c r="U136" i="3"/>
  <c r="S136" i="3"/>
  <c r="M136" i="3"/>
  <c r="M135" i="3"/>
  <c r="O135" i="3" s="1"/>
  <c r="Y134" i="3"/>
  <c r="X134" i="3"/>
  <c r="W134" i="3"/>
  <c r="V134" i="3"/>
  <c r="S134" i="3"/>
  <c r="P134" i="3"/>
  <c r="N134" i="3"/>
  <c r="M134" i="3"/>
  <c r="T133" i="3"/>
  <c r="S133" i="3"/>
  <c r="N133" i="3"/>
  <c r="M133" i="3"/>
  <c r="X132" i="3"/>
  <c r="V132" i="3"/>
  <c r="S132" i="3"/>
  <c r="R132" i="3"/>
  <c r="Q132" i="3"/>
  <c r="P132" i="3"/>
  <c r="O132" i="3"/>
  <c r="M132" i="3"/>
  <c r="Y131" i="3"/>
  <c r="X131" i="3"/>
  <c r="W131" i="3"/>
  <c r="V131" i="3"/>
  <c r="U131" i="3"/>
  <c r="T131" i="3"/>
  <c r="S131" i="3"/>
  <c r="R131" i="3"/>
  <c r="Q131" i="3"/>
  <c r="O131" i="3"/>
  <c r="N131" i="3"/>
  <c r="M131" i="3"/>
  <c r="P131" i="3" s="1"/>
  <c r="Y130" i="3"/>
  <c r="V130" i="3"/>
  <c r="U130" i="3"/>
  <c r="T130" i="3"/>
  <c r="S130" i="3"/>
  <c r="R130" i="3"/>
  <c r="P130" i="3"/>
  <c r="O130" i="3"/>
  <c r="N130" i="3"/>
  <c r="M130" i="3"/>
  <c r="Y129" i="3"/>
  <c r="X129" i="3"/>
  <c r="W129" i="3"/>
  <c r="V129" i="3"/>
  <c r="U129" i="3"/>
  <c r="S129" i="3"/>
  <c r="R129" i="3"/>
  <c r="Q129" i="3"/>
  <c r="O129" i="3"/>
  <c r="M129" i="3"/>
  <c r="T129" i="3" s="1"/>
  <c r="Y128" i="3"/>
  <c r="X128" i="3"/>
  <c r="W128" i="3"/>
  <c r="V128" i="3"/>
  <c r="U128" i="3"/>
  <c r="S128" i="3"/>
  <c r="R128" i="3"/>
  <c r="Q128" i="3"/>
  <c r="P128" i="3"/>
  <c r="O128" i="3"/>
  <c r="N128" i="3"/>
  <c r="M128" i="3"/>
  <c r="T128" i="3" s="1"/>
  <c r="U127" i="3"/>
  <c r="T127" i="3"/>
  <c r="R127" i="3"/>
  <c r="O127" i="3"/>
  <c r="N127" i="3"/>
  <c r="M127" i="3"/>
  <c r="Y126" i="3"/>
  <c r="X126" i="3"/>
  <c r="P126" i="3"/>
  <c r="M126" i="3"/>
  <c r="Y125" i="3"/>
  <c r="X125" i="3"/>
  <c r="W125" i="3"/>
  <c r="U125" i="3"/>
  <c r="R125" i="3"/>
  <c r="Q125" i="3"/>
  <c r="P125" i="3"/>
  <c r="O125" i="3"/>
  <c r="N125" i="3"/>
  <c r="M125" i="3"/>
  <c r="V125" i="3" s="1"/>
  <c r="X124" i="3"/>
  <c r="W124" i="3"/>
  <c r="V124" i="3"/>
  <c r="P124" i="3"/>
  <c r="N124" i="3"/>
  <c r="M124" i="3"/>
  <c r="X123" i="3"/>
  <c r="M123" i="3"/>
  <c r="Y122" i="3"/>
  <c r="X122" i="3"/>
  <c r="W122" i="3"/>
  <c r="V122" i="3"/>
  <c r="U122" i="3"/>
  <c r="T122" i="3"/>
  <c r="S122" i="3"/>
  <c r="R122" i="3"/>
  <c r="Q122" i="3"/>
  <c r="O122" i="3"/>
  <c r="M122" i="3"/>
  <c r="P122" i="3" s="1"/>
  <c r="Y121" i="3"/>
  <c r="X121" i="3"/>
  <c r="W121" i="3"/>
  <c r="Q121" i="3"/>
  <c r="P121" i="3"/>
  <c r="O121" i="3"/>
  <c r="N121" i="3"/>
  <c r="M121" i="3"/>
  <c r="S120" i="3"/>
  <c r="M120" i="3"/>
  <c r="M119" i="3"/>
  <c r="V119" i="3" s="1"/>
  <c r="Y118" i="3"/>
  <c r="W118" i="3"/>
  <c r="U118" i="3"/>
  <c r="N118" i="3"/>
  <c r="M118" i="3"/>
  <c r="Y117" i="3"/>
  <c r="X117" i="3"/>
  <c r="W117" i="3"/>
  <c r="V117" i="3"/>
  <c r="U117" i="3"/>
  <c r="T117" i="3"/>
  <c r="S117" i="3"/>
  <c r="R117" i="3"/>
  <c r="Q117" i="3"/>
  <c r="P117" i="3"/>
  <c r="N117" i="3"/>
  <c r="M117" i="3"/>
  <c r="O117" i="3" s="1"/>
  <c r="Y116" i="3"/>
  <c r="X116" i="3"/>
  <c r="W116" i="3"/>
  <c r="R116" i="3"/>
  <c r="Q116" i="3"/>
  <c r="P116" i="3"/>
  <c r="O116" i="3"/>
  <c r="N116" i="3"/>
  <c r="M116" i="3"/>
  <c r="V116" i="3" s="1"/>
  <c r="M115" i="3"/>
  <c r="N115" i="3" s="1"/>
  <c r="Y114" i="3"/>
  <c r="X114" i="3"/>
  <c r="W114" i="3"/>
  <c r="V114" i="3"/>
  <c r="U114" i="3"/>
  <c r="T114" i="3"/>
  <c r="S114" i="3"/>
  <c r="R114" i="3"/>
  <c r="Q114" i="3"/>
  <c r="P114" i="3"/>
  <c r="O114" i="3"/>
  <c r="M114" i="3"/>
  <c r="N114" i="3" s="1"/>
  <c r="R113" i="3"/>
  <c r="Q113" i="3"/>
  <c r="P113" i="3"/>
  <c r="M113" i="3"/>
  <c r="Y112" i="3"/>
  <c r="X112" i="3"/>
  <c r="W112" i="3"/>
  <c r="V112" i="3"/>
  <c r="U112" i="3"/>
  <c r="T112" i="3"/>
  <c r="S112" i="3"/>
  <c r="R112" i="3"/>
  <c r="Q112" i="3"/>
  <c r="O112" i="3"/>
  <c r="M112" i="3"/>
  <c r="N112" i="3" s="1"/>
  <c r="M111" i="3"/>
  <c r="Y110" i="3"/>
  <c r="X110" i="3"/>
  <c r="W110" i="3"/>
  <c r="V110" i="3"/>
  <c r="U110" i="3"/>
  <c r="T110" i="3"/>
  <c r="S110" i="3"/>
  <c r="O110" i="3"/>
  <c r="M110" i="3"/>
  <c r="M109" i="3"/>
  <c r="Q109" i="3" s="1"/>
  <c r="Y108" i="3"/>
  <c r="X108" i="3"/>
  <c r="W108" i="3"/>
  <c r="U108" i="3"/>
  <c r="S108" i="3"/>
  <c r="N108" i="3"/>
  <c r="M108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Y106" i="3"/>
  <c r="W106" i="3"/>
  <c r="V106" i="3"/>
  <c r="Q106" i="3"/>
  <c r="P106" i="3"/>
  <c r="O106" i="3"/>
  <c r="N106" i="3"/>
  <c r="M106" i="3"/>
  <c r="M105" i="3"/>
  <c r="M104" i="3"/>
  <c r="P104" i="3" s="1"/>
  <c r="Y103" i="3"/>
  <c r="X103" i="3"/>
  <c r="Q103" i="3"/>
  <c r="P103" i="3"/>
  <c r="O103" i="3"/>
  <c r="N103" i="3"/>
  <c r="M103" i="3"/>
  <c r="T102" i="3"/>
  <c r="S102" i="3"/>
  <c r="N102" i="3"/>
  <c r="M102" i="3"/>
  <c r="X101" i="3"/>
  <c r="V101" i="3"/>
  <c r="U101" i="3"/>
  <c r="T101" i="3"/>
  <c r="S101" i="3"/>
  <c r="R101" i="3"/>
  <c r="Q101" i="3"/>
  <c r="P101" i="3"/>
  <c r="O101" i="3"/>
  <c r="M101" i="3"/>
  <c r="M100" i="3"/>
  <c r="Q100" i="3" s="1"/>
  <c r="Y99" i="3"/>
  <c r="X99" i="3"/>
  <c r="W99" i="3"/>
  <c r="V99" i="3"/>
  <c r="U99" i="3"/>
  <c r="T99" i="3"/>
  <c r="S99" i="3"/>
  <c r="R99" i="3"/>
  <c r="Q99" i="3"/>
  <c r="O99" i="3"/>
  <c r="M99" i="3"/>
  <c r="P99" i="3" s="1"/>
  <c r="M98" i="3"/>
  <c r="Y97" i="3"/>
  <c r="X97" i="3"/>
  <c r="W97" i="3"/>
  <c r="V97" i="3"/>
  <c r="U97" i="3"/>
  <c r="T97" i="3"/>
  <c r="S97" i="3"/>
  <c r="M97" i="3"/>
  <c r="O96" i="3"/>
  <c r="M96" i="3"/>
  <c r="Y95" i="3"/>
  <c r="X95" i="3"/>
  <c r="W95" i="3"/>
  <c r="V95" i="3"/>
  <c r="U95" i="3"/>
  <c r="T95" i="3"/>
  <c r="S95" i="3"/>
  <c r="R95" i="3"/>
  <c r="Q95" i="3"/>
  <c r="P95" i="3"/>
  <c r="N95" i="3"/>
  <c r="M95" i="3"/>
  <c r="O95" i="3" s="1"/>
  <c r="W94" i="3"/>
  <c r="M94" i="3"/>
  <c r="Q94" i="3" s="1"/>
  <c r="Y93" i="3"/>
  <c r="X93" i="3"/>
  <c r="R93" i="3"/>
  <c r="P93" i="3"/>
  <c r="O93" i="3"/>
  <c r="N93" i="3"/>
  <c r="M93" i="3"/>
  <c r="M92" i="3"/>
  <c r="S91" i="3"/>
  <c r="R91" i="3"/>
  <c r="M91" i="3"/>
  <c r="O91" i="3" s="1"/>
  <c r="Y90" i="3"/>
  <c r="X90" i="3"/>
  <c r="W90" i="3"/>
  <c r="V90" i="3"/>
  <c r="U90" i="3"/>
  <c r="T90" i="3"/>
  <c r="S90" i="3"/>
  <c r="R90" i="3"/>
  <c r="Q90" i="3"/>
  <c r="P90" i="3"/>
  <c r="O90" i="3"/>
  <c r="M90" i="3"/>
  <c r="N90" i="3" s="1"/>
  <c r="U89" i="3"/>
  <c r="T89" i="3"/>
  <c r="S89" i="3"/>
  <c r="R89" i="3"/>
  <c r="Q89" i="3"/>
  <c r="M89" i="3"/>
  <c r="Y88" i="3"/>
  <c r="X88" i="3"/>
  <c r="W88" i="3"/>
  <c r="V88" i="3"/>
  <c r="U88" i="3"/>
  <c r="T88" i="3"/>
  <c r="S88" i="3"/>
  <c r="Q88" i="3"/>
  <c r="O88" i="3"/>
  <c r="M88" i="3"/>
  <c r="U87" i="3"/>
  <c r="T87" i="3"/>
  <c r="S87" i="3"/>
  <c r="R87" i="3"/>
  <c r="Q87" i="3"/>
  <c r="P87" i="3"/>
  <c r="O87" i="3"/>
  <c r="N87" i="3"/>
  <c r="M87" i="3"/>
  <c r="Y86" i="3"/>
  <c r="X86" i="3"/>
  <c r="W86" i="3"/>
  <c r="U86" i="3"/>
  <c r="S86" i="3"/>
  <c r="R86" i="3"/>
  <c r="Q86" i="3"/>
  <c r="O86" i="3"/>
  <c r="M86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M84" i="3"/>
  <c r="V84" i="3" s="1"/>
  <c r="M83" i="3"/>
  <c r="Y83" i="3" s="1"/>
  <c r="Y82" i="3"/>
  <c r="X82" i="3"/>
  <c r="W82" i="3"/>
  <c r="V82" i="3"/>
  <c r="T82" i="3"/>
  <c r="M82" i="3"/>
  <c r="Y81" i="3"/>
  <c r="X81" i="3"/>
  <c r="R81" i="3"/>
  <c r="M81" i="3"/>
  <c r="O81" i="3" s="1"/>
  <c r="Y80" i="3"/>
  <c r="X80" i="3"/>
  <c r="V80" i="3"/>
  <c r="S80" i="3"/>
  <c r="R80" i="3"/>
  <c r="Q80" i="3"/>
  <c r="N80" i="3"/>
  <c r="M80" i="3"/>
  <c r="M79" i="3"/>
  <c r="V79" i="3" s="1"/>
  <c r="X78" i="3"/>
  <c r="U78" i="3"/>
  <c r="T78" i="3"/>
  <c r="S78" i="3"/>
  <c r="R78" i="3"/>
  <c r="Q78" i="3"/>
  <c r="O78" i="3"/>
  <c r="M78" i="3"/>
  <c r="M77" i="3"/>
  <c r="T77" i="3" s="1"/>
  <c r="M76" i="3"/>
  <c r="Y75" i="3"/>
  <c r="X75" i="3"/>
  <c r="W75" i="3"/>
  <c r="V75" i="3"/>
  <c r="U75" i="3"/>
  <c r="T75" i="3"/>
  <c r="S75" i="3"/>
  <c r="R75" i="3"/>
  <c r="Q75" i="3"/>
  <c r="O75" i="3"/>
  <c r="M75" i="3"/>
  <c r="P75" i="3" s="1"/>
  <c r="M74" i="3"/>
  <c r="Q74" i="3" s="1"/>
  <c r="Y73" i="3"/>
  <c r="X73" i="3"/>
  <c r="W73" i="3"/>
  <c r="V73" i="3"/>
  <c r="U73" i="3"/>
  <c r="T73" i="3"/>
  <c r="S73" i="3"/>
  <c r="R73" i="3"/>
  <c r="Q73" i="3"/>
  <c r="P73" i="3"/>
  <c r="N73" i="3"/>
  <c r="M73" i="3"/>
  <c r="O73" i="3" s="1"/>
  <c r="Y72" i="3"/>
  <c r="X72" i="3"/>
  <c r="W72" i="3"/>
  <c r="V72" i="3"/>
  <c r="U72" i="3"/>
  <c r="T72" i="3"/>
  <c r="S72" i="3"/>
  <c r="R72" i="3"/>
  <c r="Q72" i="3"/>
  <c r="P72" i="3"/>
  <c r="M72" i="3"/>
  <c r="O72" i="3" s="1"/>
  <c r="W71" i="3"/>
  <c r="M71" i="3"/>
  <c r="Y70" i="3"/>
  <c r="X70" i="3"/>
  <c r="W70" i="3"/>
  <c r="V70" i="3"/>
  <c r="U70" i="3"/>
  <c r="T70" i="3"/>
  <c r="S70" i="3"/>
  <c r="R70" i="3"/>
  <c r="Q70" i="3"/>
  <c r="P70" i="3"/>
  <c r="O70" i="3"/>
  <c r="M70" i="3"/>
  <c r="N70" i="3" s="1"/>
  <c r="T69" i="3"/>
  <c r="Q69" i="3"/>
  <c r="P69" i="3"/>
  <c r="O69" i="3"/>
  <c r="N69" i="3"/>
  <c r="M69" i="3"/>
  <c r="Y68" i="3"/>
  <c r="X68" i="3"/>
  <c r="S68" i="3"/>
  <c r="Q68" i="3"/>
  <c r="O68" i="3"/>
  <c r="M68" i="3"/>
  <c r="N68" i="3" s="1"/>
  <c r="Q67" i="3"/>
  <c r="P67" i="3"/>
  <c r="O67" i="3"/>
  <c r="N67" i="3"/>
  <c r="M67" i="3"/>
  <c r="X66" i="3"/>
  <c r="W66" i="3"/>
  <c r="V66" i="3"/>
  <c r="U66" i="3"/>
  <c r="T66" i="3"/>
  <c r="S66" i="3"/>
  <c r="Q66" i="3"/>
  <c r="M66" i="3"/>
  <c r="X65" i="3"/>
  <c r="U65" i="3"/>
  <c r="P65" i="3"/>
  <c r="O65" i="3"/>
  <c r="N65" i="3"/>
  <c r="M65" i="3"/>
  <c r="M64" i="3"/>
  <c r="W64" i="3" s="1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M62" i="3"/>
  <c r="W62" i="3" s="1"/>
  <c r="M61" i="3"/>
  <c r="N61" i="3" s="1"/>
  <c r="M60" i="3"/>
  <c r="N60" i="3" s="1"/>
  <c r="M59" i="3"/>
  <c r="T59" i="3" s="1"/>
  <c r="M58" i="3"/>
  <c r="P58" i="3" s="1"/>
  <c r="X57" i="3"/>
  <c r="V57" i="3"/>
  <c r="U57" i="3"/>
  <c r="T57" i="3"/>
  <c r="S57" i="3"/>
  <c r="R57" i="3"/>
  <c r="M57" i="3"/>
  <c r="O57" i="3" s="1"/>
  <c r="X56" i="3"/>
  <c r="O56" i="3"/>
  <c r="M56" i="3"/>
  <c r="Y55" i="3"/>
  <c r="X55" i="3"/>
  <c r="W55" i="3"/>
  <c r="V55" i="3"/>
  <c r="U55" i="3"/>
  <c r="T55" i="3"/>
  <c r="S55" i="3"/>
  <c r="R55" i="3"/>
  <c r="Q55" i="3"/>
  <c r="N55" i="3"/>
  <c r="M55" i="3"/>
  <c r="P55" i="3" s="1"/>
  <c r="U54" i="3"/>
  <c r="M54" i="3"/>
  <c r="Y53" i="3"/>
  <c r="X53" i="3"/>
  <c r="W53" i="3"/>
  <c r="V53" i="3"/>
  <c r="U53" i="3"/>
  <c r="T53" i="3"/>
  <c r="S53" i="3"/>
  <c r="R53" i="3"/>
  <c r="Q53" i="3"/>
  <c r="P53" i="3"/>
  <c r="M53" i="3"/>
  <c r="N53" i="3" s="1"/>
  <c r="M52" i="3"/>
  <c r="Q52" i="3" s="1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M50" i="3"/>
  <c r="U50" i="3" s="1"/>
  <c r="Y49" i="3"/>
  <c r="X49" i="3"/>
  <c r="W49" i="3"/>
  <c r="V49" i="3"/>
  <c r="U49" i="3"/>
  <c r="R49" i="3"/>
  <c r="N49" i="3"/>
  <c r="M49" i="3"/>
  <c r="M48" i="3"/>
  <c r="N48" i="3" s="1"/>
  <c r="M47" i="3"/>
  <c r="Y47" i="3" s="1"/>
  <c r="M46" i="3"/>
  <c r="O46" i="3" s="1"/>
  <c r="X45" i="3"/>
  <c r="W45" i="3"/>
  <c r="U45" i="3"/>
  <c r="N45" i="3"/>
  <c r="M45" i="3"/>
  <c r="Y44" i="3"/>
  <c r="T44" i="3"/>
  <c r="S44" i="3"/>
  <c r="Q44" i="3"/>
  <c r="O44" i="3"/>
  <c r="N44" i="3"/>
  <c r="M44" i="3"/>
  <c r="Y43" i="3"/>
  <c r="W43" i="3"/>
  <c r="T43" i="3"/>
  <c r="S43" i="3"/>
  <c r="R43" i="3"/>
  <c r="Q43" i="3"/>
  <c r="P43" i="3"/>
  <c r="O43" i="3"/>
  <c r="N43" i="3"/>
  <c r="M43" i="3"/>
  <c r="Y42" i="3"/>
  <c r="X42" i="3"/>
  <c r="W42" i="3"/>
  <c r="U42" i="3"/>
  <c r="S42" i="3"/>
  <c r="R42" i="3"/>
  <c r="Q42" i="3"/>
  <c r="P42" i="3"/>
  <c r="O42" i="3"/>
  <c r="N42" i="3"/>
  <c r="M42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T40" i="3"/>
  <c r="S40" i="3"/>
  <c r="R40" i="3"/>
  <c r="Q40" i="3"/>
  <c r="O40" i="3"/>
  <c r="M40" i="3"/>
  <c r="M39" i="3"/>
  <c r="N39" i="3" s="1"/>
  <c r="Y38" i="3"/>
  <c r="T38" i="3"/>
  <c r="S38" i="3"/>
  <c r="Q38" i="3"/>
  <c r="O38" i="3"/>
  <c r="N38" i="3"/>
  <c r="M38" i="3"/>
  <c r="M37" i="3"/>
  <c r="Y37" i="3" s="1"/>
  <c r="Y36" i="3"/>
  <c r="S36" i="3"/>
  <c r="Q36" i="3"/>
  <c r="P36" i="3"/>
  <c r="O36" i="3"/>
  <c r="N36" i="3"/>
  <c r="M36" i="3"/>
  <c r="M35" i="3"/>
  <c r="X35" i="3" s="1"/>
  <c r="Y34" i="3"/>
  <c r="Q34" i="3"/>
  <c r="O34" i="3"/>
  <c r="M34" i="3"/>
  <c r="W33" i="3"/>
  <c r="V33" i="3"/>
  <c r="U33" i="3"/>
  <c r="T33" i="3"/>
  <c r="S33" i="3"/>
  <c r="R33" i="3"/>
  <c r="M33" i="3"/>
  <c r="Y32" i="3"/>
  <c r="O32" i="3"/>
  <c r="N32" i="3"/>
  <c r="M32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Y30" i="3"/>
  <c r="Q30" i="3"/>
  <c r="P30" i="3"/>
  <c r="O30" i="3"/>
  <c r="N30" i="3"/>
  <c r="M30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T28" i="3"/>
  <c r="S28" i="3"/>
  <c r="O28" i="3"/>
  <c r="N28" i="3"/>
  <c r="M28" i="3"/>
  <c r="M27" i="3"/>
  <c r="T27" i="3" s="1"/>
  <c r="M26" i="3"/>
  <c r="Y25" i="3"/>
  <c r="X25" i="3"/>
  <c r="V25" i="3"/>
  <c r="T25" i="3"/>
  <c r="R25" i="3"/>
  <c r="P25" i="3"/>
  <c r="O25" i="3"/>
  <c r="N25" i="3"/>
  <c r="M25" i="3"/>
  <c r="M24" i="3"/>
  <c r="S24" i="3" s="1"/>
  <c r="M23" i="3"/>
  <c r="N23" i="3" s="1"/>
  <c r="M22" i="3"/>
  <c r="Y21" i="3"/>
  <c r="X21" i="3"/>
  <c r="O21" i="3"/>
  <c r="M21" i="3"/>
  <c r="M20" i="3"/>
  <c r="Q20" i="3" s="1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Y18" i="3"/>
  <c r="W18" i="3"/>
  <c r="V18" i="3"/>
  <c r="U18" i="3"/>
  <c r="T18" i="3"/>
  <c r="S18" i="3"/>
  <c r="R18" i="3"/>
  <c r="Q18" i="3"/>
  <c r="P18" i="3"/>
  <c r="N18" i="3"/>
  <c r="M18" i="3"/>
  <c r="X18" i="3" s="1"/>
  <c r="Y17" i="3"/>
  <c r="X17" i="3"/>
  <c r="W17" i="3"/>
  <c r="V17" i="3"/>
  <c r="U17" i="3"/>
  <c r="T17" i="3"/>
  <c r="S17" i="3"/>
  <c r="R17" i="3"/>
  <c r="P17" i="3"/>
  <c r="M17" i="3"/>
  <c r="P16" i="3"/>
  <c r="O16" i="3"/>
  <c r="N16" i="3"/>
  <c r="M16" i="3"/>
  <c r="Y15" i="3"/>
  <c r="X15" i="3"/>
  <c r="W15" i="3"/>
  <c r="V15" i="3"/>
  <c r="T15" i="3"/>
  <c r="R15" i="3"/>
  <c r="Q15" i="3"/>
  <c r="P15" i="3"/>
  <c r="M15" i="3"/>
  <c r="W14" i="3"/>
  <c r="V14" i="3"/>
  <c r="Q14" i="3"/>
  <c r="P14" i="3"/>
  <c r="O14" i="3"/>
  <c r="N14" i="3"/>
  <c r="M14" i="3"/>
  <c r="X13" i="3"/>
  <c r="V13" i="3"/>
  <c r="U13" i="3"/>
  <c r="T13" i="3"/>
  <c r="S13" i="3"/>
  <c r="R13" i="3"/>
  <c r="Q13" i="3"/>
  <c r="N13" i="3"/>
  <c r="M13" i="3"/>
  <c r="M12" i="3"/>
  <c r="W12" i="3" s="1"/>
  <c r="Y11" i="3"/>
  <c r="X11" i="3"/>
  <c r="W11" i="3"/>
  <c r="V11" i="3"/>
  <c r="U11" i="3"/>
  <c r="T11" i="3"/>
  <c r="M11" i="3"/>
  <c r="M10" i="3"/>
  <c r="Y10" i="3" s="1"/>
  <c r="M9" i="3"/>
  <c r="Y9" i="3" s="1"/>
  <c r="U8" i="3"/>
  <c r="T8" i="3"/>
  <c r="S8" i="3"/>
  <c r="N8" i="3"/>
  <c r="M8" i="3"/>
  <c r="Y7" i="3"/>
  <c r="X7" i="3"/>
  <c r="W7" i="3"/>
  <c r="V7" i="3"/>
  <c r="U7" i="3"/>
  <c r="T7" i="3"/>
  <c r="S7" i="3"/>
  <c r="R7" i="3"/>
  <c r="Q7" i="3"/>
  <c r="P7" i="3"/>
  <c r="O7" i="3"/>
  <c r="N7" i="3"/>
  <c r="M7" i="3"/>
  <c r="Y6" i="3"/>
  <c r="X6" i="3"/>
  <c r="W6" i="3"/>
  <c r="V6" i="3"/>
  <c r="U6" i="3"/>
  <c r="T6" i="3"/>
  <c r="S6" i="3"/>
  <c r="R6" i="3"/>
  <c r="Q6" i="3"/>
  <c r="P6" i="3"/>
  <c r="O6" i="3"/>
  <c r="N6" i="3"/>
  <c r="M6" i="3"/>
  <c r="M5" i="3"/>
  <c r="Y4" i="3"/>
  <c r="X4" i="3"/>
  <c r="W4" i="3"/>
  <c r="V4" i="3"/>
  <c r="U4" i="3"/>
  <c r="T4" i="3"/>
  <c r="S4" i="3"/>
  <c r="R4" i="3"/>
  <c r="Q4" i="3"/>
  <c r="P4" i="3"/>
  <c r="M4" i="3"/>
  <c r="O4" i="3" s="1"/>
  <c r="O3" i="3"/>
  <c r="M3" i="3"/>
  <c r="Y2" i="3"/>
  <c r="X2" i="3"/>
  <c r="W2" i="3"/>
  <c r="V2" i="3"/>
  <c r="U2" i="3"/>
  <c r="T2" i="3"/>
  <c r="S2" i="3"/>
  <c r="R2" i="3"/>
  <c r="O2" i="3"/>
  <c r="M2" i="3"/>
  <c r="N2" i="3" s="1"/>
  <c r="J8" i="1"/>
  <c r="E8" i="1"/>
  <c r="J7" i="1"/>
  <c r="E7" i="1"/>
  <c r="J6" i="1"/>
  <c r="E6" i="1"/>
  <c r="J5" i="1"/>
  <c r="E5" i="1"/>
  <c r="J4" i="1"/>
  <c r="E4" i="1"/>
  <c r="Y111" i="3" l="1"/>
  <c r="X111" i="3"/>
  <c r="U111" i="3"/>
  <c r="T111" i="3"/>
  <c r="S111" i="3"/>
  <c r="O58" i="3"/>
  <c r="Y354" i="3"/>
  <c r="X354" i="3"/>
  <c r="S354" i="3"/>
  <c r="Q354" i="3"/>
  <c r="U354" i="3"/>
  <c r="T354" i="3"/>
  <c r="R354" i="3"/>
  <c r="O354" i="3"/>
  <c r="W354" i="3"/>
  <c r="V354" i="3"/>
  <c r="Q58" i="3"/>
  <c r="R74" i="3"/>
  <c r="N50" i="3"/>
  <c r="W39" i="3"/>
  <c r="W223" i="3"/>
  <c r="R37" i="3"/>
  <c r="W218" i="3"/>
  <c r="X223" i="3"/>
  <c r="R450" i="3"/>
  <c r="O10" i="3"/>
  <c r="R20" i="3"/>
  <c r="V23" i="3"/>
  <c r="N27" i="3"/>
  <c r="O35" i="3"/>
  <c r="T37" i="3"/>
  <c r="Y39" i="3"/>
  <c r="L8" i="2" s="1"/>
  <c r="V47" i="3"/>
  <c r="P56" i="3"/>
  <c r="N56" i="3"/>
  <c r="W56" i="3"/>
  <c r="U56" i="3"/>
  <c r="T56" i="3"/>
  <c r="V56" i="3"/>
  <c r="S56" i="3"/>
  <c r="R56" i="3"/>
  <c r="W59" i="3"/>
  <c r="V62" i="3"/>
  <c r="Y74" i="3"/>
  <c r="O77" i="3"/>
  <c r="R83" i="3"/>
  <c r="W109" i="3"/>
  <c r="T120" i="3"/>
  <c r="R120" i="3"/>
  <c r="Q120" i="3"/>
  <c r="V120" i="3"/>
  <c r="Y120" i="3"/>
  <c r="X120" i="3"/>
  <c r="W120" i="3"/>
  <c r="P120" i="3"/>
  <c r="O120" i="3"/>
  <c r="N120" i="3"/>
  <c r="W143" i="3"/>
  <c r="S150" i="3"/>
  <c r="Q150" i="3"/>
  <c r="P150" i="3"/>
  <c r="X150" i="3"/>
  <c r="W150" i="3"/>
  <c r="V150" i="3"/>
  <c r="S159" i="3"/>
  <c r="N165" i="3"/>
  <c r="X165" i="3"/>
  <c r="Y165" i="3"/>
  <c r="W165" i="3"/>
  <c r="V165" i="3"/>
  <c r="U165" i="3"/>
  <c r="O165" i="3"/>
  <c r="R165" i="3"/>
  <c r="Q165" i="3"/>
  <c r="P165" i="3"/>
  <c r="X181" i="3"/>
  <c r="V181" i="3"/>
  <c r="U181" i="3"/>
  <c r="O181" i="3"/>
  <c r="W181" i="3"/>
  <c r="T181" i="3"/>
  <c r="S181" i="3"/>
  <c r="R181" i="3"/>
  <c r="Y181" i="3"/>
  <c r="T203" i="3"/>
  <c r="Q203" i="3"/>
  <c r="Y203" i="3"/>
  <c r="R203" i="3"/>
  <c r="X203" i="3"/>
  <c r="U203" i="3"/>
  <c r="S203" i="3"/>
  <c r="O203" i="3"/>
  <c r="P203" i="3"/>
  <c r="U211" i="3"/>
  <c r="T211" i="3"/>
  <c r="R211" i="3"/>
  <c r="Q211" i="3"/>
  <c r="N211" i="3"/>
  <c r="P211" i="3"/>
  <c r="O211" i="3"/>
  <c r="P257" i="3"/>
  <c r="X230" i="3"/>
  <c r="V230" i="3"/>
  <c r="S230" i="3"/>
  <c r="N230" i="3"/>
  <c r="Y230" i="3"/>
  <c r="W230" i="3"/>
  <c r="O100" i="3"/>
  <c r="N111" i="3"/>
  <c r="S262" i="3"/>
  <c r="O262" i="3"/>
  <c r="N262" i="3"/>
  <c r="X262" i="3"/>
  <c r="W262" i="3"/>
  <c r="Y262" i="3"/>
  <c r="V262" i="3"/>
  <c r="U262" i="3"/>
  <c r="S303" i="3"/>
  <c r="T303" i="3"/>
  <c r="R303" i="3"/>
  <c r="O303" i="3"/>
  <c r="Y303" i="3"/>
  <c r="X303" i="3"/>
  <c r="W303" i="3"/>
  <c r="V303" i="3"/>
  <c r="U303" i="3"/>
  <c r="T76" i="3"/>
  <c r="R76" i="3"/>
  <c r="Y76" i="3"/>
  <c r="X76" i="3"/>
  <c r="V92" i="3"/>
  <c r="Y92" i="3"/>
  <c r="X92" i="3"/>
  <c r="W92" i="3"/>
  <c r="S92" i="3"/>
  <c r="R92" i="3"/>
  <c r="Q92" i="3"/>
  <c r="P230" i="3"/>
  <c r="P262" i="3"/>
  <c r="N298" i="3"/>
  <c r="N353" i="3"/>
  <c r="V361" i="3"/>
  <c r="U361" i="3"/>
  <c r="P361" i="3"/>
  <c r="Y361" i="3"/>
  <c r="W361" i="3"/>
  <c r="S361" i="3"/>
  <c r="Q361" i="3"/>
  <c r="O361" i="3"/>
  <c r="N361" i="3"/>
  <c r="X361" i="3"/>
  <c r="T361" i="3"/>
  <c r="T373" i="3"/>
  <c r="S373" i="3"/>
  <c r="N373" i="3"/>
  <c r="U373" i="3"/>
  <c r="R373" i="3"/>
  <c r="Q373" i="3"/>
  <c r="X373" i="3"/>
  <c r="W373" i="3"/>
  <c r="P373" i="3"/>
  <c r="N76" i="3"/>
  <c r="N92" i="3"/>
  <c r="W157" i="3"/>
  <c r="S281" i="3"/>
  <c r="V281" i="3"/>
  <c r="T281" i="3"/>
  <c r="Y281" i="3"/>
  <c r="W281" i="3"/>
  <c r="U281" i="3"/>
  <c r="P281" i="3"/>
  <c r="O281" i="3"/>
  <c r="N281" i="3"/>
  <c r="O9" i="3"/>
  <c r="P39" i="3"/>
  <c r="O74" i="3"/>
  <c r="O92" i="3"/>
  <c r="T98" i="3"/>
  <c r="R98" i="3"/>
  <c r="Y98" i="3"/>
  <c r="V98" i="3"/>
  <c r="U98" i="3"/>
  <c r="S98" i="3"/>
  <c r="X119" i="3"/>
  <c r="U119" i="3"/>
  <c r="T119" i="3"/>
  <c r="S119" i="3"/>
  <c r="R119" i="3"/>
  <c r="P142" i="3"/>
  <c r="X157" i="3"/>
  <c r="R230" i="3"/>
  <c r="R262" i="3"/>
  <c r="Q281" i="3"/>
  <c r="Q303" i="3"/>
  <c r="V64" i="3"/>
  <c r="T64" i="3"/>
  <c r="N64" i="3"/>
  <c r="Y64" i="3"/>
  <c r="X64" i="3"/>
  <c r="R111" i="3"/>
  <c r="Q202" i="3"/>
  <c r="X202" i="3"/>
  <c r="V202" i="3"/>
  <c r="U202" i="3"/>
  <c r="O202" i="3"/>
  <c r="N202" i="3"/>
  <c r="Y235" i="3"/>
  <c r="X235" i="3"/>
  <c r="S235" i="3"/>
  <c r="R235" i="3"/>
  <c r="U235" i="3"/>
  <c r="T235" i="3"/>
  <c r="Q235" i="3"/>
  <c r="P235" i="3"/>
  <c r="O235" i="3"/>
  <c r="R281" i="3"/>
  <c r="P12" i="3"/>
  <c r="Y26" i="3"/>
  <c r="X26" i="3"/>
  <c r="U26" i="3"/>
  <c r="W26" i="3"/>
  <c r="V26" i="3"/>
  <c r="R26" i="3"/>
  <c r="Q26" i="3"/>
  <c r="P26" i="3"/>
  <c r="S39" i="3"/>
  <c r="Q79" i="3"/>
  <c r="T92" i="3"/>
  <c r="N109" i="3"/>
  <c r="P202" i="3"/>
  <c r="Y465" i="3"/>
  <c r="X465" i="3"/>
  <c r="W465" i="3"/>
  <c r="V465" i="3"/>
  <c r="U465" i="3"/>
  <c r="S465" i="3"/>
  <c r="R465" i="3"/>
  <c r="Q465" i="3"/>
  <c r="O465" i="3"/>
  <c r="T465" i="3"/>
  <c r="P465" i="3"/>
  <c r="N465" i="3"/>
  <c r="W9" i="3"/>
  <c r="T39" i="3"/>
  <c r="W50" i="3"/>
  <c r="Y50" i="3"/>
  <c r="X50" i="3"/>
  <c r="T50" i="3"/>
  <c r="S50" i="3"/>
  <c r="R50" i="3"/>
  <c r="P64" i="3"/>
  <c r="U79" i="3"/>
  <c r="U92" i="3"/>
  <c r="O109" i="3"/>
  <c r="X142" i="3"/>
  <c r="Q5" i="3"/>
  <c r="U5" i="3"/>
  <c r="Y5" i="3"/>
  <c r="X5" i="3"/>
  <c r="W5" i="3"/>
  <c r="V5" i="3"/>
  <c r="R5" i="3"/>
  <c r="P5" i="3"/>
  <c r="O5" i="3"/>
  <c r="P23" i="3"/>
  <c r="N47" i="3"/>
  <c r="Y58" i="3"/>
  <c r="S74" i="3"/>
  <c r="P109" i="3"/>
  <c r="S218" i="3"/>
  <c r="Q218" i="3"/>
  <c r="P218" i="3"/>
  <c r="T218" i="3"/>
  <c r="R218" i="3"/>
  <c r="O218" i="3"/>
  <c r="N218" i="3"/>
  <c r="V268" i="3"/>
  <c r="N5" i="3"/>
  <c r="Q23" i="3"/>
  <c r="W104" i="3"/>
  <c r="V104" i="3"/>
  <c r="U104" i="3"/>
  <c r="T104" i="3"/>
  <c r="V223" i="3"/>
  <c r="S5" i="3"/>
  <c r="R23" i="3"/>
  <c r="N83" i="3"/>
  <c r="W119" i="3"/>
  <c r="U135" i="3"/>
  <c r="Y135" i="3"/>
  <c r="W202" i="3"/>
  <c r="N257" i="3"/>
  <c r="X39" i="3"/>
  <c r="S47" i="3"/>
  <c r="Q50" i="3"/>
  <c r="U64" i="3"/>
  <c r="V109" i="3"/>
  <c r="N184" i="3"/>
  <c r="W184" i="3"/>
  <c r="X184" i="3"/>
  <c r="Y184" i="3"/>
  <c r="T184" i="3"/>
  <c r="S184" i="3"/>
  <c r="Q184" i="3"/>
  <c r="R184" i="3"/>
  <c r="U3" i="3"/>
  <c r="D7" i="2" s="1"/>
  <c r="X3" i="3"/>
  <c r="W3" i="3"/>
  <c r="Y3" i="3"/>
  <c r="L7" i="2" s="1"/>
  <c r="S3" i="3"/>
  <c r="K7" i="1" s="1"/>
  <c r="R3" i="3"/>
  <c r="K6" i="1" s="1"/>
  <c r="Q3" i="3"/>
  <c r="P10" i="3"/>
  <c r="W21" i="3"/>
  <c r="U21" i="3"/>
  <c r="W23" i="3"/>
  <c r="P27" i="3"/>
  <c r="P35" i="3"/>
  <c r="V37" i="3"/>
  <c r="X47" i="3"/>
  <c r="V50" i="3"/>
  <c r="X59" i="3"/>
  <c r="P77" i="3"/>
  <c r="S83" i="3"/>
  <c r="X96" i="3"/>
  <c r="V96" i="3"/>
  <c r="U96" i="3"/>
  <c r="Y96" i="3"/>
  <c r="W96" i="3"/>
  <c r="R96" i="3"/>
  <c r="Q96" i="3"/>
  <c r="P96" i="3"/>
  <c r="Q104" i="3"/>
  <c r="O126" i="3"/>
  <c r="W126" i="3"/>
  <c r="P135" i="3"/>
  <c r="X159" i="3"/>
  <c r="P184" i="3"/>
  <c r="Y218" i="3"/>
  <c r="T221" i="3"/>
  <c r="Q221" i="3"/>
  <c r="U221" i="3"/>
  <c r="S221" i="3"/>
  <c r="Y221" i="3"/>
  <c r="W221" i="3"/>
  <c r="V221" i="3"/>
  <c r="R221" i="3"/>
  <c r="P221" i="3"/>
  <c r="Q257" i="3"/>
  <c r="N3" i="3"/>
  <c r="Q10" i="3"/>
  <c r="Q16" i="3"/>
  <c r="W16" i="3"/>
  <c r="Y16" i="3"/>
  <c r="X16" i="3"/>
  <c r="T16" i="3"/>
  <c r="S16" i="3"/>
  <c r="R16" i="3"/>
  <c r="N21" i="3"/>
  <c r="X23" i="3"/>
  <c r="Q35" i="3"/>
  <c r="W37" i="3"/>
  <c r="Q56" i="3"/>
  <c r="Y59" i="3"/>
  <c r="P68" i="3"/>
  <c r="T83" i="3"/>
  <c r="N96" i="3"/>
  <c r="R104" i="3"/>
  <c r="U120" i="3"/>
  <c r="S124" i="3"/>
  <c r="Y124" i="3"/>
  <c r="N126" i="3"/>
  <c r="Q135" i="3"/>
  <c r="X140" i="3"/>
  <c r="T140" i="3"/>
  <c r="S140" i="3"/>
  <c r="R140" i="3"/>
  <c r="Q140" i="3"/>
  <c r="Y140" i="3"/>
  <c r="L6" i="2" s="1"/>
  <c r="W140" i="3"/>
  <c r="V140" i="3"/>
  <c r="O150" i="3"/>
  <c r="W155" i="3"/>
  <c r="U155" i="3"/>
  <c r="T155" i="3"/>
  <c r="N155" i="3"/>
  <c r="R155" i="3"/>
  <c r="Q155" i="3"/>
  <c r="P155" i="3"/>
  <c r="O155" i="3"/>
  <c r="X155" i="3"/>
  <c r="V155" i="3"/>
  <c r="S155" i="3"/>
  <c r="Y159" i="3"/>
  <c r="T165" i="3"/>
  <c r="P181" i="3"/>
  <c r="U184" i="3"/>
  <c r="V203" i="3"/>
  <c r="V211" i="3"/>
  <c r="N221" i="3"/>
  <c r="T257" i="3"/>
  <c r="X306" i="3"/>
  <c r="R306" i="3"/>
  <c r="P306" i="3"/>
  <c r="U306" i="3"/>
  <c r="T306" i="3"/>
  <c r="S306" i="3"/>
  <c r="O414" i="3"/>
  <c r="N414" i="3"/>
  <c r="Y414" i="3"/>
  <c r="X414" i="3"/>
  <c r="V414" i="3"/>
  <c r="W414" i="3"/>
  <c r="U414" i="3"/>
  <c r="S414" i="3"/>
  <c r="W440" i="3"/>
  <c r="Y440" i="3"/>
  <c r="X440" i="3"/>
  <c r="T440" i="3"/>
  <c r="S440" i="3"/>
  <c r="U440" i="3"/>
  <c r="V440" i="3"/>
  <c r="R440" i="3"/>
  <c r="Q440" i="3"/>
  <c r="O440" i="3"/>
  <c r="P440" i="3"/>
  <c r="R163" i="3"/>
  <c r="W163" i="3"/>
  <c r="V163" i="3"/>
  <c r="U163" i="3"/>
  <c r="T163" i="3"/>
  <c r="S163" i="3"/>
  <c r="Q163" i="3"/>
  <c r="P163" i="3"/>
  <c r="N163" i="3"/>
  <c r="O163" i="3"/>
  <c r="W61" i="3"/>
  <c r="Q262" i="3"/>
  <c r="N12" i="3"/>
  <c r="U12" i="3"/>
  <c r="F4" i="1" s="1"/>
  <c r="H4" i="1" s="1"/>
  <c r="Y12" i="3"/>
  <c r="V12" i="3"/>
  <c r="T12" i="3"/>
  <c r="I8" i="1" s="1"/>
  <c r="S12" i="3"/>
  <c r="F4" i="2"/>
  <c r="O367" i="3"/>
  <c r="W100" i="3"/>
  <c r="Q142" i="3"/>
  <c r="V243" i="3"/>
  <c r="T243" i="3"/>
  <c r="S243" i="3"/>
  <c r="Y243" i="3"/>
  <c r="Q243" i="3"/>
  <c r="P243" i="3"/>
  <c r="X243" i="3"/>
  <c r="W243" i="3"/>
  <c r="U243" i="3"/>
  <c r="R243" i="3"/>
  <c r="T262" i="3"/>
  <c r="P367" i="3"/>
  <c r="T46" i="3"/>
  <c r="X62" i="3"/>
  <c r="Q62" i="3"/>
  <c r="O62" i="3"/>
  <c r="N62" i="3"/>
  <c r="Y62" i="3"/>
  <c r="Q76" i="3"/>
  <c r="O98" i="3"/>
  <c r="O119" i="3"/>
  <c r="P223" i="3"/>
  <c r="N26" i="3"/>
  <c r="T58" i="3"/>
  <c r="S76" i="3"/>
  <c r="W111" i="3"/>
  <c r="P119" i="3"/>
  <c r="S146" i="3"/>
  <c r="Y146" i="3"/>
  <c r="W146" i="3"/>
  <c r="V146" i="3"/>
  <c r="O146" i="3"/>
  <c r="X146" i="3"/>
  <c r="U146" i="3"/>
  <c r="T146" i="3"/>
  <c r="P146" i="3"/>
  <c r="R146" i="3"/>
  <c r="Q146" i="3"/>
  <c r="R158" i="3"/>
  <c r="V183" i="3"/>
  <c r="X183" i="3"/>
  <c r="T183" i="3"/>
  <c r="R183" i="3"/>
  <c r="Q183" i="3"/>
  <c r="Y183" i="3"/>
  <c r="W183" i="3"/>
  <c r="U183" i="3"/>
  <c r="S183" i="3"/>
  <c r="Q256" i="3"/>
  <c r="Q64" i="3"/>
  <c r="Q119" i="3"/>
  <c r="W235" i="3"/>
  <c r="U250" i="3"/>
  <c r="Y250" i="3"/>
  <c r="R250" i="3"/>
  <c r="P250" i="3"/>
  <c r="O250" i="3"/>
  <c r="T250" i="3"/>
  <c r="Q250" i="3"/>
  <c r="S250" i="3"/>
  <c r="X250" i="3"/>
  <c r="W250" i="3"/>
  <c r="V250" i="3"/>
  <c r="V335" i="3"/>
  <c r="S26" i="3"/>
  <c r="V39" i="3"/>
  <c r="V76" i="3"/>
  <c r="T26" i="3"/>
  <c r="U74" i="3"/>
  <c r="S27" i="3"/>
  <c r="Q27" i="3"/>
  <c r="R27" i="3"/>
  <c r="O27" i="3"/>
  <c r="U62" i="3"/>
  <c r="N135" i="3"/>
  <c r="T195" i="3"/>
  <c r="Q195" i="3"/>
  <c r="O195" i="3"/>
  <c r="N195" i="3"/>
  <c r="W195" i="3"/>
  <c r="V195" i="3"/>
  <c r="U195" i="3"/>
  <c r="S195" i="3"/>
  <c r="Y195" i="3"/>
  <c r="V257" i="3"/>
  <c r="P3" i="3"/>
  <c r="V8" i="3"/>
  <c r="Y8" i="3"/>
  <c r="X8" i="3"/>
  <c r="W8" i="3"/>
  <c r="T10" i="3"/>
  <c r="P21" i="3"/>
  <c r="O24" i="3"/>
  <c r="V27" i="3"/>
  <c r="S35" i="3"/>
  <c r="Y45" i="3"/>
  <c r="V45" i="3"/>
  <c r="T45" i="3"/>
  <c r="S45" i="3"/>
  <c r="Y56" i="3"/>
  <c r="R68" i="3"/>
  <c r="N94" i="3"/>
  <c r="S96" i="3"/>
  <c r="Y102" i="3"/>
  <c r="X102" i="3"/>
  <c r="W102" i="3"/>
  <c r="V102" i="3"/>
  <c r="U102" i="3"/>
  <c r="X104" i="3"/>
  <c r="O124" i="3"/>
  <c r="Q126" i="3"/>
  <c r="X133" i="3"/>
  <c r="Y133" i="3"/>
  <c r="W133" i="3"/>
  <c r="V133" i="3"/>
  <c r="U133" i="3"/>
  <c r="S135" i="3"/>
  <c r="T150" i="3"/>
  <c r="U156" i="3"/>
  <c r="X156" i="3"/>
  <c r="R156" i="3"/>
  <c r="N156" i="3"/>
  <c r="Q156" i="3"/>
  <c r="P156" i="3"/>
  <c r="O156" i="3"/>
  <c r="N173" i="3"/>
  <c r="N192" i="3"/>
  <c r="P195" i="3"/>
  <c r="X211" i="3"/>
  <c r="X221" i="3"/>
  <c r="Y309" i="3"/>
  <c r="W309" i="3"/>
  <c r="O309" i="3"/>
  <c r="N309" i="3"/>
  <c r="S309" i="3"/>
  <c r="Q309" i="3"/>
  <c r="P309" i="3"/>
  <c r="V309" i="3"/>
  <c r="U309" i="3"/>
  <c r="Q414" i="3"/>
  <c r="T417" i="3"/>
  <c r="S417" i="3"/>
  <c r="N417" i="3"/>
  <c r="Y417" i="3"/>
  <c r="X417" i="3"/>
  <c r="W417" i="3"/>
  <c r="U417" i="3"/>
  <c r="Q417" i="3"/>
  <c r="O417" i="3"/>
  <c r="V417" i="3"/>
  <c r="R417" i="3"/>
  <c r="P417" i="3"/>
  <c r="Q61" i="3"/>
  <c r="O61" i="3"/>
  <c r="U61" i="3"/>
  <c r="T61" i="3"/>
  <c r="S61" i="3"/>
  <c r="P61" i="3"/>
  <c r="R61" i="3"/>
  <c r="T157" i="3"/>
  <c r="R157" i="3"/>
  <c r="Q157" i="3"/>
  <c r="V157" i="3"/>
  <c r="U157" i="3"/>
  <c r="S157" i="3"/>
  <c r="P157" i="3"/>
  <c r="U142" i="3"/>
  <c r="V142" i="3"/>
  <c r="T142" i="3"/>
  <c r="S142" i="3"/>
  <c r="R142" i="3"/>
  <c r="R22" i="3"/>
  <c r="P22" i="3"/>
  <c r="Y22" i="3"/>
  <c r="X22" i="3"/>
  <c r="W22" i="3"/>
  <c r="U22" i="3"/>
  <c r="V22" i="3"/>
  <c r="Q22" i="3"/>
  <c r="O22" i="3"/>
  <c r="N22" i="3"/>
  <c r="V61" i="3"/>
  <c r="Y163" i="3"/>
  <c r="W242" i="3"/>
  <c r="O373" i="3"/>
  <c r="S100" i="3"/>
  <c r="V9" i="3"/>
  <c r="U37" i="3"/>
  <c r="S37" i="3"/>
  <c r="V111" i="3"/>
  <c r="N235" i="3"/>
  <c r="N243" i="3"/>
  <c r="N256" i="3"/>
  <c r="P268" i="3"/>
  <c r="X281" i="3"/>
  <c r="N354" i="3"/>
  <c r="Q367" i="3"/>
  <c r="P98" i="3"/>
  <c r="S209" i="3"/>
  <c r="Y142" i="3"/>
  <c r="N183" i="3"/>
  <c r="S202" i="3"/>
  <c r="P37" i="3"/>
  <c r="R64" i="3"/>
  <c r="R469" i="3"/>
  <c r="Q37" i="3"/>
  <c r="T62" i="3"/>
  <c r="N77" i="3"/>
  <c r="Y77" i="3"/>
  <c r="V77" i="3"/>
  <c r="X77" i="3"/>
  <c r="W77" i="3"/>
  <c r="S77" i="3"/>
  <c r="R77" i="3"/>
  <c r="Q77" i="3"/>
  <c r="S10" i="3"/>
  <c r="U27" i="3"/>
  <c r="R35" i="3"/>
  <c r="Y48" i="3"/>
  <c r="X48" i="3"/>
  <c r="W48" i="3"/>
  <c r="V48" i="3"/>
  <c r="S48" i="3"/>
  <c r="R48" i="3"/>
  <c r="Q48" i="3"/>
  <c r="S60" i="3"/>
  <c r="Q60" i="3"/>
  <c r="P60" i="3"/>
  <c r="Y60" i="3"/>
  <c r="X60" i="3"/>
  <c r="W60" i="3"/>
  <c r="S115" i="3"/>
  <c r="Q115" i="3"/>
  <c r="Y115" i="3"/>
  <c r="X115" i="3"/>
  <c r="W115" i="3"/>
  <c r="V115" i="3"/>
  <c r="V184" i="3"/>
  <c r="Y33" i="3"/>
  <c r="X33" i="3"/>
  <c r="O48" i="3"/>
  <c r="O60" i="3"/>
  <c r="P192" i="3"/>
  <c r="V3" i="3"/>
  <c r="F5" i="1" s="1"/>
  <c r="H5" i="1" s="1"/>
  <c r="O8" i="3"/>
  <c r="R11" i="3"/>
  <c r="N11" i="3"/>
  <c r="Q11" i="3"/>
  <c r="P11" i="3"/>
  <c r="O11" i="3"/>
  <c r="G8" i="1" s="1"/>
  <c r="U16" i="3"/>
  <c r="R21" i="3"/>
  <c r="T24" i="3"/>
  <c r="X27" i="3"/>
  <c r="N33" i="3"/>
  <c r="U35" i="3"/>
  <c r="O45" i="3"/>
  <c r="P48" i="3"/>
  <c r="R60" i="3"/>
  <c r="T68" i="3"/>
  <c r="N81" i="3"/>
  <c r="Y89" i="3"/>
  <c r="X89" i="3"/>
  <c r="W89" i="3"/>
  <c r="V89" i="3"/>
  <c r="N91" i="3"/>
  <c r="P94" i="3"/>
  <c r="O102" i="3"/>
  <c r="Q105" i="3"/>
  <c r="O105" i="3"/>
  <c r="Y105" i="3"/>
  <c r="X105" i="3"/>
  <c r="U105" i="3"/>
  <c r="W105" i="3"/>
  <c r="V105" i="3"/>
  <c r="R105" i="3"/>
  <c r="P105" i="3"/>
  <c r="N105" i="3"/>
  <c r="P115" i="3"/>
  <c r="Q124" i="3"/>
  <c r="S126" i="3"/>
  <c r="O133" i="3"/>
  <c r="V135" i="3"/>
  <c r="U140" i="3"/>
  <c r="Y150" i="3"/>
  <c r="T156" i="3"/>
  <c r="Q173" i="3"/>
  <c r="R189" i="3"/>
  <c r="O189" i="3"/>
  <c r="T189" i="3"/>
  <c r="Q189" i="3"/>
  <c r="P189" i="3"/>
  <c r="Y189" i="3"/>
  <c r="R192" i="3"/>
  <c r="X195" i="3"/>
  <c r="Y233" i="3"/>
  <c r="X233" i="3"/>
  <c r="S233" i="3"/>
  <c r="R233" i="3"/>
  <c r="T233" i="3"/>
  <c r="T245" i="3"/>
  <c r="R245" i="3"/>
  <c r="Q245" i="3"/>
  <c r="V245" i="3"/>
  <c r="U245" i="3"/>
  <c r="S245" i="3"/>
  <c r="O245" i="3"/>
  <c r="Y245" i="3"/>
  <c r="N245" i="3"/>
  <c r="X245" i="3"/>
  <c r="W245" i="3"/>
  <c r="P245" i="3"/>
  <c r="V306" i="3"/>
  <c r="T309" i="3"/>
  <c r="T414" i="3"/>
  <c r="W421" i="3"/>
  <c r="V421" i="3"/>
  <c r="U421" i="3"/>
  <c r="X421" i="3"/>
  <c r="R421" i="3"/>
  <c r="Q421" i="3"/>
  <c r="P421" i="3"/>
  <c r="Y421" i="3"/>
  <c r="T421" i="3"/>
  <c r="O421" i="3"/>
  <c r="S421" i="3"/>
  <c r="Q39" i="3"/>
  <c r="O39" i="3"/>
  <c r="X74" i="3"/>
  <c r="V74" i="3"/>
  <c r="Y179" i="3"/>
  <c r="W179" i="3"/>
  <c r="V179" i="3"/>
  <c r="P179" i="3"/>
  <c r="R179" i="3"/>
  <c r="Q179" i="3"/>
  <c r="O179" i="3"/>
  <c r="N179" i="3"/>
  <c r="X179" i="3"/>
  <c r="U179" i="3"/>
  <c r="T179" i="3"/>
  <c r="S179" i="3"/>
  <c r="S22" i="3"/>
  <c r="N46" i="3"/>
  <c r="Y46" i="3"/>
  <c r="X46" i="3"/>
  <c r="W46" i="3"/>
  <c r="U46" i="3"/>
  <c r="V46" i="3"/>
  <c r="R46" i="3"/>
  <c r="Q46" i="3"/>
  <c r="P46" i="3"/>
  <c r="N74" i="3"/>
  <c r="Y319" i="3"/>
  <c r="X319" i="3"/>
  <c r="V319" i="3"/>
  <c r="N319" i="3"/>
  <c r="R319" i="3"/>
  <c r="Q319" i="3"/>
  <c r="P319" i="3"/>
  <c r="O319" i="3"/>
  <c r="W319" i="3"/>
  <c r="U319" i="3"/>
  <c r="S319" i="3"/>
  <c r="T319" i="3"/>
  <c r="R361" i="3"/>
  <c r="O79" i="3"/>
  <c r="U9" i="3"/>
  <c r="S46" i="3"/>
  <c r="Y61" i="3"/>
  <c r="P76" i="3"/>
  <c r="X109" i="3"/>
  <c r="Y109" i="3"/>
  <c r="U109" i="3"/>
  <c r="T109" i="3"/>
  <c r="S109" i="3"/>
  <c r="T230" i="3"/>
  <c r="X256" i="3"/>
  <c r="W256" i="3"/>
  <c r="T256" i="3"/>
  <c r="Y256" i="3"/>
  <c r="U256" i="3"/>
  <c r="S256" i="3"/>
  <c r="R256" i="3"/>
  <c r="P256" i="3"/>
  <c r="O256" i="3"/>
  <c r="U230" i="3"/>
  <c r="X335" i="3"/>
  <c r="P335" i="3"/>
  <c r="Y335" i="3"/>
  <c r="Q335" i="3"/>
  <c r="O335" i="3"/>
  <c r="N335" i="3"/>
  <c r="W335" i="3"/>
  <c r="U335" i="3"/>
  <c r="T335" i="3"/>
  <c r="S335" i="3"/>
  <c r="W47" i="3"/>
  <c r="U47" i="3"/>
  <c r="T47" i="3"/>
  <c r="R47" i="3"/>
  <c r="Q47" i="3"/>
  <c r="R202" i="3"/>
  <c r="V235" i="3"/>
  <c r="O243" i="3"/>
  <c r="R12" i="3"/>
  <c r="O26" i="3"/>
  <c r="U39" i="3"/>
  <c r="O47" i="3"/>
  <c r="U59" i="3"/>
  <c r="S59" i="3"/>
  <c r="R59" i="3"/>
  <c r="Q59" i="3"/>
  <c r="P59" i="3"/>
  <c r="O59" i="3"/>
  <c r="N59" i="3"/>
  <c r="Q83" i="3"/>
  <c r="O83" i="3"/>
  <c r="X83" i="3"/>
  <c r="W83" i="3"/>
  <c r="V83" i="3"/>
  <c r="U218" i="3"/>
  <c r="R10" i="3"/>
  <c r="X10" i="3"/>
  <c r="W10" i="3"/>
  <c r="V10" i="3"/>
  <c r="U10" i="3"/>
  <c r="P50" i="3"/>
  <c r="W76" i="3"/>
  <c r="N104" i="3"/>
  <c r="Q143" i="3"/>
  <c r="V218" i="3"/>
  <c r="N35" i="3"/>
  <c r="V59" i="3"/>
  <c r="Y119" i="3"/>
  <c r="T3" i="3"/>
  <c r="T35" i="3"/>
  <c r="X84" i="3"/>
  <c r="S84" i="3"/>
  <c r="Q84" i="3"/>
  <c r="P84" i="3"/>
  <c r="U84" i="3"/>
  <c r="T84" i="3"/>
  <c r="N84" i="3"/>
  <c r="R84" i="3"/>
  <c r="O84" i="3"/>
  <c r="O94" i="3"/>
  <c r="Y104" i="3"/>
  <c r="O115" i="3"/>
  <c r="R126" i="3"/>
  <c r="X162" i="3"/>
  <c r="Y162" i="3"/>
  <c r="V162" i="3"/>
  <c r="U162" i="3"/>
  <c r="O162" i="3"/>
  <c r="T162" i="3"/>
  <c r="S162" i="3"/>
  <c r="R162" i="3"/>
  <c r="R195" i="3"/>
  <c r="P8" i="3"/>
  <c r="S11" i="3"/>
  <c r="V16" i="3"/>
  <c r="S21" i="3"/>
  <c r="W25" i="3"/>
  <c r="U25" i="3"/>
  <c r="S25" i="3"/>
  <c r="Q25" i="3"/>
  <c r="Y27" i="3"/>
  <c r="O33" i="3"/>
  <c r="V35" i="3"/>
  <c r="P45" i="3"/>
  <c r="T48" i="3"/>
  <c r="T54" i="3"/>
  <c r="R54" i="3"/>
  <c r="Y54" i="3"/>
  <c r="W54" i="3"/>
  <c r="V54" i="3"/>
  <c r="X54" i="3"/>
  <c r="Q54" i="3"/>
  <c r="P54" i="3"/>
  <c r="O54" i="3"/>
  <c r="T60" i="3"/>
  <c r="R66" i="3"/>
  <c r="P66" i="3"/>
  <c r="Y66" i="3"/>
  <c r="U68" i="3"/>
  <c r="W84" i="3"/>
  <c r="N89" i="3"/>
  <c r="P102" i="3"/>
  <c r="S105" i="3"/>
  <c r="W113" i="3"/>
  <c r="U113" i="3"/>
  <c r="Y113" i="3"/>
  <c r="X113" i="3"/>
  <c r="V113" i="3"/>
  <c r="T113" i="3"/>
  <c r="S113" i="3"/>
  <c r="R115" i="3"/>
  <c r="R124" i="3"/>
  <c r="T126" i="3"/>
  <c r="P133" i="3"/>
  <c r="W135" i="3"/>
  <c r="R141" i="3"/>
  <c r="U141" i="3"/>
  <c r="S141" i="3"/>
  <c r="Q141" i="3"/>
  <c r="W141" i="3"/>
  <c r="O141" i="3"/>
  <c r="V141" i="3"/>
  <c r="T141" i="3"/>
  <c r="P141" i="3"/>
  <c r="V156" i="3"/>
  <c r="P162" i="3"/>
  <c r="V167" i="3"/>
  <c r="Y167" i="3"/>
  <c r="X167" i="3"/>
  <c r="Q167" i="3"/>
  <c r="U173" i="3"/>
  <c r="S192" i="3"/>
  <c r="X215" i="3"/>
  <c r="U215" i="3"/>
  <c r="W215" i="3"/>
  <c r="T215" i="3"/>
  <c r="S215" i="3"/>
  <c r="V215" i="3"/>
  <c r="R215" i="3"/>
  <c r="Q215" i="3"/>
  <c r="P215" i="3"/>
  <c r="V274" i="3"/>
  <c r="R274" i="3"/>
  <c r="W274" i="3"/>
  <c r="U274" i="3"/>
  <c r="Q274" i="3"/>
  <c r="S274" i="3"/>
  <c r="O274" i="3"/>
  <c r="N274" i="3"/>
  <c r="Y274" i="3"/>
  <c r="X274" i="3"/>
  <c r="W306" i="3"/>
  <c r="X309" i="3"/>
  <c r="Y312" i="3"/>
  <c r="V312" i="3"/>
  <c r="N312" i="3"/>
  <c r="X312" i="3"/>
  <c r="W312" i="3"/>
  <c r="U312" i="3"/>
  <c r="T312" i="3"/>
  <c r="S312" i="3"/>
  <c r="R312" i="3"/>
  <c r="N421" i="3"/>
  <c r="P100" i="3"/>
  <c r="N100" i="3"/>
  <c r="Y100" i="3"/>
  <c r="X100" i="3"/>
  <c r="V100" i="3"/>
  <c r="U100" i="3"/>
  <c r="T100" i="3"/>
  <c r="Q253" i="3"/>
  <c r="N253" i="3"/>
  <c r="O253" i="3"/>
  <c r="Y253" i="3"/>
  <c r="X253" i="3"/>
  <c r="W253" i="3"/>
  <c r="V253" i="3"/>
  <c r="U253" i="3"/>
  <c r="P253" i="3"/>
  <c r="S253" i="3"/>
  <c r="T253" i="3"/>
  <c r="N157" i="3"/>
  <c r="U58" i="3"/>
  <c r="S58" i="3"/>
  <c r="R58" i="3"/>
  <c r="X58" i="3"/>
  <c r="W58" i="3"/>
  <c r="V58" i="3"/>
  <c r="N142" i="3"/>
  <c r="O157" i="3"/>
  <c r="N303" i="3"/>
  <c r="R100" i="3"/>
  <c r="P111" i="3"/>
  <c r="Q230" i="3"/>
  <c r="T22" i="3"/>
  <c r="O12" i="3"/>
  <c r="X52" i="3"/>
  <c r="V52" i="3"/>
  <c r="Y52" i="3"/>
  <c r="W52" i="3"/>
  <c r="U52" i="3"/>
  <c r="S52" i="3"/>
  <c r="T52" i="3"/>
  <c r="P52" i="3"/>
  <c r="O52" i="3"/>
  <c r="N52" i="3"/>
  <c r="P74" i="3"/>
  <c r="P92" i="3"/>
  <c r="N119" i="3"/>
  <c r="N223" i="3"/>
  <c r="O64" i="3"/>
  <c r="Q158" i="3"/>
  <c r="U158" i="3"/>
  <c r="Y158" i="3"/>
  <c r="X158" i="3"/>
  <c r="T158" i="3"/>
  <c r="W158" i="3"/>
  <c r="V158" i="3"/>
  <c r="P158" i="3"/>
  <c r="O158" i="3"/>
  <c r="N158" i="3"/>
  <c r="R209" i="3"/>
  <c r="W247" i="3"/>
  <c r="R247" i="3"/>
  <c r="P247" i="3"/>
  <c r="O247" i="3"/>
  <c r="X247" i="3"/>
  <c r="V247" i="3"/>
  <c r="U247" i="3"/>
  <c r="Y247" i="3"/>
  <c r="T247" i="3"/>
  <c r="Q247" i="3"/>
  <c r="S247" i="3"/>
  <c r="P62" i="3"/>
  <c r="R62" i="3"/>
  <c r="N146" i="3"/>
  <c r="O50" i="3"/>
  <c r="X12" i="3"/>
  <c r="P47" i="3"/>
  <c r="S64" i="3"/>
  <c r="X98" i="3"/>
  <c r="P183" i="3"/>
  <c r="T5" i="3"/>
  <c r="W74" i="3"/>
  <c r="O104" i="3"/>
  <c r="U83" i="3"/>
  <c r="Y94" i="3"/>
  <c r="X94" i="3"/>
  <c r="U94" i="3"/>
  <c r="T94" i="3"/>
  <c r="S94" i="3"/>
  <c r="R135" i="3"/>
  <c r="W27" i="3"/>
  <c r="U81" i="3"/>
  <c r="S81" i="3"/>
  <c r="W81" i="3"/>
  <c r="V81" i="3"/>
  <c r="T81" i="3"/>
  <c r="W91" i="3"/>
  <c r="U91" i="3"/>
  <c r="Y91" i="3"/>
  <c r="X91" i="3"/>
  <c r="V91" i="3"/>
  <c r="T91" i="3"/>
  <c r="T96" i="3"/>
  <c r="T135" i="3"/>
  <c r="O173" i="3"/>
  <c r="X467" i="3"/>
  <c r="Y467" i="3"/>
  <c r="W467" i="3"/>
  <c r="V467" i="3"/>
  <c r="U467" i="3"/>
  <c r="T467" i="3"/>
  <c r="S467" i="3"/>
  <c r="P467" i="3"/>
  <c r="O467" i="3"/>
  <c r="N467" i="3"/>
  <c r="R467" i="3"/>
  <c r="Q467" i="3"/>
  <c r="Q8" i="3"/>
  <c r="S14" i="3"/>
  <c r="Y14" i="3"/>
  <c r="X14" i="3"/>
  <c r="U14" i="3"/>
  <c r="T14" i="3"/>
  <c r="R14" i="3"/>
  <c r="T21" i="3"/>
  <c r="Y28" i="3"/>
  <c r="X28" i="3"/>
  <c r="W28" i="3"/>
  <c r="U28" i="3"/>
  <c r="V28" i="3"/>
  <c r="R28" i="3"/>
  <c r="Q28" i="3"/>
  <c r="P28" i="3"/>
  <c r="P33" i="3"/>
  <c r="Q45" i="3"/>
  <c r="U48" i="3"/>
  <c r="N54" i="3"/>
  <c r="U60" i="3"/>
  <c r="N66" i="3"/>
  <c r="V68" i="3"/>
  <c r="S71" i="3"/>
  <c r="Q71" i="3"/>
  <c r="E4" i="2" s="1"/>
  <c r="U71" i="3"/>
  <c r="R71" i="3"/>
  <c r="P71" i="3"/>
  <c r="X71" i="3"/>
  <c r="Y71" i="3"/>
  <c r="T71" i="3"/>
  <c r="O71" i="3"/>
  <c r="N71" i="3"/>
  <c r="P81" i="3"/>
  <c r="Y84" i="3"/>
  <c r="O89" i="3"/>
  <c r="P91" i="3"/>
  <c r="R94" i="3"/>
  <c r="Q102" i="3"/>
  <c r="T105" i="3"/>
  <c r="N113" i="3"/>
  <c r="T115" i="3"/>
  <c r="T124" i="3"/>
  <c r="U126" i="3"/>
  <c r="Q133" i="3"/>
  <c r="X135" i="3"/>
  <c r="N141" i="3"/>
  <c r="O148" i="3"/>
  <c r="V148" i="3"/>
  <c r="T148" i="3"/>
  <c r="S148" i="3"/>
  <c r="Y148" i="3"/>
  <c r="X148" i="3"/>
  <c r="R148" i="3"/>
  <c r="Q148" i="3"/>
  <c r="P148" i="3"/>
  <c r="W156" i="3"/>
  <c r="Q162" i="3"/>
  <c r="N167" i="3"/>
  <c r="S189" i="3"/>
  <c r="N215" i="3"/>
  <c r="O233" i="3"/>
  <c r="Q252" i="3"/>
  <c r="Y252" i="3"/>
  <c r="X252" i="3"/>
  <c r="T252" i="3"/>
  <c r="R252" i="3"/>
  <c r="P252" i="3"/>
  <c r="W252" i="3"/>
  <c r="V252" i="3"/>
  <c r="U252" i="3"/>
  <c r="O252" i="3"/>
  <c r="S252" i="3"/>
  <c r="P274" i="3"/>
  <c r="Y306" i="3"/>
  <c r="O312" i="3"/>
  <c r="X163" i="3"/>
  <c r="N216" i="3"/>
  <c r="S216" i="3"/>
  <c r="Q216" i="3"/>
  <c r="P216" i="3"/>
  <c r="Y216" i="3"/>
  <c r="X216" i="3"/>
  <c r="U216" i="3"/>
  <c r="T216" i="3"/>
  <c r="O216" i="3"/>
  <c r="R216" i="3"/>
  <c r="O230" i="3"/>
  <c r="Y242" i="3"/>
  <c r="V242" i="3"/>
  <c r="N242" i="3"/>
  <c r="U242" i="3"/>
  <c r="S242" i="3"/>
  <c r="R242" i="3"/>
  <c r="Q242" i="3"/>
  <c r="O242" i="3"/>
  <c r="P242" i="3"/>
  <c r="R253" i="3"/>
  <c r="R298" i="3"/>
  <c r="S298" i="3"/>
  <c r="P298" i="3"/>
  <c r="O298" i="3"/>
  <c r="X298" i="3"/>
  <c r="W298" i="3"/>
  <c r="V298" i="3"/>
  <c r="Y298" i="3"/>
  <c r="U298" i="3"/>
  <c r="T298" i="3"/>
  <c r="P353" i="3"/>
  <c r="O353" i="3"/>
  <c r="X353" i="3"/>
  <c r="V353" i="3"/>
  <c r="T353" i="3"/>
  <c r="U353" i="3"/>
  <c r="S353" i="3"/>
  <c r="R353" i="3"/>
  <c r="Q353" i="3"/>
  <c r="Y79" i="3"/>
  <c r="W79" i="3"/>
  <c r="X79" i="3"/>
  <c r="T79" i="3"/>
  <c r="S79" i="3"/>
  <c r="R79" i="3"/>
  <c r="O111" i="3"/>
  <c r="N209" i="3"/>
  <c r="V209" i="3"/>
  <c r="U209" i="3"/>
  <c r="T209" i="3"/>
  <c r="X209" i="3"/>
  <c r="Y209" i="3"/>
  <c r="V216" i="3"/>
  <c r="X367" i="3"/>
  <c r="W367" i="3"/>
  <c r="V367" i="3"/>
  <c r="Y367" i="3"/>
  <c r="T367" i="3"/>
  <c r="S367" i="3"/>
  <c r="U367" i="3"/>
  <c r="N9" i="3"/>
  <c r="T9" i="3"/>
  <c r="S9" i="3"/>
  <c r="P9" i="3"/>
  <c r="R9" i="3"/>
  <c r="Q9" i="3"/>
  <c r="N58" i="3"/>
  <c r="N79" i="3"/>
  <c r="O142" i="3"/>
  <c r="O209" i="3"/>
  <c r="P303" i="3"/>
  <c r="X61" i="3"/>
  <c r="O76" i="3"/>
  <c r="Q111" i="3"/>
  <c r="P209" i="3"/>
  <c r="R223" i="3"/>
  <c r="O223" i="3"/>
  <c r="U223" i="3"/>
  <c r="T223" i="3"/>
  <c r="Y223" i="3"/>
  <c r="X242" i="3"/>
  <c r="Y268" i="3"/>
  <c r="X268" i="3"/>
  <c r="W268" i="3"/>
  <c r="N268" i="3"/>
  <c r="T268" i="3"/>
  <c r="S268" i="3"/>
  <c r="R268" i="3"/>
  <c r="Q268" i="3"/>
  <c r="Y353" i="3"/>
  <c r="V373" i="3"/>
  <c r="Y23" i="3"/>
  <c r="U23" i="3"/>
  <c r="S23" i="3"/>
  <c r="R39" i="3"/>
  <c r="P79" i="3"/>
  <c r="N98" i="3"/>
  <c r="Q209" i="3"/>
  <c r="Y373" i="3"/>
  <c r="U430" i="3"/>
  <c r="Y430" i="3"/>
  <c r="X430" i="3"/>
  <c r="V430" i="3"/>
  <c r="P430" i="3"/>
  <c r="O430" i="3"/>
  <c r="N430" i="3"/>
  <c r="W430" i="3"/>
  <c r="T430" i="3"/>
  <c r="S430" i="3"/>
  <c r="R430" i="3"/>
  <c r="Q430" i="3"/>
  <c r="Q12" i="3"/>
  <c r="O23" i="3"/>
  <c r="N37" i="3"/>
  <c r="R52" i="3"/>
  <c r="N247" i="3"/>
  <c r="U268" i="3"/>
  <c r="P354" i="3"/>
  <c r="R367" i="3"/>
  <c r="Y469" i="3"/>
  <c r="T469" i="3"/>
  <c r="X469" i="3"/>
  <c r="W469" i="3"/>
  <c r="V469" i="3"/>
  <c r="U469" i="3"/>
  <c r="S469" i="3"/>
  <c r="Q469" i="3"/>
  <c r="N469" i="3"/>
  <c r="O469" i="3"/>
  <c r="X9" i="3"/>
  <c r="O37" i="3"/>
  <c r="U76" i="3"/>
  <c r="Q98" i="3"/>
  <c r="S223" i="3"/>
  <c r="Y450" i="3"/>
  <c r="V450" i="3"/>
  <c r="U450" i="3"/>
  <c r="T450" i="3"/>
  <c r="Q450" i="3"/>
  <c r="P450" i="3"/>
  <c r="W450" i="3"/>
  <c r="S450" i="3"/>
  <c r="S62" i="3"/>
  <c r="T74" i="3"/>
  <c r="W98" i="3"/>
  <c r="N143" i="3"/>
  <c r="R143" i="3"/>
  <c r="P143" i="3"/>
  <c r="O143" i="3"/>
  <c r="X143" i="3"/>
  <c r="Y143" i="3"/>
  <c r="U143" i="3"/>
  <c r="T143" i="3"/>
  <c r="S143" i="3"/>
  <c r="Q159" i="3"/>
  <c r="O159" i="3"/>
  <c r="N159" i="3"/>
  <c r="W159" i="3"/>
  <c r="V159" i="3"/>
  <c r="U159" i="3"/>
  <c r="T159" i="3"/>
  <c r="O183" i="3"/>
  <c r="T202" i="3"/>
  <c r="N250" i="3"/>
  <c r="R257" i="3"/>
  <c r="Y257" i="3"/>
  <c r="U257" i="3"/>
  <c r="S257" i="3"/>
  <c r="X257" i="3"/>
  <c r="W257" i="3"/>
  <c r="N300" i="3"/>
  <c r="Y300" i="3"/>
  <c r="U300" i="3"/>
  <c r="S300" i="3"/>
  <c r="R300" i="3"/>
  <c r="X300" i="3"/>
  <c r="T300" i="3"/>
  <c r="Q300" i="3"/>
  <c r="P300" i="3"/>
  <c r="O300" i="3"/>
  <c r="N450" i="3"/>
  <c r="V20" i="3"/>
  <c r="T20" i="3"/>
  <c r="Y20" i="3"/>
  <c r="X20" i="3"/>
  <c r="W20" i="3"/>
  <c r="U20" i="3"/>
  <c r="S20" i="3"/>
  <c r="P20" i="3"/>
  <c r="O20" i="3"/>
  <c r="N20" i="3"/>
  <c r="Y35" i="3"/>
  <c r="W35" i="3"/>
  <c r="R109" i="3"/>
  <c r="P159" i="3"/>
  <c r="V300" i="3"/>
  <c r="O450" i="3"/>
  <c r="N10" i="3"/>
  <c r="T23" i="3"/>
  <c r="P83" i="3"/>
  <c r="N24" i="3"/>
  <c r="Y24" i="3"/>
  <c r="U24" i="3"/>
  <c r="X24" i="3"/>
  <c r="W24" i="3"/>
  <c r="V24" i="3"/>
  <c r="R24" i="3"/>
  <c r="Q24" i="3"/>
  <c r="P24" i="3"/>
  <c r="X37" i="3"/>
  <c r="U77" i="3"/>
  <c r="S104" i="3"/>
  <c r="T173" i="3"/>
  <c r="S173" i="3"/>
  <c r="P173" i="3"/>
  <c r="R173" i="3"/>
  <c r="Y173" i="3"/>
  <c r="O192" i="3"/>
  <c r="Y192" i="3"/>
  <c r="V192" i="3"/>
  <c r="T192" i="3"/>
  <c r="Q192" i="3"/>
  <c r="W192" i="3"/>
  <c r="X192" i="3"/>
  <c r="Q21" i="3"/>
  <c r="R8" i="3"/>
  <c r="V21" i="3"/>
  <c r="Q33" i="3"/>
  <c r="X43" i="3"/>
  <c r="V43" i="3"/>
  <c r="U43" i="3"/>
  <c r="R45" i="3"/>
  <c r="S54" i="3"/>
  <c r="V60" i="3"/>
  <c r="O66" i="3"/>
  <c r="W68" i="3"/>
  <c r="V71" i="3"/>
  <c r="Q81" i="3"/>
  <c r="Y87" i="3"/>
  <c r="X87" i="3"/>
  <c r="W87" i="3"/>
  <c r="V87" i="3"/>
  <c r="P89" i="3"/>
  <c r="Q91" i="3"/>
  <c r="V94" i="3"/>
  <c r="R102" i="3"/>
  <c r="X106" i="3"/>
  <c r="U106" i="3"/>
  <c r="T106" i="3"/>
  <c r="S106" i="3"/>
  <c r="R106" i="3"/>
  <c r="O113" i="3"/>
  <c r="U115" i="3"/>
  <c r="X118" i="3"/>
  <c r="V118" i="3"/>
  <c r="O118" i="3"/>
  <c r="T118" i="3"/>
  <c r="S118" i="3"/>
  <c r="R118" i="3"/>
  <c r="P118" i="3"/>
  <c r="Q118" i="3"/>
  <c r="U124" i="3"/>
  <c r="V126" i="3"/>
  <c r="R133" i="3"/>
  <c r="G6" i="2" s="1"/>
  <c r="X141" i="3"/>
  <c r="N148" i="3"/>
  <c r="Y156" i="3"/>
  <c r="W162" i="3"/>
  <c r="O167" i="3"/>
  <c r="O170" i="3"/>
  <c r="R170" i="3"/>
  <c r="P170" i="3"/>
  <c r="N170" i="3"/>
  <c r="U170" i="3"/>
  <c r="T170" i="3"/>
  <c r="S170" i="3"/>
  <c r="Q170" i="3"/>
  <c r="W173" i="3"/>
  <c r="U189" i="3"/>
  <c r="O215" i="3"/>
  <c r="P233" i="3"/>
  <c r="T274" i="3"/>
  <c r="P312" i="3"/>
  <c r="P269" i="3"/>
  <c r="Q269" i="3"/>
  <c r="O269" i="3"/>
  <c r="N269" i="3"/>
  <c r="W269" i="3"/>
  <c r="V269" i="3"/>
  <c r="U269" i="3"/>
  <c r="V272" i="3"/>
  <c r="Y272" i="3"/>
  <c r="X272" i="3"/>
  <c r="T272" i="3"/>
  <c r="Q272" i="3"/>
  <c r="O272" i="3"/>
  <c r="N272" i="3"/>
  <c r="T36" i="3"/>
  <c r="R36" i="3"/>
  <c r="R38" i="3"/>
  <c r="P38" i="3"/>
  <c r="X40" i="3"/>
  <c r="P40" i="3"/>
  <c r="N40" i="3"/>
  <c r="R44" i="3"/>
  <c r="P44" i="3"/>
  <c r="W69" i="3"/>
  <c r="U69" i="3"/>
  <c r="V69" i="3"/>
  <c r="S69" i="3"/>
  <c r="I4" i="2" s="1"/>
  <c r="R69" i="3"/>
  <c r="X127" i="3"/>
  <c r="S127" i="3"/>
  <c r="Q127" i="3"/>
  <c r="P127" i="3"/>
  <c r="Y127" i="3"/>
  <c r="W127" i="3"/>
  <c r="V127" i="3"/>
  <c r="X171" i="3"/>
  <c r="V171" i="3"/>
  <c r="S171" i="3"/>
  <c r="R171" i="3"/>
  <c r="Y171" i="3"/>
  <c r="S196" i="3"/>
  <c r="P196" i="3"/>
  <c r="U196" i="3"/>
  <c r="T196" i="3"/>
  <c r="X228" i="3"/>
  <c r="U228" i="3"/>
  <c r="N228" i="3"/>
  <c r="Y228" i="3"/>
  <c r="Q228" i="3"/>
  <c r="N231" i="3"/>
  <c r="Y231" i="3"/>
  <c r="X231" i="3"/>
  <c r="S231" i="3"/>
  <c r="R231" i="3"/>
  <c r="W231" i="3"/>
  <c r="V231" i="3"/>
  <c r="U231" i="3"/>
  <c r="X266" i="3"/>
  <c r="W266" i="3"/>
  <c r="Q266" i="3"/>
  <c r="P266" i="3"/>
  <c r="O266" i="3"/>
  <c r="N266" i="3"/>
  <c r="R269" i="3"/>
  <c r="P272" i="3"/>
  <c r="U386" i="3"/>
  <c r="Y386" i="3"/>
  <c r="W386" i="3"/>
  <c r="X386" i="3"/>
  <c r="V386" i="3"/>
  <c r="T386" i="3"/>
  <c r="Q386" i="3"/>
  <c r="P386" i="3"/>
  <c r="O386" i="3"/>
  <c r="N386" i="3"/>
  <c r="V391" i="3"/>
  <c r="S391" i="3"/>
  <c r="Q391" i="3"/>
  <c r="O391" i="3"/>
  <c r="R391" i="3"/>
  <c r="P391" i="3"/>
  <c r="N391" i="3"/>
  <c r="T391" i="3"/>
  <c r="X391" i="3"/>
  <c r="W391" i="3"/>
  <c r="S234" i="3"/>
  <c r="P234" i="3"/>
  <c r="T234" i="3"/>
  <c r="O234" i="3"/>
  <c r="N234" i="3"/>
  <c r="W234" i="3"/>
  <c r="V234" i="3"/>
  <c r="U234" i="3"/>
  <c r="R234" i="3"/>
  <c r="N278" i="3"/>
  <c r="O278" i="3"/>
  <c r="T278" i="3"/>
  <c r="S278" i="3"/>
  <c r="P278" i="3"/>
  <c r="X278" i="3"/>
  <c r="W278" i="3"/>
  <c r="V278" i="3"/>
  <c r="Y278" i="3"/>
  <c r="X30" i="3"/>
  <c r="V30" i="3"/>
  <c r="W30" i="3"/>
  <c r="Y67" i="3"/>
  <c r="W67" i="3"/>
  <c r="H4" i="2" s="1"/>
  <c r="U67" i="3"/>
  <c r="D4" i="2" s="1"/>
  <c r="T67" i="3"/>
  <c r="K4" i="2" s="1"/>
  <c r="U103" i="3"/>
  <c r="S103" i="3"/>
  <c r="N171" i="3"/>
  <c r="Y176" i="3"/>
  <c r="W176" i="3"/>
  <c r="N176" i="3"/>
  <c r="X176" i="3"/>
  <c r="V176" i="3"/>
  <c r="P176" i="3"/>
  <c r="N187" i="3"/>
  <c r="U187" i="3"/>
  <c r="R187" i="3"/>
  <c r="T187" i="3"/>
  <c r="Q187" i="3"/>
  <c r="P187" i="3"/>
  <c r="W187" i="3"/>
  <c r="N196" i="3"/>
  <c r="W210" i="3"/>
  <c r="T210" i="3"/>
  <c r="Q210" i="3"/>
  <c r="R210" i="3"/>
  <c r="O210" i="3"/>
  <c r="N210" i="3"/>
  <c r="X210" i="3"/>
  <c r="V210" i="3"/>
  <c r="U210" i="3"/>
  <c r="S210" i="3"/>
  <c r="O228" i="3"/>
  <c r="O231" i="3"/>
  <c r="X234" i="3"/>
  <c r="S269" i="3"/>
  <c r="R272" i="3"/>
  <c r="Q275" i="3"/>
  <c r="O275" i="3"/>
  <c r="N275" i="3"/>
  <c r="Y275" i="3"/>
  <c r="W275" i="3"/>
  <c r="V275" i="3"/>
  <c r="U275" i="3"/>
  <c r="R278" i="3"/>
  <c r="Q380" i="3"/>
  <c r="P380" i="3"/>
  <c r="Y380" i="3"/>
  <c r="W380" i="3"/>
  <c r="V380" i="3"/>
  <c r="U380" i="3"/>
  <c r="S380" i="3"/>
  <c r="N380" i="3"/>
  <c r="X380" i="3"/>
  <c r="T380" i="3"/>
  <c r="T395" i="3"/>
  <c r="S395" i="3"/>
  <c r="N395" i="3"/>
  <c r="X395" i="3"/>
  <c r="V395" i="3"/>
  <c r="O395" i="3"/>
  <c r="T32" i="3"/>
  <c r="R32" i="3"/>
  <c r="X32" i="3"/>
  <c r="V32" i="3"/>
  <c r="P34" i="3"/>
  <c r="N34" i="3"/>
  <c r="V34" i="3"/>
  <c r="T34" i="3"/>
  <c r="Y65" i="3"/>
  <c r="W65" i="3"/>
  <c r="V65" i="3"/>
  <c r="P228" i="3"/>
  <c r="P231" i="3"/>
  <c r="Y234" i="3"/>
  <c r="S266" i="3"/>
  <c r="T269" i="3"/>
  <c r="S272" i="3"/>
  <c r="P275" i="3"/>
  <c r="U278" i="3"/>
  <c r="O283" i="3"/>
  <c r="S283" i="3"/>
  <c r="Q283" i="3"/>
  <c r="Y283" i="3"/>
  <c r="X283" i="3"/>
  <c r="W283" i="3"/>
  <c r="V283" i="3"/>
  <c r="T283" i="3"/>
  <c r="R283" i="3"/>
  <c r="P283" i="3"/>
  <c r="N283" i="3"/>
  <c r="W344" i="3"/>
  <c r="V344" i="3"/>
  <c r="Q344" i="3"/>
  <c r="Y344" i="3"/>
  <c r="X344" i="3"/>
  <c r="T344" i="3"/>
  <c r="S344" i="3"/>
  <c r="P344" i="3"/>
  <c r="U356" i="3"/>
  <c r="T356" i="3"/>
  <c r="O356" i="3"/>
  <c r="Q356" i="3"/>
  <c r="Y356" i="3"/>
  <c r="X356" i="3"/>
  <c r="V356" i="3"/>
  <c r="N356" i="3"/>
  <c r="W356" i="3"/>
  <c r="S356" i="3"/>
  <c r="O380" i="3"/>
  <c r="S386" i="3"/>
  <c r="Y391" i="3"/>
  <c r="P395" i="3"/>
  <c r="U82" i="3"/>
  <c r="S82" i="3"/>
  <c r="R82" i="3"/>
  <c r="P375" i="3"/>
  <c r="O375" i="3"/>
  <c r="T375" i="3"/>
  <c r="S375" i="3"/>
  <c r="R375" i="3"/>
  <c r="W375" i="3"/>
  <c r="V375" i="3"/>
  <c r="U375" i="3"/>
  <c r="N375" i="3"/>
  <c r="Y375" i="3"/>
  <c r="X375" i="3"/>
  <c r="Y13" i="3"/>
  <c r="W13" i="3"/>
  <c r="R30" i="3"/>
  <c r="Q32" i="3"/>
  <c r="S34" i="3"/>
  <c r="U36" i="3"/>
  <c r="U38" i="3"/>
  <c r="U40" i="3"/>
  <c r="U44" i="3"/>
  <c r="N57" i="3"/>
  <c r="Q65" i="3"/>
  <c r="R67" i="3"/>
  <c r="X69" i="3"/>
  <c r="W80" i="3"/>
  <c r="U80" i="3"/>
  <c r="T80" i="3"/>
  <c r="N82" i="3"/>
  <c r="R103" i="3"/>
  <c r="S116" i="3"/>
  <c r="Y123" i="3"/>
  <c r="W123" i="3"/>
  <c r="V123" i="3"/>
  <c r="P123" i="3"/>
  <c r="U123" i="3"/>
  <c r="T123" i="3"/>
  <c r="S123" i="3"/>
  <c r="R123" i="3"/>
  <c r="N166" i="3"/>
  <c r="U171" i="3"/>
  <c r="T176" i="3"/>
  <c r="Y187" i="3"/>
  <c r="O191" i="3"/>
  <c r="S191" i="3"/>
  <c r="Q191" i="3"/>
  <c r="P191" i="3"/>
  <c r="W196" i="3"/>
  <c r="V228" i="3"/>
  <c r="N259" i="3"/>
  <c r="O259" i="3"/>
  <c r="Y266" i="3"/>
  <c r="X275" i="3"/>
  <c r="S280" i="3"/>
  <c r="R280" i="3"/>
  <c r="O280" i="3"/>
  <c r="T280" i="3"/>
  <c r="Q280" i="3"/>
  <c r="P280" i="3"/>
  <c r="N280" i="3"/>
  <c r="W323" i="3"/>
  <c r="Y323" i="3"/>
  <c r="V323" i="3"/>
  <c r="U323" i="3"/>
  <c r="Q323" i="3"/>
  <c r="P323" i="3"/>
  <c r="O323" i="3"/>
  <c r="Y340" i="3"/>
  <c r="N340" i="3"/>
  <c r="W340" i="3"/>
  <c r="U340" i="3"/>
  <c r="T340" i="3"/>
  <c r="R340" i="3"/>
  <c r="X340" i="3"/>
  <c r="U344" i="3"/>
  <c r="Q375" i="3"/>
  <c r="W395" i="3"/>
  <c r="Y270" i="3"/>
  <c r="V270" i="3"/>
  <c r="X270" i="3"/>
  <c r="Q270" i="3"/>
  <c r="O270" i="3"/>
  <c r="N270" i="3"/>
  <c r="W270" i="3"/>
  <c r="U270" i="3"/>
  <c r="T270" i="3"/>
  <c r="X401" i="3"/>
  <c r="S401" i="3"/>
  <c r="R401" i="3"/>
  <c r="Q401" i="3"/>
  <c r="O401" i="3"/>
  <c r="Y401" i="3"/>
  <c r="W401" i="3"/>
  <c r="V401" i="3"/>
  <c r="U401" i="3"/>
  <c r="U15" i="3"/>
  <c r="S15" i="3"/>
  <c r="S30" i="3"/>
  <c r="S32" i="3"/>
  <c r="U34" i="3"/>
  <c r="D8" i="2" s="1"/>
  <c r="V36" i="3"/>
  <c r="V38" i="3"/>
  <c r="V40" i="3"/>
  <c r="V44" i="3"/>
  <c r="R65" i="3"/>
  <c r="S67" i="3"/>
  <c r="Y69" i="3"/>
  <c r="O82" i="3"/>
  <c r="T103" i="3"/>
  <c r="T116" i="3"/>
  <c r="N123" i="3"/>
  <c r="W144" i="3"/>
  <c r="Y144" i="3"/>
  <c r="R144" i="3"/>
  <c r="X144" i="3"/>
  <c r="V144" i="3"/>
  <c r="U144" i="3"/>
  <c r="T144" i="3"/>
  <c r="Y169" i="3"/>
  <c r="T169" i="3"/>
  <c r="S169" i="3"/>
  <c r="W171" i="3"/>
  <c r="U176" i="3"/>
  <c r="R185" i="3"/>
  <c r="X185" i="3"/>
  <c r="U185" i="3"/>
  <c r="T185" i="3"/>
  <c r="Q185" i="3"/>
  <c r="P185" i="3"/>
  <c r="N185" i="3"/>
  <c r="W188" i="3"/>
  <c r="U188" i="3"/>
  <c r="S188" i="3"/>
  <c r="R188" i="3"/>
  <c r="Q188" i="3"/>
  <c r="P188" i="3"/>
  <c r="N191" i="3"/>
  <c r="X196" i="3"/>
  <c r="T217" i="3"/>
  <c r="Q217" i="3"/>
  <c r="Y217" i="3"/>
  <c r="V217" i="3"/>
  <c r="W217" i="3"/>
  <c r="U217" i="3"/>
  <c r="O217" i="3"/>
  <c r="W228" i="3"/>
  <c r="P259" i="3"/>
  <c r="R270" i="3"/>
  <c r="U280" i="3"/>
  <c r="Q293" i="3"/>
  <c r="Y293" i="3"/>
  <c r="X293" i="3"/>
  <c r="U293" i="3"/>
  <c r="N293" i="3"/>
  <c r="W293" i="3"/>
  <c r="V293" i="3"/>
  <c r="T293" i="3"/>
  <c r="Y345" i="3"/>
  <c r="W345" i="3"/>
  <c r="S345" i="3"/>
  <c r="R345" i="3"/>
  <c r="Q345" i="3"/>
  <c r="O345" i="3"/>
  <c r="X345" i="3"/>
  <c r="V345" i="3"/>
  <c r="U345" i="3"/>
  <c r="Y376" i="3"/>
  <c r="X376" i="3"/>
  <c r="S376" i="3"/>
  <c r="W376" i="3"/>
  <c r="U376" i="3"/>
  <c r="R376" i="3"/>
  <c r="V376" i="3"/>
  <c r="Q376" i="3"/>
  <c r="N376" i="3"/>
  <c r="T376" i="3"/>
  <c r="P376" i="3"/>
  <c r="O376" i="3"/>
  <c r="Y395" i="3"/>
  <c r="P401" i="3"/>
  <c r="R34" i="3"/>
  <c r="Y57" i="3"/>
  <c r="W57" i="3"/>
  <c r="W166" i="3"/>
  <c r="R166" i="3"/>
  <c r="U166" i="3"/>
  <c r="S166" i="3"/>
  <c r="Q166" i="3"/>
  <c r="P2" i="3"/>
  <c r="N4" i="3"/>
  <c r="O13" i="3"/>
  <c r="N15" i="3"/>
  <c r="Q17" i="3"/>
  <c r="O17" i="3"/>
  <c r="T30" i="3"/>
  <c r="U32" i="3"/>
  <c r="W34" i="3"/>
  <c r="W36" i="3"/>
  <c r="W38" i="3"/>
  <c r="W40" i="3"/>
  <c r="W44" i="3"/>
  <c r="O55" i="3"/>
  <c r="P57" i="3"/>
  <c r="S65" i="3"/>
  <c r="V67" i="3"/>
  <c r="N72" i="3"/>
  <c r="O80" i="3"/>
  <c r="P82" i="3"/>
  <c r="R97" i="3"/>
  <c r="Q97" i="3"/>
  <c r="P97" i="3"/>
  <c r="O97" i="3"/>
  <c r="V103" i="3"/>
  <c r="U116" i="3"/>
  <c r="O123" i="3"/>
  <c r="Y137" i="3"/>
  <c r="X137" i="3"/>
  <c r="R137" i="3"/>
  <c r="N144" i="3"/>
  <c r="P166" i="3"/>
  <c r="N169" i="3"/>
  <c r="Q172" i="3"/>
  <c r="O172" i="3"/>
  <c r="N172" i="3"/>
  <c r="X172" i="3"/>
  <c r="W172" i="3"/>
  <c r="V172" i="3"/>
  <c r="U172" i="3"/>
  <c r="O185" i="3"/>
  <c r="N188" i="3"/>
  <c r="R191" i="3"/>
  <c r="V194" i="3"/>
  <c r="S194" i="3"/>
  <c r="T194" i="3"/>
  <c r="W194" i="3"/>
  <c r="Y196" i="3"/>
  <c r="N217" i="3"/>
  <c r="Q259" i="3"/>
  <c r="S270" i="3"/>
  <c r="V280" i="3"/>
  <c r="O293" i="3"/>
  <c r="R323" i="3"/>
  <c r="P340" i="3"/>
  <c r="N345" i="3"/>
  <c r="Y384" i="3"/>
  <c r="X384" i="3"/>
  <c r="W384" i="3"/>
  <c r="V384" i="3"/>
  <c r="T384" i="3"/>
  <c r="Q384" i="3"/>
  <c r="P384" i="3"/>
  <c r="O384" i="3"/>
  <c r="T401" i="3"/>
  <c r="P32" i="3"/>
  <c r="Q2" i="3"/>
  <c r="P13" i="3"/>
  <c r="O15" i="3"/>
  <c r="N17" i="3"/>
  <c r="U30" i="3"/>
  <c r="W32" i="3"/>
  <c r="X34" i="3"/>
  <c r="X36" i="3"/>
  <c r="X38" i="3"/>
  <c r="Y40" i="3"/>
  <c r="X44" i="3"/>
  <c r="S49" i="3"/>
  <c r="Q49" i="3"/>
  <c r="T49" i="3"/>
  <c r="P49" i="3"/>
  <c r="O49" i="3"/>
  <c r="O53" i="3"/>
  <c r="Q57" i="3"/>
  <c r="T65" i="3"/>
  <c r="X67" i="3"/>
  <c r="J4" i="2" s="1"/>
  <c r="P78" i="3"/>
  <c r="N78" i="3"/>
  <c r="Y78" i="3"/>
  <c r="W78" i="3"/>
  <c r="V78" i="3"/>
  <c r="P80" i="3"/>
  <c r="Q82" i="3"/>
  <c r="S93" i="3"/>
  <c r="Q93" i="3"/>
  <c r="W93" i="3"/>
  <c r="V93" i="3"/>
  <c r="U93" i="3"/>
  <c r="T93" i="3"/>
  <c r="N97" i="3"/>
  <c r="W103" i="3"/>
  <c r="V108" i="3"/>
  <c r="T108" i="3"/>
  <c r="R108" i="3"/>
  <c r="Q108" i="3"/>
  <c r="P108" i="3"/>
  <c r="O108" i="3"/>
  <c r="T121" i="3"/>
  <c r="V121" i="3"/>
  <c r="U121" i="3"/>
  <c r="S121" i="3"/>
  <c r="R121" i="3"/>
  <c r="Q123" i="3"/>
  <c r="N137" i="3"/>
  <c r="V139" i="3"/>
  <c r="X139" i="3"/>
  <c r="U139" i="3"/>
  <c r="T139" i="3"/>
  <c r="N139" i="3"/>
  <c r="O144" i="3"/>
  <c r="T166" i="3"/>
  <c r="O169" i="3"/>
  <c r="Q180" i="3"/>
  <c r="U180" i="3"/>
  <c r="R180" i="3"/>
  <c r="X180" i="3"/>
  <c r="S185" i="3"/>
  <c r="O188" i="3"/>
  <c r="T191" i="3"/>
  <c r="W199" i="3"/>
  <c r="N199" i="3"/>
  <c r="Y199" i="3"/>
  <c r="X199" i="3"/>
  <c r="V199" i="3"/>
  <c r="U199" i="3"/>
  <c r="O199" i="3"/>
  <c r="O214" i="3"/>
  <c r="P214" i="3"/>
  <c r="S214" i="3"/>
  <c r="Q214" i="3"/>
  <c r="N214" i="3"/>
  <c r="W214" i="3"/>
  <c r="P217" i="3"/>
  <c r="R259" i="3"/>
  <c r="W280" i="3"/>
  <c r="P293" i="3"/>
  <c r="R320" i="3"/>
  <c r="T320" i="3"/>
  <c r="Q320" i="3"/>
  <c r="W320" i="3"/>
  <c r="V320" i="3"/>
  <c r="P320" i="3"/>
  <c r="N320" i="3"/>
  <c r="Y320" i="3"/>
  <c r="X320" i="3"/>
  <c r="S323" i="3"/>
  <c r="Q340" i="3"/>
  <c r="P345" i="3"/>
  <c r="N384" i="3"/>
  <c r="Q402" i="3"/>
  <c r="P402" i="3"/>
  <c r="U402" i="3"/>
  <c r="T402" i="3"/>
  <c r="S402" i="3"/>
  <c r="Y402" i="3"/>
  <c r="W402" i="3"/>
  <c r="R402" i="3"/>
  <c r="X402" i="3"/>
  <c r="O402" i="3"/>
  <c r="N402" i="3"/>
  <c r="S190" i="3"/>
  <c r="Y190" i="3"/>
  <c r="U190" i="3"/>
  <c r="W201" i="3"/>
  <c r="T201" i="3"/>
  <c r="W260" i="3"/>
  <c r="R260" i="3"/>
  <c r="Q260" i="3"/>
  <c r="N260" i="3"/>
  <c r="X260" i="3"/>
  <c r="V260" i="3"/>
  <c r="T260" i="3"/>
  <c r="S260" i="3"/>
  <c r="P260" i="3"/>
  <c r="P285" i="3"/>
  <c r="N285" i="3"/>
  <c r="Y285" i="3"/>
  <c r="X285" i="3"/>
  <c r="W301" i="3"/>
  <c r="N301" i="3"/>
  <c r="T301" i="3"/>
  <c r="S301" i="3"/>
  <c r="P301" i="3"/>
  <c r="U301" i="3"/>
  <c r="R301" i="3"/>
  <c r="Q301" i="3"/>
  <c r="Q315" i="3"/>
  <c r="P315" i="3"/>
  <c r="N315" i="3"/>
  <c r="Y315" i="3"/>
  <c r="W315" i="3"/>
  <c r="V315" i="3"/>
  <c r="T315" i="3"/>
  <c r="X315" i="3"/>
  <c r="S325" i="3"/>
  <c r="X325" i="3"/>
  <c r="V325" i="3"/>
  <c r="Y325" i="3"/>
  <c r="W325" i="3"/>
  <c r="O348" i="3"/>
  <c r="N348" i="3"/>
  <c r="T348" i="3"/>
  <c r="X348" i="3"/>
  <c r="W348" i="3"/>
  <c r="R348" i="3"/>
  <c r="Q348" i="3"/>
  <c r="P348" i="3"/>
  <c r="W279" i="3"/>
  <c r="Y279" i="3"/>
  <c r="V279" i="3"/>
  <c r="T279" i="3"/>
  <c r="R279" i="3"/>
  <c r="Q279" i="3"/>
  <c r="U279" i="3"/>
  <c r="P279" i="3"/>
  <c r="O279" i="3"/>
  <c r="R363" i="3"/>
  <c r="Q363" i="3"/>
  <c r="Y363" i="3"/>
  <c r="X363" i="3"/>
  <c r="V363" i="3"/>
  <c r="W363" i="3"/>
  <c r="U363" i="3"/>
  <c r="S363" i="3"/>
  <c r="T363" i="3"/>
  <c r="P363" i="3"/>
  <c r="N363" i="3"/>
  <c r="X379" i="3"/>
  <c r="R379" i="3"/>
  <c r="Q379" i="3"/>
  <c r="P379" i="3"/>
  <c r="N379" i="3"/>
  <c r="Y379" i="3"/>
  <c r="W379" i="3"/>
  <c r="U379" i="3"/>
  <c r="V379" i="3"/>
  <c r="S379" i="3"/>
  <c r="O379" i="3"/>
  <c r="X393" i="3"/>
  <c r="W393" i="3"/>
  <c r="R393" i="3"/>
  <c r="V393" i="3"/>
  <c r="T393" i="3"/>
  <c r="Q393" i="3"/>
  <c r="Y393" i="3"/>
  <c r="S393" i="3"/>
  <c r="U393" i="3"/>
  <c r="N279" i="3"/>
  <c r="O305" i="3"/>
  <c r="S305" i="3"/>
  <c r="R305" i="3"/>
  <c r="N305" i="3"/>
  <c r="P305" i="3"/>
  <c r="O363" i="3"/>
  <c r="T379" i="3"/>
  <c r="W388" i="3"/>
  <c r="V388" i="3"/>
  <c r="Q388" i="3"/>
  <c r="Y388" i="3"/>
  <c r="X388" i="3"/>
  <c r="U388" i="3"/>
  <c r="N393" i="3"/>
  <c r="P419" i="3"/>
  <c r="O419" i="3"/>
  <c r="X419" i="3"/>
  <c r="W419" i="3"/>
  <c r="V419" i="3"/>
  <c r="U419" i="3"/>
  <c r="S419" i="3"/>
  <c r="Y419" i="3"/>
  <c r="T419" i="3"/>
  <c r="R419" i="3"/>
  <c r="Q419" i="3"/>
  <c r="V86" i="3"/>
  <c r="T86" i="3"/>
  <c r="R110" i="3"/>
  <c r="P110" i="3"/>
  <c r="Q136" i="3"/>
  <c r="R136" i="3"/>
  <c r="O136" i="3"/>
  <c r="N136" i="3"/>
  <c r="T151" i="3"/>
  <c r="S151" i="3"/>
  <c r="P153" i="3"/>
  <c r="X153" i="3"/>
  <c r="W153" i="3"/>
  <c r="Q153" i="3"/>
  <c r="T190" i="3"/>
  <c r="X193" i="3"/>
  <c r="R193" i="3"/>
  <c r="P193" i="3"/>
  <c r="O193" i="3"/>
  <c r="S201" i="3"/>
  <c r="U285" i="3"/>
  <c r="V305" i="3"/>
  <c r="T325" i="3"/>
  <c r="R388" i="3"/>
  <c r="Y438" i="3"/>
  <c r="X438" i="3"/>
  <c r="U438" i="3"/>
  <c r="T438" i="3"/>
  <c r="S438" i="3"/>
  <c r="W438" i="3"/>
  <c r="R438" i="3"/>
  <c r="Q438" i="3"/>
  <c r="O438" i="3"/>
  <c r="V438" i="3"/>
  <c r="P438" i="3"/>
  <c r="N438" i="3"/>
  <c r="N75" i="3"/>
  <c r="N86" i="3"/>
  <c r="N99" i="3"/>
  <c r="N110" i="3"/>
  <c r="U134" i="3"/>
  <c r="T134" i="3"/>
  <c r="R134" i="3"/>
  <c r="Q134" i="3"/>
  <c r="P136" i="3"/>
  <c r="X149" i="3"/>
  <c r="V149" i="3"/>
  <c r="N151" i="3"/>
  <c r="N153" i="3"/>
  <c r="N186" i="3"/>
  <c r="V190" i="3"/>
  <c r="N193" i="3"/>
  <c r="U201" i="3"/>
  <c r="R229" i="3"/>
  <c r="O229" i="3"/>
  <c r="Y229" i="3"/>
  <c r="X229" i="3"/>
  <c r="S229" i="3"/>
  <c r="Q229" i="3"/>
  <c r="T239" i="3"/>
  <c r="Q239" i="3"/>
  <c r="X239" i="3"/>
  <c r="S239" i="3"/>
  <c r="R239" i="3"/>
  <c r="V285" i="3"/>
  <c r="W305" i="3"/>
  <c r="U325" i="3"/>
  <c r="S388" i="3"/>
  <c r="Y406" i="3"/>
  <c r="R406" i="3"/>
  <c r="Q406" i="3"/>
  <c r="P406" i="3"/>
  <c r="W406" i="3"/>
  <c r="U406" i="3"/>
  <c r="T406" i="3"/>
  <c r="O406" i="3"/>
  <c r="N406" i="3"/>
  <c r="R88" i="3"/>
  <c r="P88" i="3"/>
  <c r="Y101" i="3"/>
  <c r="W101" i="3"/>
  <c r="S168" i="3"/>
  <c r="O168" i="3"/>
  <c r="T168" i="3"/>
  <c r="Q168" i="3"/>
  <c r="P168" i="3"/>
  <c r="N177" i="3"/>
  <c r="X177" i="3"/>
  <c r="W177" i="3"/>
  <c r="Q177" i="3"/>
  <c r="W190" i="3"/>
  <c r="V201" i="3"/>
  <c r="W208" i="3"/>
  <c r="T208" i="3"/>
  <c r="R208" i="3"/>
  <c r="P208" i="3"/>
  <c r="O208" i="3"/>
  <c r="Y213" i="3"/>
  <c r="X213" i="3"/>
  <c r="T213" i="3"/>
  <c r="S213" i="3"/>
  <c r="X237" i="3"/>
  <c r="U237" i="3"/>
  <c r="S237" i="3"/>
  <c r="R237" i="3"/>
  <c r="W285" i="3"/>
  <c r="X305" i="3"/>
  <c r="Y381" i="3"/>
  <c r="T381" i="3"/>
  <c r="Q381" i="3"/>
  <c r="P381" i="3"/>
  <c r="O381" i="3"/>
  <c r="S381" i="3"/>
  <c r="N381" i="3"/>
  <c r="T388" i="3"/>
  <c r="O18" i="3"/>
  <c r="V42" i="3"/>
  <c r="T42" i="3"/>
  <c r="P86" i="3"/>
  <c r="N88" i="3"/>
  <c r="N101" i="3"/>
  <c r="Q110" i="3"/>
  <c r="P112" i="3"/>
  <c r="X130" i="3"/>
  <c r="W130" i="3"/>
  <c r="Q130" i="3"/>
  <c r="Y132" i="3"/>
  <c r="W132" i="3"/>
  <c r="U132" i="3"/>
  <c r="D6" i="2" s="1"/>
  <c r="T132" i="3"/>
  <c r="K6" i="2" s="1"/>
  <c r="N132" i="3"/>
  <c r="O134" i="3"/>
  <c r="T136" i="3"/>
  <c r="N147" i="3"/>
  <c r="O149" i="3"/>
  <c r="P151" i="3"/>
  <c r="R153" i="3"/>
  <c r="N168" i="3"/>
  <c r="O177" i="3"/>
  <c r="P186" i="3"/>
  <c r="X190" i="3"/>
  <c r="S193" i="3"/>
  <c r="X201" i="3"/>
  <c r="W206" i="3"/>
  <c r="T206" i="3"/>
  <c r="R206" i="3"/>
  <c r="Q206" i="3"/>
  <c r="N208" i="3"/>
  <c r="N213" i="3"/>
  <c r="P229" i="3"/>
  <c r="W232" i="3"/>
  <c r="T232" i="3"/>
  <c r="U232" i="3"/>
  <c r="Q232" i="3"/>
  <c r="N232" i="3"/>
  <c r="N237" i="3"/>
  <c r="O239" i="3"/>
  <c r="O264" i="3"/>
  <c r="X264" i="3"/>
  <c r="W264" i="3"/>
  <c r="Y264" i="3"/>
  <c r="Q299" i="3"/>
  <c r="O299" i="3"/>
  <c r="U299" i="3"/>
  <c r="T299" i="3"/>
  <c r="P299" i="3"/>
  <c r="W299" i="3"/>
  <c r="S299" i="3"/>
  <c r="R299" i="3"/>
  <c r="Y305" i="3"/>
  <c r="R381" i="3"/>
  <c r="V406" i="3"/>
  <c r="Q336" i="3"/>
  <c r="P336" i="3"/>
  <c r="N336" i="3"/>
  <c r="T336" i="3"/>
  <c r="R336" i="3"/>
  <c r="O336" i="3"/>
  <c r="W366" i="3"/>
  <c r="V366" i="3"/>
  <c r="Q366" i="3"/>
  <c r="X371" i="3"/>
  <c r="W371" i="3"/>
  <c r="R371" i="3"/>
  <c r="T371" i="3"/>
  <c r="S371" i="3"/>
  <c r="Q371" i="3"/>
  <c r="Y403" i="3"/>
  <c r="T403" i="3"/>
  <c r="X403" i="3"/>
  <c r="W403" i="3"/>
  <c r="U403" i="3"/>
  <c r="Q446" i="3"/>
  <c r="P446" i="3"/>
  <c r="Y446" i="3"/>
  <c r="X446" i="3"/>
  <c r="W446" i="3"/>
  <c r="T446" i="3"/>
  <c r="S446" i="3"/>
  <c r="U446" i="3"/>
  <c r="V446" i="3"/>
  <c r="O446" i="3"/>
  <c r="R446" i="3"/>
  <c r="N446" i="3"/>
  <c r="U258" i="3"/>
  <c r="T258" i="3"/>
  <c r="Q258" i="3"/>
  <c r="Y258" i="3"/>
  <c r="W258" i="3"/>
  <c r="V258" i="3"/>
  <c r="R276" i="3"/>
  <c r="O276" i="3"/>
  <c r="U276" i="3"/>
  <c r="T276" i="3"/>
  <c r="P276" i="3"/>
  <c r="U304" i="3"/>
  <c r="S304" i="3"/>
  <c r="Y304" i="3"/>
  <c r="X304" i="3"/>
  <c r="X316" i="3"/>
  <c r="Y316" i="3"/>
  <c r="W316" i="3"/>
  <c r="T316" i="3"/>
  <c r="V318" i="3"/>
  <c r="W318" i="3"/>
  <c r="T318" i="3"/>
  <c r="X318" i="3"/>
  <c r="U318" i="3"/>
  <c r="Q318" i="3"/>
  <c r="T351" i="3"/>
  <c r="S351" i="3"/>
  <c r="N351" i="3"/>
  <c r="X351" i="3"/>
  <c r="V351" i="3"/>
  <c r="R351" i="3"/>
  <c r="Y351" i="3"/>
  <c r="Q358" i="3"/>
  <c r="P358" i="3"/>
  <c r="R358" i="3"/>
  <c r="Y358" i="3"/>
  <c r="T358" i="3"/>
  <c r="O358" i="3"/>
  <c r="N358" i="3"/>
  <c r="U408" i="3"/>
  <c r="Q408" i="3"/>
  <c r="P408" i="3"/>
  <c r="O408" i="3"/>
  <c r="X408" i="3"/>
  <c r="S408" i="3"/>
  <c r="R408" i="3"/>
  <c r="N408" i="3"/>
  <c r="Q424" i="3"/>
  <c r="P424" i="3"/>
  <c r="T424" i="3"/>
  <c r="S424" i="3"/>
  <c r="R424" i="3"/>
  <c r="N424" i="3"/>
  <c r="Y424" i="3"/>
  <c r="Y455" i="3"/>
  <c r="X455" i="3"/>
  <c r="W455" i="3"/>
  <c r="V455" i="3"/>
  <c r="T455" i="3"/>
  <c r="P463" i="3"/>
  <c r="O463" i="3"/>
  <c r="Y463" i="3"/>
  <c r="X463" i="3"/>
  <c r="W463" i="3"/>
  <c r="V463" i="3"/>
  <c r="U463" i="3"/>
  <c r="R463" i="3"/>
  <c r="N276" i="3"/>
  <c r="N304" i="3"/>
  <c r="N316" i="3"/>
  <c r="N318" i="3"/>
  <c r="O326" i="3"/>
  <c r="N326" i="3"/>
  <c r="V326" i="3"/>
  <c r="U326" i="3"/>
  <c r="R326" i="3"/>
  <c r="Y326" i="3"/>
  <c r="W326" i="3"/>
  <c r="O351" i="3"/>
  <c r="X355" i="3"/>
  <c r="V355" i="3"/>
  <c r="T355" i="3"/>
  <c r="U355" i="3"/>
  <c r="R355" i="3"/>
  <c r="Q355" i="3"/>
  <c r="O355" i="3"/>
  <c r="S358" i="3"/>
  <c r="O403" i="3"/>
  <c r="T408" i="3"/>
  <c r="O424" i="3"/>
  <c r="N455" i="3"/>
  <c r="N463" i="3"/>
  <c r="S125" i="3"/>
  <c r="S164" i="3"/>
  <c r="S212" i="3"/>
  <c r="Q212" i="3"/>
  <c r="N212" i="3"/>
  <c r="Y220" i="3"/>
  <c r="V220" i="3"/>
  <c r="U222" i="3"/>
  <c r="R222" i="3"/>
  <c r="Q224" i="3"/>
  <c r="N224" i="3"/>
  <c r="Q246" i="3"/>
  <c r="N246" i="3"/>
  <c r="S258" i="3"/>
  <c r="W276" i="3"/>
  <c r="R282" i="3"/>
  <c r="Q282" i="3"/>
  <c r="N282" i="3"/>
  <c r="X302" i="3"/>
  <c r="V302" i="3"/>
  <c r="Y302" i="3"/>
  <c r="U302" i="3"/>
  <c r="T302" i="3"/>
  <c r="R304" i="3"/>
  <c r="R307" i="3"/>
  <c r="Q307" i="3"/>
  <c r="N307" i="3"/>
  <c r="T307" i="3"/>
  <c r="P307" i="3"/>
  <c r="O307" i="3"/>
  <c r="R316" i="3"/>
  <c r="S318" i="3"/>
  <c r="Q321" i="3"/>
  <c r="T326" i="3"/>
  <c r="Y336" i="3"/>
  <c r="W351" i="3"/>
  <c r="W355" i="3"/>
  <c r="X358" i="3"/>
  <c r="T366" i="3"/>
  <c r="Y371" i="3"/>
  <c r="S403" i="3"/>
  <c r="X424" i="3"/>
  <c r="Y428" i="3"/>
  <c r="W428" i="3"/>
  <c r="V428" i="3"/>
  <c r="U428" i="3"/>
  <c r="S428" i="3"/>
  <c r="T428" i="3"/>
  <c r="R428" i="3"/>
  <c r="P428" i="3"/>
  <c r="O428" i="3"/>
  <c r="R455" i="3"/>
  <c r="N122" i="3"/>
  <c r="T125" i="3"/>
  <c r="N129" i="3"/>
  <c r="N152" i="3"/>
  <c r="T164" i="3"/>
  <c r="N174" i="3"/>
  <c r="N197" i="3"/>
  <c r="O212" i="3"/>
  <c r="N220" i="3"/>
  <c r="N222" i="3"/>
  <c r="O224" i="3"/>
  <c r="O236" i="3"/>
  <c r="R236" i="3"/>
  <c r="N236" i="3"/>
  <c r="O240" i="3"/>
  <c r="U244" i="3"/>
  <c r="R244" i="3"/>
  <c r="O246" i="3"/>
  <c r="X258" i="3"/>
  <c r="X276" i="3"/>
  <c r="O282" i="3"/>
  <c r="N302" i="3"/>
  <c r="T304" i="3"/>
  <c r="S307" i="3"/>
  <c r="Y314" i="3"/>
  <c r="X314" i="3"/>
  <c r="U314" i="3"/>
  <c r="S316" i="3"/>
  <c r="I6" i="2" s="1"/>
  <c r="Y318" i="3"/>
  <c r="R321" i="3"/>
  <c r="X326" i="3"/>
  <c r="Y337" i="3"/>
  <c r="T337" i="3"/>
  <c r="O337" i="3"/>
  <c r="S337" i="3"/>
  <c r="R337" i="3"/>
  <c r="Q337" i="3"/>
  <c r="N337" i="3"/>
  <c r="W352" i="3"/>
  <c r="R352" i="3"/>
  <c r="P352" i="3"/>
  <c r="O352" i="3"/>
  <c r="N352" i="3"/>
  <c r="X352" i="3"/>
  <c r="U352" i="3"/>
  <c r="T352" i="3"/>
  <c r="Q352" i="3"/>
  <c r="Y355" i="3"/>
  <c r="Y359" i="3"/>
  <c r="T359" i="3"/>
  <c r="W359" i="3"/>
  <c r="U359" i="3"/>
  <c r="P359" i="3"/>
  <c r="O359" i="3"/>
  <c r="N359" i="3"/>
  <c r="U366" i="3"/>
  <c r="V369" i="3"/>
  <c r="T369" i="3"/>
  <c r="S369" i="3"/>
  <c r="R369" i="3"/>
  <c r="Y369" i="3"/>
  <c r="W369" i="3"/>
  <c r="R372" i="3"/>
  <c r="P372" i="3"/>
  <c r="N372" i="3"/>
  <c r="Y372" i="3"/>
  <c r="X372" i="3"/>
  <c r="W372" i="3"/>
  <c r="U372" i="3"/>
  <c r="V403" i="3"/>
  <c r="Y425" i="3"/>
  <c r="T425" i="3"/>
  <c r="V425" i="3"/>
  <c r="U425" i="3"/>
  <c r="S425" i="3"/>
  <c r="P425" i="3"/>
  <c r="O425" i="3"/>
  <c r="N425" i="3"/>
  <c r="X425" i="3"/>
  <c r="W425" i="3"/>
  <c r="N428" i="3"/>
  <c r="S455" i="3"/>
  <c r="W476" i="3"/>
  <c r="V476" i="3"/>
  <c r="Q476" i="3"/>
  <c r="X476" i="3"/>
  <c r="Y476" i="3"/>
  <c r="S476" i="3"/>
  <c r="T476" i="3"/>
  <c r="R476" i="3"/>
  <c r="P476" i="3"/>
  <c r="O476" i="3"/>
  <c r="N476" i="3"/>
  <c r="P129" i="3"/>
  <c r="V161" i="3"/>
  <c r="N161" i="3"/>
  <c r="W164" i="3"/>
  <c r="U178" i="3"/>
  <c r="X178" i="3"/>
  <c r="T178" i="3"/>
  <c r="Q197" i="3"/>
  <c r="R212" i="3"/>
  <c r="P220" i="3"/>
  <c r="P222" i="3"/>
  <c r="R224" i="3"/>
  <c r="Q236" i="3"/>
  <c r="Q240" i="3"/>
  <c r="O244" i="3"/>
  <c r="R246" i="3"/>
  <c r="Y277" i="3"/>
  <c r="R277" i="3"/>
  <c r="P277" i="3"/>
  <c r="O277" i="3"/>
  <c r="S282" i="3"/>
  <c r="Y289" i="3"/>
  <c r="V289" i="3"/>
  <c r="U291" i="3"/>
  <c r="Y291" i="3"/>
  <c r="V291" i="3"/>
  <c r="T297" i="3"/>
  <c r="R297" i="3"/>
  <c r="V297" i="3"/>
  <c r="U297" i="3"/>
  <c r="P297" i="3"/>
  <c r="P302" i="3"/>
  <c r="W304" i="3"/>
  <c r="V307" i="3"/>
  <c r="P310" i="3"/>
  <c r="W310" i="3"/>
  <c r="O314" i="3"/>
  <c r="V316" i="3"/>
  <c r="T321" i="3"/>
  <c r="N324" i="3"/>
  <c r="U324" i="3"/>
  <c r="T324" i="3"/>
  <c r="Q324" i="3"/>
  <c r="X324" i="3"/>
  <c r="V324" i="3"/>
  <c r="S324" i="3"/>
  <c r="P324" i="3"/>
  <c r="U337" i="3"/>
  <c r="X349" i="3"/>
  <c r="W349" i="3"/>
  <c r="R349" i="3"/>
  <c r="V349" i="3"/>
  <c r="T349" i="3"/>
  <c r="Q349" i="3"/>
  <c r="Y349" i="3"/>
  <c r="U349" i="3"/>
  <c r="P349" i="3"/>
  <c r="S349" i="3"/>
  <c r="N349" i="3"/>
  <c r="V352" i="3"/>
  <c r="R359" i="3"/>
  <c r="Y366" i="3"/>
  <c r="O369" i="3"/>
  <c r="Q372" i="3"/>
  <c r="O392" i="3"/>
  <c r="N392" i="3"/>
  <c r="W392" i="3"/>
  <c r="V392" i="3"/>
  <c r="U392" i="3"/>
  <c r="R425" i="3"/>
  <c r="X428" i="3"/>
  <c r="T461" i="3"/>
  <c r="S461" i="3"/>
  <c r="N461" i="3"/>
  <c r="Y461" i="3"/>
  <c r="X461" i="3"/>
  <c r="W461" i="3"/>
  <c r="V461" i="3"/>
  <c r="U461" i="3"/>
  <c r="R461" i="3"/>
  <c r="P461" i="3"/>
  <c r="R451" i="3"/>
  <c r="Q451" i="3"/>
  <c r="T451" i="3"/>
  <c r="S451" i="3"/>
  <c r="P451" i="3"/>
  <c r="N451" i="3"/>
  <c r="X451" i="3"/>
  <c r="W451" i="3"/>
  <c r="V451" i="3"/>
  <c r="O451" i="3"/>
  <c r="V471" i="3"/>
  <c r="U471" i="3"/>
  <c r="P471" i="3"/>
  <c r="Y471" i="3"/>
  <c r="X471" i="3"/>
  <c r="W471" i="3"/>
  <c r="T471" i="3"/>
  <c r="S471" i="3"/>
  <c r="R471" i="3"/>
  <c r="P331" i="3"/>
  <c r="O331" i="3"/>
  <c r="R331" i="3"/>
  <c r="X331" i="3"/>
  <c r="U451" i="3"/>
  <c r="N471" i="3"/>
  <c r="O471" i="3"/>
  <c r="W249" i="3"/>
  <c r="T249" i="3"/>
  <c r="N322" i="3"/>
  <c r="Q322" i="3"/>
  <c r="O322" i="3"/>
  <c r="V322" i="3"/>
  <c r="U322" i="3"/>
  <c r="R322" i="3"/>
  <c r="T329" i="3"/>
  <c r="S329" i="3"/>
  <c r="N329" i="3"/>
  <c r="Q329" i="3"/>
  <c r="X329" i="3"/>
  <c r="Q331" i="3"/>
  <c r="O436" i="3"/>
  <c r="N436" i="3"/>
  <c r="Y436" i="3"/>
  <c r="V436" i="3"/>
  <c r="U436" i="3"/>
  <c r="X436" i="3"/>
  <c r="T436" i="3"/>
  <c r="Q436" i="3"/>
  <c r="U452" i="3"/>
  <c r="V452" i="3"/>
  <c r="T452" i="3"/>
  <c r="S452" i="3"/>
  <c r="P452" i="3"/>
  <c r="O452" i="3"/>
  <c r="Q471" i="3"/>
  <c r="T251" i="3"/>
  <c r="Q251" i="3"/>
  <c r="T286" i="3"/>
  <c r="X286" i="3"/>
  <c r="P286" i="3"/>
  <c r="O286" i="3"/>
  <c r="X327" i="3"/>
  <c r="W327" i="3"/>
  <c r="R327" i="3"/>
  <c r="Q327" i="3"/>
  <c r="V327" i="3"/>
  <c r="S331" i="3"/>
  <c r="S377" i="3"/>
  <c r="R377" i="3"/>
  <c r="Q377" i="3"/>
  <c r="X377" i="3"/>
  <c r="X423" i="3"/>
  <c r="V423" i="3"/>
  <c r="U423" i="3"/>
  <c r="T423" i="3"/>
  <c r="Q175" i="3"/>
  <c r="P205" i="3"/>
  <c r="P225" i="3"/>
  <c r="V227" i="3"/>
  <c r="S227" i="3"/>
  <c r="P249" i="3"/>
  <c r="O251" i="3"/>
  <c r="Y263" i="3"/>
  <c r="X263" i="3"/>
  <c r="U263" i="3"/>
  <c r="X265" i="3"/>
  <c r="V265" i="3"/>
  <c r="U265" i="3"/>
  <c r="R265" i="3"/>
  <c r="T267" i="3"/>
  <c r="S267" i="3"/>
  <c r="R267" i="3"/>
  <c r="O267" i="3"/>
  <c r="Q286" i="3"/>
  <c r="P296" i="3"/>
  <c r="T322" i="3"/>
  <c r="O327" i="3"/>
  <c r="R329" i="3"/>
  <c r="U331" i="3"/>
  <c r="W374" i="3"/>
  <c r="T374" i="3"/>
  <c r="R374" i="3"/>
  <c r="P374" i="3"/>
  <c r="O377" i="3"/>
  <c r="P397" i="3"/>
  <c r="O397" i="3"/>
  <c r="X397" i="3"/>
  <c r="V405" i="3"/>
  <c r="U405" i="3"/>
  <c r="P405" i="3"/>
  <c r="Y405" i="3"/>
  <c r="X405" i="3"/>
  <c r="W405" i="3"/>
  <c r="S405" i="3"/>
  <c r="P418" i="3"/>
  <c r="O423" i="3"/>
  <c r="S436" i="3"/>
  <c r="R452" i="3"/>
  <c r="V457" i="3"/>
  <c r="Y457" i="3"/>
  <c r="X457" i="3"/>
  <c r="W457" i="3"/>
  <c r="U457" i="3"/>
  <c r="T457" i="3"/>
  <c r="R457" i="3"/>
  <c r="W477" i="3"/>
  <c r="V477" i="3"/>
  <c r="U477" i="3"/>
  <c r="T477" i="3"/>
  <c r="S477" i="3"/>
  <c r="R477" i="3"/>
  <c r="Q477" i="3"/>
  <c r="P477" i="3"/>
  <c r="X477" i="3"/>
  <c r="Y477" i="3"/>
  <c r="O477" i="3"/>
  <c r="N477" i="3"/>
  <c r="V347" i="3"/>
  <c r="U347" i="3"/>
  <c r="S347" i="3"/>
  <c r="Q347" i="3"/>
  <c r="O370" i="3"/>
  <c r="N370" i="3"/>
  <c r="P370" i="3"/>
  <c r="V427" i="3"/>
  <c r="U427" i="3"/>
  <c r="P427" i="3"/>
  <c r="T427" i="3"/>
  <c r="S427" i="3"/>
  <c r="R427" i="3"/>
  <c r="W432" i="3"/>
  <c r="V432" i="3"/>
  <c r="Q432" i="3"/>
  <c r="Y432" i="3"/>
  <c r="U432" i="3"/>
  <c r="Q333" i="3"/>
  <c r="X333" i="3"/>
  <c r="U378" i="3"/>
  <c r="T378" i="3"/>
  <c r="O378" i="3"/>
  <c r="Y378" i="3"/>
  <c r="W378" i="3"/>
  <c r="P284" i="3"/>
  <c r="P288" i="3"/>
  <c r="W288" i="3"/>
  <c r="U288" i="3"/>
  <c r="T290" i="3"/>
  <c r="R290" i="3"/>
  <c r="Y311" i="3"/>
  <c r="V311" i="3"/>
  <c r="T311" i="3"/>
  <c r="N333" i="3"/>
  <c r="P347" i="3"/>
  <c r="S370" i="3"/>
  <c r="N378" i="3"/>
  <c r="V394" i="3"/>
  <c r="U394" i="3"/>
  <c r="T394" i="3"/>
  <c r="N399" i="3"/>
  <c r="Q427" i="3"/>
  <c r="P432" i="3"/>
  <c r="X459" i="3"/>
  <c r="W459" i="3"/>
  <c r="R459" i="3"/>
  <c r="Y459" i="3"/>
  <c r="V459" i="3"/>
  <c r="Q292" i="3"/>
  <c r="O292" i="3"/>
  <c r="U313" i="3"/>
  <c r="S313" i="3"/>
  <c r="Q313" i="3"/>
  <c r="O333" i="3"/>
  <c r="R347" i="3"/>
  <c r="X357" i="3"/>
  <c r="Y357" i="3"/>
  <c r="V357" i="3"/>
  <c r="T357" i="3"/>
  <c r="T370" i="3"/>
  <c r="P378" i="3"/>
  <c r="N394" i="3"/>
  <c r="W427" i="3"/>
  <c r="R432" i="3"/>
  <c r="N459" i="3"/>
  <c r="V479" i="3"/>
  <c r="U479" i="3"/>
  <c r="T479" i="3"/>
  <c r="S479" i="3"/>
  <c r="R479" i="3"/>
  <c r="Q479" i="3"/>
  <c r="P479" i="3"/>
  <c r="O479" i="3"/>
  <c r="N479" i="3"/>
  <c r="P480" i="3"/>
  <c r="O480" i="3"/>
  <c r="N480" i="3"/>
  <c r="Q480" i="3"/>
  <c r="U400" i="3"/>
  <c r="T400" i="3"/>
  <c r="O400" i="3"/>
  <c r="V400" i="3"/>
  <c r="S400" i="3"/>
  <c r="R400" i="3"/>
  <c r="X415" i="3"/>
  <c r="W415" i="3"/>
  <c r="R415" i="3"/>
  <c r="Y415" i="3"/>
  <c r="V415" i="3"/>
  <c r="U444" i="3"/>
  <c r="T444" i="3"/>
  <c r="O444" i="3"/>
  <c r="Y444" i="3"/>
  <c r="X444" i="3"/>
  <c r="S444" i="3"/>
  <c r="R444" i="3"/>
  <c r="V480" i="3"/>
  <c r="Y398" i="3"/>
  <c r="X398" i="3"/>
  <c r="S398" i="3"/>
  <c r="U398" i="3"/>
  <c r="T398" i="3"/>
  <c r="R398" i="3"/>
  <c r="P400" i="3"/>
  <c r="O411" i="3"/>
  <c r="V413" i="3"/>
  <c r="Y413" i="3"/>
  <c r="X413" i="3"/>
  <c r="W413" i="3"/>
  <c r="O415" i="3"/>
  <c r="U422" i="3"/>
  <c r="T422" i="3"/>
  <c r="O422" i="3"/>
  <c r="R433" i="3"/>
  <c r="Q433" i="3"/>
  <c r="P433" i="3"/>
  <c r="Y442" i="3"/>
  <c r="X442" i="3"/>
  <c r="S442" i="3"/>
  <c r="W442" i="3"/>
  <c r="T442" i="3"/>
  <c r="R442" i="3"/>
  <c r="P444" i="3"/>
  <c r="Y447" i="3"/>
  <c r="T447" i="3"/>
  <c r="X480" i="3"/>
  <c r="R473" i="3"/>
  <c r="Q473" i="3"/>
  <c r="Y473" i="3"/>
  <c r="X473" i="3"/>
  <c r="W473" i="3"/>
  <c r="V473" i="3"/>
  <c r="U473" i="3"/>
  <c r="T473" i="3"/>
  <c r="S473" i="3"/>
  <c r="Y480" i="3"/>
  <c r="Y332" i="3"/>
  <c r="X332" i="3"/>
  <c r="S332" i="3"/>
  <c r="U334" i="3"/>
  <c r="T334" i="3"/>
  <c r="O334" i="3"/>
  <c r="U342" i="3"/>
  <c r="Y342" i="3"/>
  <c r="W396" i="3"/>
  <c r="U396" i="3"/>
  <c r="T396" i="3"/>
  <c r="S396" i="3"/>
  <c r="O398" i="3"/>
  <c r="W400" i="3"/>
  <c r="R407" i="3"/>
  <c r="Q407" i="3"/>
  <c r="Q411" i="3"/>
  <c r="O413" i="3"/>
  <c r="Q415" i="3"/>
  <c r="Y420" i="3"/>
  <c r="X420" i="3"/>
  <c r="S420" i="3"/>
  <c r="P422" i="3"/>
  <c r="O433" i="3"/>
  <c r="O442" i="3"/>
  <c r="V444" i="3"/>
  <c r="O447" i="3"/>
  <c r="V449" i="3"/>
  <c r="U449" i="3"/>
  <c r="P449" i="3"/>
  <c r="N473" i="3"/>
  <c r="Y481" i="3"/>
  <c r="X481" i="3"/>
  <c r="W481" i="3"/>
  <c r="R481" i="3"/>
  <c r="V481" i="3"/>
  <c r="U481" i="3"/>
  <c r="T481" i="3"/>
  <c r="S481" i="3"/>
  <c r="Q481" i="3"/>
  <c r="P481" i="3"/>
  <c r="O481" i="3"/>
  <c r="N481" i="3"/>
  <c r="R429" i="3"/>
  <c r="Q429" i="3"/>
  <c r="W454" i="3"/>
  <c r="V454" i="3"/>
  <c r="Q454" i="3"/>
  <c r="O458" i="3"/>
  <c r="N458" i="3"/>
  <c r="N460" i="3"/>
  <c r="V383" i="3"/>
  <c r="U383" i="3"/>
  <c r="P383" i="3"/>
  <c r="R385" i="3"/>
  <c r="Q385" i="3"/>
  <c r="W410" i="3"/>
  <c r="V410" i="3"/>
  <c r="Q410" i="3"/>
  <c r="S429" i="3"/>
  <c r="O460" i="3"/>
  <c r="Y464" i="3"/>
  <c r="X464" i="3"/>
  <c r="S464" i="3"/>
  <c r="N362" i="3"/>
  <c r="N383" i="3"/>
  <c r="N385" i="3"/>
  <c r="N410" i="3"/>
  <c r="T429" i="3"/>
  <c r="N435" i="3"/>
  <c r="X437" i="3"/>
  <c r="W437" i="3"/>
  <c r="R437" i="3"/>
  <c r="S454" i="3"/>
  <c r="Q458" i="3"/>
  <c r="P460" i="3"/>
  <c r="O462" i="3"/>
  <c r="N464" i="3"/>
  <c r="U466" i="3"/>
  <c r="T466" i="3"/>
  <c r="O466" i="3"/>
  <c r="Q468" i="3"/>
  <c r="P468" i="3"/>
  <c r="V339" i="3"/>
  <c r="U339" i="3"/>
  <c r="P339" i="3"/>
  <c r="R341" i="3"/>
  <c r="Q341" i="3"/>
  <c r="O362" i="3"/>
  <c r="O383" i="3"/>
  <c r="O385" i="3"/>
  <c r="O410" i="3"/>
  <c r="U429" i="3"/>
  <c r="O435" i="3"/>
  <c r="T439" i="3"/>
  <c r="S439" i="3"/>
  <c r="N439" i="3"/>
  <c r="P441" i="3"/>
  <c r="O441" i="3"/>
  <c r="T454" i="3"/>
  <c r="O464" i="3"/>
  <c r="R478" i="3"/>
  <c r="G4" i="2" l="1"/>
  <c r="F7" i="1"/>
  <c r="H7" i="1" s="1"/>
  <c r="G7" i="1"/>
  <c r="G4" i="1"/>
  <c r="K8" i="1"/>
  <c r="F6" i="1"/>
  <c r="H6" i="1" s="1"/>
  <c r="K7" i="2"/>
  <c r="F6" i="2"/>
  <c r="C4" i="2"/>
  <c r="J6" i="2"/>
  <c r="G5" i="1"/>
  <c r="F7" i="2"/>
  <c r="H7" i="2"/>
  <c r="F5" i="2"/>
  <c r="H6" i="2"/>
  <c r="H8" i="2"/>
  <c r="C6" i="2"/>
  <c r="I7" i="2"/>
  <c r="K8" i="2"/>
  <c r="G7" i="2"/>
  <c r="F8" i="2"/>
  <c r="C5" i="2"/>
  <c r="I5" i="2"/>
  <c r="J8" i="2"/>
  <c r="I6" i="1"/>
  <c r="L5" i="2"/>
  <c r="E5" i="2"/>
  <c r="I8" i="2"/>
  <c r="C8" i="2"/>
  <c r="J5" i="2"/>
  <c r="I7" i="1"/>
  <c r="D5" i="2"/>
  <c r="L4" i="2"/>
  <c r="G5" i="2"/>
  <c r="G6" i="1"/>
  <c r="H5" i="2"/>
  <c r="E8" i="2"/>
  <c r="J7" i="2"/>
  <c r="G8" i="2"/>
  <c r="F8" i="1"/>
  <c r="H8" i="1" s="1"/>
  <c r="K5" i="2"/>
  <c r="E6" i="2"/>
  <c r="I5" i="1"/>
  <c r="K5" i="1"/>
  <c r="E7" i="2"/>
  <c r="C7" i="2"/>
  <c r="K4" i="1"/>
  <c r="I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<sst xmlns="http://schemas.openxmlformats.org/spreadsheetml/2006/main" count="1538" uniqueCount="574">
  <si>
    <t>All-method comparison summary</t>
  </si>
  <si>
    <t>Method</t>
  </si>
  <si>
    <t>File</t>
  </si>
  <si>
    <t>Sheet</t>
  </si>
  <si>
    <t>Column Used</t>
  </si>
  <si>
    <t>Compared Instances</t>
  </si>
  <si>
    <t>Best Count (incl. ties)</t>
  </si>
  <si>
    <t>Strict Best Count</t>
  </si>
  <si>
    <t>Best Share (incl. ties) %</t>
  </si>
  <si>
    <t>Average Gap to Best %</t>
  </si>
  <si>
    <t>Average Cost</t>
  </si>
  <si>
    <t>Max Gap %</t>
  </si>
  <si>
    <t>Input Unique Instances</t>
  </si>
  <si>
    <t>S-FFD</t>
  </si>
  <si>
    <t>Surrogate_FFD_all_results(2).xlsx</t>
  </si>
  <si>
    <t>Summary</t>
  </si>
  <si>
    <t>Final Cost</t>
  </si>
  <si>
    <t>S-BFD</t>
  </si>
  <si>
    <t>Surrogate_BFD_all_results(1).xlsx</t>
  </si>
  <si>
    <t>S-WFD</t>
  </si>
  <si>
    <t>Surrogate_WFD_all_results(1).xlsx</t>
  </si>
  <si>
    <t>Best C-TP</t>
  </si>
  <si>
    <t>BPPSC_Summary_benchmark.xlsx</t>
  </si>
  <si>
    <t>objective</t>
  </si>
  <si>
    <t>MSIG</t>
  </si>
  <si>
    <t>summary_results_all_IG(2).xlsx</t>
  </si>
  <si>
    <t>Results</t>
  </si>
  <si>
    <t>IG Best Result</t>
  </si>
  <si>
    <t>Matched instances</t>
  </si>
  <si>
    <t>Unmatched instances</t>
  </si>
  <si>
    <t>The values above are formula-driven from the Comparison sheet. Percent gaps are in percentage points, e.g., 29.36 means 29.36%. Tied best values are counted for every method reaching the instance best cost.</t>
  </si>
  <si>
    <t>Comparison by number of items</t>
  </si>
  <si>
    <t>n_items</t>
  </si>
  <si>
    <t>Instances</t>
  </si>
  <si>
    <t>S-FFD Avg Gap %</t>
  </si>
  <si>
    <t>S-FFD #Best</t>
  </si>
  <si>
    <t>S-BFD Avg Gap %</t>
  </si>
  <si>
    <t>S-BFD #Best</t>
  </si>
  <si>
    <t>S-WFD Avg Gap %</t>
  </si>
  <si>
    <t>S-WFD #Best</t>
  </si>
  <si>
    <t>Best C-TP Avg Gap %</t>
  </si>
  <si>
    <t>Best C-TP #Best</t>
  </si>
  <si>
    <t>MSIG Avg Gap %</t>
  </si>
  <si>
    <t>MSIG #Best</t>
  </si>
  <si>
    <t>Instance Key</t>
  </si>
  <si>
    <t>n_classes</t>
  </si>
  <si>
    <t>Capacity</t>
  </si>
  <si>
    <t>Bin Cost</t>
  </si>
  <si>
    <t>CTP chosen_method</t>
  </si>
  <si>
    <t>CTP feasible</t>
  </si>
  <si>
    <t>S-FFD Cost</t>
  </si>
  <si>
    <t>S-BFD Cost</t>
  </si>
  <si>
    <t>S-WFD Cost</t>
  </si>
  <si>
    <t>Best C-TP Cost</t>
  </si>
  <si>
    <t>MSIG Cost</t>
  </si>
  <si>
    <t>Best Cost</t>
  </si>
  <si>
    <t>Best Method(s)</t>
  </si>
  <si>
    <t>Strict Best Method</t>
  </si>
  <si>
    <t>S-FFD Gap %</t>
  </si>
  <si>
    <t>S-BFD Gap %</t>
  </si>
  <si>
    <t>S-WFD Gap %</t>
  </si>
  <si>
    <t>Best C-TP Gap %</t>
  </si>
  <si>
    <t>MSIG Gap %</t>
  </si>
  <si>
    <t>S-FFD Best?</t>
  </si>
  <si>
    <t>S-BFD Best?</t>
  </si>
  <si>
    <t>S-WFD Best?</t>
  </si>
  <si>
    <t>Best C-TP Best?</t>
  </si>
  <si>
    <t>MSIG Best?</t>
  </si>
  <si>
    <t>bpps_d10000n100m10w1500_3000s1000_2000f0_seed0</t>
  </si>
  <si>
    <t>BFD</t>
  </si>
  <si>
    <t>YES</t>
  </si>
  <si>
    <t>bpps_d10000n100m10w1500_3000s1000_2000f0_seed1</t>
  </si>
  <si>
    <t>bpps_d10000n100m10w1500_3000s1000_2000f1_seed0</t>
  </si>
  <si>
    <t>bpps_d10000n100m10w1500_3000s1000_2000f1_seed1</t>
  </si>
  <si>
    <t>bpps_d10000n100m10w1500_3000s100_1000f0_seed0</t>
  </si>
  <si>
    <t>bpps_d10000n100m10w1500_3000s100_1000f0_seed1</t>
  </si>
  <si>
    <t>bpps_d10000n100m10w1500_3000s100_1000f1_seed0</t>
  </si>
  <si>
    <t>bpps_d10000n100m10w1500_3000s100_1000f1_seed1</t>
  </si>
  <si>
    <t>bpps_d10000n100m10w500_1500s1000_2000f0_seed0</t>
  </si>
  <si>
    <t>bpps_d10000n100m10w500_1500s1000_2000f0_seed1</t>
  </si>
  <si>
    <t>bpps_d10000n100m10w500_1500s1000_2000f1_seed0</t>
  </si>
  <si>
    <t>bpps_d10000n100m10w500_1500s1000_2000f1_seed1</t>
  </si>
  <si>
    <t>bpps_d10000n100m10w500_1500s100_1000f0_seed0</t>
  </si>
  <si>
    <t>bpps_d10000n100m10w500_1500s100_1000f0_seed1</t>
  </si>
  <si>
    <t>bpps_d10000n100m10w500_1500s100_1000f1_seed0</t>
  </si>
  <si>
    <t>bpps_d10000n100m10w500_1500s100_1000f1_seed1</t>
  </si>
  <si>
    <t>bpps_d10000n100m5w1500_3000s1000_2000f0_seed0</t>
  </si>
  <si>
    <t>bpps_d10000n100m5w1500_3000s1000_2000f0_seed1</t>
  </si>
  <si>
    <t>bpps_d10000n100m5w1500_3000s1000_2000f1_seed0</t>
  </si>
  <si>
    <t>bpps_d10000n100m5w1500_3000s1000_2000f1_seed1</t>
  </si>
  <si>
    <t>bpps_d10000n100m5w1500_3000s100_1000f0_seed0</t>
  </si>
  <si>
    <t>FFD</t>
  </si>
  <si>
    <t>bpps_d10000n100m5w1500_3000s100_1000f0_seed1</t>
  </si>
  <si>
    <t>bpps_d10000n100m5w1500_3000s100_1000f1_seed0</t>
  </si>
  <si>
    <t>bpps_d10000n100m5w1500_3000s100_1000f1_seed1</t>
  </si>
  <si>
    <t>bpps_d10000n100m5w500_1500s1000_2000f0_seed0</t>
  </si>
  <si>
    <t>bpps_d10000n100m5w500_1500s1000_2000f0_seed1</t>
  </si>
  <si>
    <t>bpps_d10000n100m5w500_1500s1000_2000f1_seed0</t>
  </si>
  <si>
    <t>bpps_d10000n100m5w500_1500s1000_2000f1_seed1</t>
  </si>
  <si>
    <t>bpps_d10000n100m5w500_1500s100_1000f0_seed0</t>
  </si>
  <si>
    <t>bpps_d10000n100m5w500_1500s100_1000f0_seed1</t>
  </si>
  <si>
    <t>bpps_d10000n100m5w500_1500s100_1000f1_seed0</t>
  </si>
  <si>
    <t>bpps_d10000n100m5w500_1500s100_1000f1_seed1</t>
  </si>
  <si>
    <t>bpps_d10000n200m10w1500_3000s1000_2000f0_seed0</t>
  </si>
  <si>
    <t>bpps_d10000n200m10w1500_3000s1000_2000f0_seed1</t>
  </si>
  <si>
    <t>bpps_d10000n200m10w1500_3000s1000_2000f1_seed0</t>
  </si>
  <si>
    <t>bpps_d10000n200m10w1500_3000s1000_2000f1_seed1</t>
  </si>
  <si>
    <t>bpps_d10000n200m10w1500_3000s100_1000f0_seed0</t>
  </si>
  <si>
    <t>bpps_d10000n200m10w1500_3000s100_1000f0_seed1</t>
  </si>
  <si>
    <t>bpps_d10000n200m10w1500_3000s100_1000f1_seed0</t>
  </si>
  <si>
    <t>bpps_d10000n200m10w1500_3000s100_1000f1_seed1</t>
  </si>
  <si>
    <t>bpps_d10000n200m10w500_1500s1000_2000f0_seed0</t>
  </si>
  <si>
    <t>bpps_d10000n200m10w500_1500s1000_2000f0_seed1</t>
  </si>
  <si>
    <t>bpps_d10000n200m10w500_1500s1000_2000f1_seed0</t>
  </si>
  <si>
    <t>bpps_d10000n200m10w500_1500s1000_2000f1_seed1</t>
  </si>
  <si>
    <t>bpps_d10000n200m10w500_1500s100_1000f0_seed0</t>
  </si>
  <si>
    <t>bpps_d10000n200m10w500_1500s100_1000f0_seed1</t>
  </si>
  <si>
    <t>bpps_d10000n200m10w500_1500s100_1000f1_seed0</t>
  </si>
  <si>
    <t>bpps_d10000n200m10w500_1500s100_1000f1_seed1</t>
  </si>
  <si>
    <t>bpps_d10000n200m5w1500_3000s1000_2000f0_seed0</t>
  </si>
  <si>
    <t>bpps_d10000n200m5w1500_3000s1000_2000f0_seed1</t>
  </si>
  <si>
    <t>bpps_d10000n200m5w1500_3000s1000_2000f1_seed0</t>
  </si>
  <si>
    <t>bpps_d10000n200m5w1500_3000s1000_2000f1_seed1</t>
  </si>
  <si>
    <t>bpps_d10000n200m5w1500_3000s100_1000f0_seed0</t>
  </si>
  <si>
    <t>bpps_d10000n200m5w1500_3000s100_1000f0_seed1</t>
  </si>
  <si>
    <t>bpps_d10000n200m5w1500_3000s100_1000f1_seed0</t>
  </si>
  <si>
    <t>bpps_d10000n200m5w1500_3000s100_1000f1_seed1</t>
  </si>
  <si>
    <t>bpps_d10000n200m5w500_1500s1000_2000f0_seed0</t>
  </si>
  <si>
    <t>bpps_d10000n200m5w500_1500s1000_2000f0_seed1</t>
  </si>
  <si>
    <t>bpps_d10000n200m5w500_1500s1000_2000f1_seed0</t>
  </si>
  <si>
    <t>bpps_d10000n200m5w500_1500s1000_2000f1_seed1</t>
  </si>
  <si>
    <t>bpps_d10000n200m5w500_1500s100_1000f0_seed0</t>
  </si>
  <si>
    <t>bpps_d10000n200m5w500_1500s100_1000f0_seed1</t>
  </si>
  <si>
    <t>bpps_d10000n200m5w500_1500s100_1000f1_seed0</t>
  </si>
  <si>
    <t>bpps_d10000n200m5w500_1500s100_1000f1_seed1</t>
  </si>
  <si>
    <t>bpps_d10000n25m10w1500_3000s1000_2000f0_seed0</t>
  </si>
  <si>
    <t>bpps_d10000n25m10w1500_3000s1000_2000f0_seed1</t>
  </si>
  <si>
    <t>bpps_d10000n25m10w1500_3000s1000_2000f1_seed0</t>
  </si>
  <si>
    <t>bpps_d10000n25m10w1500_3000s1000_2000f1_seed1</t>
  </si>
  <si>
    <t>bpps_d10000n25m10w1500_3000s100_1000f0_seed0</t>
  </si>
  <si>
    <t>bpps_d10000n25m10w1500_3000s100_1000f0_seed1</t>
  </si>
  <si>
    <t>bpps_d10000n25m10w1500_3000s100_1000f1_seed0</t>
  </si>
  <si>
    <t>bpps_d10000n25m10w1500_3000s100_1000f1_seed1</t>
  </si>
  <si>
    <t>bpps_d10000n25m10w500_1500s1000_2000f0_seed0</t>
  </si>
  <si>
    <t>bpps_d10000n25m10w500_1500s1000_2000f0_seed1</t>
  </si>
  <si>
    <t>bpps_d10000n25m10w500_1500s1000_2000f1_seed0</t>
  </si>
  <si>
    <t>bpps_d10000n25m10w500_1500s1000_2000f1_seed1</t>
  </si>
  <si>
    <t>bpps_d10000n25m10w500_1500s100_1000f0_seed0</t>
  </si>
  <si>
    <t>bpps_d10000n25m10w500_1500s100_1000f0_seed1</t>
  </si>
  <si>
    <t>bpps_d10000n25m10w500_1500s100_1000f1_seed0</t>
  </si>
  <si>
    <t>bpps_d10000n25m10w500_1500s100_1000f1_seed1</t>
  </si>
  <si>
    <t>bpps_d10000n25m5w1500_3000s1000_2000f0_seed0</t>
  </si>
  <si>
    <t>bpps_d10000n25m5w1500_3000s1000_2000f0_seed1</t>
  </si>
  <si>
    <t>bpps_d10000n25m5w1500_3000s1000_2000f1_seed0</t>
  </si>
  <si>
    <t>bpps_d10000n25m5w1500_3000s1000_2000f1_seed1</t>
  </si>
  <si>
    <t>bpps_d10000n25m5w1500_3000s100_1000f0_seed0</t>
  </si>
  <si>
    <t>bpps_d10000n25m5w1500_3000s100_1000f0_seed1</t>
  </si>
  <si>
    <t>bpps_d10000n25m5w1500_3000s100_1000f1_seed0</t>
  </si>
  <si>
    <t>bpps_d10000n25m5w1500_3000s100_1000f1_seed1</t>
  </si>
  <si>
    <t>bpps_d10000n25m5w500_1500s1000_2000f0_seed0</t>
  </si>
  <si>
    <t>bpps_d10000n25m5w500_1500s1000_2000f0_seed1</t>
  </si>
  <si>
    <t>bpps_d10000n25m5w500_1500s1000_2000f1_seed0</t>
  </si>
  <si>
    <t>bpps_d10000n25m5w500_1500s1000_2000f1_seed1</t>
  </si>
  <si>
    <t>bpps_d10000n25m5w500_1500s100_1000f0_seed0</t>
  </si>
  <si>
    <t>bpps_d10000n25m5w500_1500s100_1000f0_seed1</t>
  </si>
  <si>
    <t>bpps_d10000n25m5w500_1500s100_1000f1_seed0</t>
  </si>
  <si>
    <t>bpps_d10000n25m5w500_1500s100_1000f1_seed1</t>
  </si>
  <si>
    <t>bpps_d10000n50m10w1500_3000s1000_2000f0_seed0</t>
  </si>
  <si>
    <t>bpps_d10000n50m10w1500_3000s1000_2000f0_seed1</t>
  </si>
  <si>
    <t>bpps_d10000n50m10w1500_3000s1000_2000f1_seed0</t>
  </si>
  <si>
    <t>bpps_d10000n50m10w1500_3000s1000_2000f1_seed1</t>
  </si>
  <si>
    <t>bpps_d10000n50m10w1500_3000s100_1000f0_seed0</t>
  </si>
  <si>
    <t>bpps_d10000n50m10w1500_3000s100_1000f0_seed1</t>
  </si>
  <si>
    <t>bpps_d10000n50m10w1500_3000s100_1000f1_seed0</t>
  </si>
  <si>
    <t>bpps_d10000n50m10w1500_3000s100_1000f1_seed1</t>
  </si>
  <si>
    <t>bpps_d10000n50m10w500_1500s1000_2000f0_seed0</t>
  </si>
  <si>
    <t>bpps_d10000n50m10w500_1500s1000_2000f0_seed1</t>
  </si>
  <si>
    <t>bpps_d10000n50m10w500_1500s1000_2000f1_seed0</t>
  </si>
  <si>
    <t>bpps_d10000n50m10w500_1500s1000_2000f1_seed1</t>
  </si>
  <si>
    <t>bpps_d10000n50m10w500_1500s100_1000f0_seed0</t>
  </si>
  <si>
    <t>bpps_d10000n50m10w500_1500s100_1000f0_seed1</t>
  </si>
  <si>
    <t>bpps_d10000n50m10w500_1500s100_1000f1_seed0</t>
  </si>
  <si>
    <t>bpps_d10000n50m10w500_1500s100_1000f1_seed1</t>
  </si>
  <si>
    <t>bpps_d10000n50m5w1500_3000s1000_2000f0_seed0</t>
  </si>
  <si>
    <t>bpps_d10000n50m5w1500_3000s1000_2000f0_seed1</t>
  </si>
  <si>
    <t>bpps_d10000n50m5w1500_3000s1000_2000f1_seed0</t>
  </si>
  <si>
    <t>bpps_d10000n50m5w1500_3000s1000_2000f1_seed1</t>
  </si>
  <si>
    <t>bpps_d10000n50m5w1500_3000s100_1000f0_seed0</t>
  </si>
  <si>
    <t>bpps_d10000n50m5w1500_3000s100_1000f0_seed1</t>
  </si>
  <si>
    <t>bpps_d10000n50m5w1500_3000s100_1000f1_seed0</t>
  </si>
  <si>
    <t>bpps_d10000n50m5w1500_3000s100_1000f1_seed1</t>
  </si>
  <si>
    <t>bpps_d10000n50m5w500_1500s1000_2000f0_seed0</t>
  </si>
  <si>
    <t>bpps_d10000n50m5w500_1500s1000_2000f0_seed1</t>
  </si>
  <si>
    <t>bpps_d10000n50m5w500_1500s1000_2000f1_seed0</t>
  </si>
  <si>
    <t>bpps_d10000n50m5w500_1500s1000_2000f1_seed1</t>
  </si>
  <si>
    <t>bpps_d10000n50m5w500_1500s100_1000f0_seed0</t>
  </si>
  <si>
    <t>bpps_d10000n50m5w500_1500s100_1000f0_seed1</t>
  </si>
  <si>
    <t>bpps_d10000n50m5w500_1500s100_1000f1_seed0</t>
  </si>
  <si>
    <t>bpps_d10000n50m5w500_1500s100_1000f1_seed1</t>
  </si>
  <si>
    <t>bpps_d10000n75m10w1500_3000s1000_2000f0_seed0</t>
  </si>
  <si>
    <t>bpps_d10000n75m10w1500_3000s1000_2000f0_seed1</t>
  </si>
  <si>
    <t>bpps_d10000n75m10w1500_3000s1000_2000f1_seed0</t>
  </si>
  <si>
    <t>bpps_d10000n75m10w1500_3000s1000_2000f1_seed1</t>
  </si>
  <si>
    <t>bpps_d10000n75m10w1500_3000s100_1000f0_seed0</t>
  </si>
  <si>
    <t>bpps_d10000n75m10w1500_3000s100_1000f0_seed1</t>
  </si>
  <si>
    <t>bpps_d10000n75m10w1500_3000s100_1000f1_seed0</t>
  </si>
  <si>
    <t>bpps_d10000n75m10w1500_3000s100_1000f1_seed1</t>
  </si>
  <si>
    <t>bpps_d10000n75m10w500_1500s1000_2000f0_seed0</t>
  </si>
  <si>
    <t>bpps_d10000n75m10w500_1500s1000_2000f0_seed1</t>
  </si>
  <si>
    <t>bpps_d10000n75m10w500_1500s1000_2000f1_seed0</t>
  </si>
  <si>
    <t>bpps_d10000n75m10w500_1500s1000_2000f1_seed1</t>
  </si>
  <si>
    <t>bpps_d10000n75m10w500_1500s100_1000f0_seed0</t>
  </si>
  <si>
    <t>bpps_d10000n75m10w500_1500s100_1000f0_seed1</t>
  </si>
  <si>
    <t>bpps_d10000n75m10w500_1500s100_1000f1_seed0</t>
  </si>
  <si>
    <t>bpps_d10000n75m10w500_1500s100_1000f1_seed1</t>
  </si>
  <si>
    <t>bpps_d10000n75m5w1500_3000s1000_2000f0_seed0</t>
  </si>
  <si>
    <t>bpps_d10000n75m5w1500_3000s1000_2000f0_seed1</t>
  </si>
  <si>
    <t>bpps_d10000n75m5w1500_3000s1000_2000f1_seed0</t>
  </si>
  <si>
    <t>bpps_d10000n75m5w1500_3000s1000_2000f1_seed1</t>
  </si>
  <si>
    <t>bpps_d10000n75m5w1500_3000s100_1000f0_seed0</t>
  </si>
  <si>
    <t>bpps_d10000n75m5w1500_3000s100_1000f0_seed1</t>
  </si>
  <si>
    <t>bpps_d10000n75m5w1500_3000s100_1000f1_seed0</t>
  </si>
  <si>
    <t>bpps_d10000n75m5w1500_3000s100_1000f1_seed1</t>
  </si>
  <si>
    <t>bpps_d10000n75m5w500_1500s1000_2000f0_seed0</t>
  </si>
  <si>
    <t>bpps_d10000n75m5w500_1500s1000_2000f0_seed1</t>
  </si>
  <si>
    <t>bpps_d10000n75m5w500_1500s1000_2000f1_seed0</t>
  </si>
  <si>
    <t>bpps_d10000n75m5w500_1500s1000_2000f1_seed1</t>
  </si>
  <si>
    <t>bpps_d10000n75m5w500_1500s100_1000f0_seed0</t>
  </si>
  <si>
    <t>bpps_d10000n75m5w500_1500s100_1000f0_seed1</t>
  </si>
  <si>
    <t>bpps_d10000n75m5w500_1500s100_1000f1_seed0</t>
  </si>
  <si>
    <t>bpps_d10000n75m5w500_1500s100_1000f1_seed1</t>
  </si>
  <si>
    <t>bpps_d1000n100m10w150_300s100_200f0_seed0</t>
  </si>
  <si>
    <t>bpps_d1000n100m10w150_300s100_200f0_seed1</t>
  </si>
  <si>
    <t>bpps_d1000n100m10w150_300s100_200f1_seed0</t>
  </si>
  <si>
    <t>bpps_d1000n100m10w150_300s100_200f1_seed1</t>
  </si>
  <si>
    <t>bpps_d1000n100m10w150_300s10_100f0_seed0</t>
  </si>
  <si>
    <t>bpps_d1000n100m10w150_300s10_100f0_seed1</t>
  </si>
  <si>
    <t>bpps_d1000n100m10w150_300s10_100f1_seed0</t>
  </si>
  <si>
    <t>bpps_d1000n100m10w150_300s10_100f1_seed1</t>
  </si>
  <si>
    <t>bpps_d1000n100m10w50_150s100_200f0_seed0</t>
  </si>
  <si>
    <t>bpps_d1000n100m10w50_150s100_200f0_seed1</t>
  </si>
  <si>
    <t>bpps_d1000n100m10w50_150s100_200f1_seed0</t>
  </si>
  <si>
    <t>bpps_d1000n100m10w50_150s100_200f1_seed1</t>
  </si>
  <si>
    <t>bpps_d1000n100m10w50_150s10_100f0_seed0</t>
  </si>
  <si>
    <t>bpps_d1000n100m10w50_150s10_100f0_seed1</t>
  </si>
  <si>
    <t>bpps_d1000n100m10w50_150s10_100f1_seed0</t>
  </si>
  <si>
    <t>bpps_d1000n100m10w50_150s10_100f1_seed1</t>
  </si>
  <si>
    <t>bpps_d1000n100m5w150_300s100_200f0_seed0</t>
  </si>
  <si>
    <t>bpps_d1000n100m5w150_300s100_200f0_seed1</t>
  </si>
  <si>
    <t>bpps_d1000n100m5w150_300s100_200f1_seed0</t>
  </si>
  <si>
    <t>bpps_d1000n100m5w150_300s100_200f1_seed1</t>
  </si>
  <si>
    <t>bpps_d1000n100m5w150_300s10_100f0_seed0</t>
  </si>
  <si>
    <t>bpps_d1000n100m5w150_300s10_100f0_seed1</t>
  </si>
  <si>
    <t>bpps_d1000n100m5w150_300s10_100f1_seed0</t>
  </si>
  <si>
    <t>bpps_d1000n100m5w150_300s10_100f1_seed1</t>
  </si>
  <si>
    <t>bpps_d1000n100m5w50_150s100_200f0_seed0</t>
  </si>
  <si>
    <t>bpps_d1000n100m5w50_150s100_200f0_seed1</t>
  </si>
  <si>
    <t>bpps_d1000n100m5w50_150s100_200f1_seed0</t>
  </si>
  <si>
    <t>bpps_d1000n100m5w50_150s100_200f1_seed1</t>
  </si>
  <si>
    <t>bpps_d1000n100m5w50_150s10_100f0_seed0</t>
  </si>
  <si>
    <t>bpps_d1000n100m5w50_150s10_100f0_seed1</t>
  </si>
  <si>
    <t>bpps_d1000n100m5w50_150s10_100f1_seed0</t>
  </si>
  <si>
    <t>bpps_d1000n100m5w50_150s10_100f1_seed1</t>
  </si>
  <si>
    <t>bpps_d1000n200m10w150_300s100_200f0_seed0</t>
  </si>
  <si>
    <t>bpps_d1000n200m10w150_300s100_200f0_seed1</t>
  </si>
  <si>
    <t>bpps_d1000n200m10w150_300s100_200f1_seed0</t>
  </si>
  <si>
    <t>bpps_d1000n200m10w150_300s100_200f1_seed1</t>
  </si>
  <si>
    <t>bpps_d1000n200m10w150_300s10_100f0_seed0</t>
  </si>
  <si>
    <t>bpps_d1000n200m10w150_300s10_100f0_seed1</t>
  </si>
  <si>
    <t>bpps_d1000n200m10w150_300s10_100f1_seed0</t>
  </si>
  <si>
    <t>bpps_d1000n200m10w150_300s10_100f1_seed1</t>
  </si>
  <si>
    <t>bpps_d1000n200m10w50_150s100_200f0_seed0</t>
  </si>
  <si>
    <t>bpps_d1000n200m10w50_150s100_200f0_seed1</t>
  </si>
  <si>
    <t>bpps_d1000n200m10w50_150s100_200f1_seed0</t>
  </si>
  <si>
    <t>bpps_d1000n200m10w50_150s100_200f1_seed1</t>
  </si>
  <si>
    <t>bpps_d1000n200m10w50_150s10_100f0_seed0</t>
  </si>
  <si>
    <t>bpps_d1000n200m10w50_150s10_100f0_seed1</t>
  </si>
  <si>
    <t>bpps_d1000n200m10w50_150s10_100f1_seed0</t>
  </si>
  <si>
    <t>bpps_d1000n200m10w50_150s10_100f1_seed1</t>
  </si>
  <si>
    <t>bpps_d1000n200m5w150_300s100_200f0_seed0</t>
  </si>
  <si>
    <t>bpps_d1000n200m5w150_300s100_200f0_seed1</t>
  </si>
  <si>
    <t>bpps_d1000n200m5w150_300s100_200f1_seed0</t>
  </si>
  <si>
    <t>bpps_d1000n200m5w150_300s100_200f1_seed1</t>
  </si>
  <si>
    <t>bpps_d1000n200m5w150_300s10_100f0_seed0</t>
  </si>
  <si>
    <t>bpps_d1000n200m5w150_300s10_100f0_seed1</t>
  </si>
  <si>
    <t>bpps_d1000n200m5w150_300s10_100f1_seed0</t>
  </si>
  <si>
    <t>bpps_d1000n200m5w150_300s10_100f1_seed1</t>
  </si>
  <si>
    <t>bpps_d1000n200m5w50_150s100_200f0_seed0</t>
  </si>
  <si>
    <t>bpps_d1000n200m5w50_150s100_200f0_seed1</t>
  </si>
  <si>
    <t>bpps_d1000n200m5w50_150s100_200f1_seed0</t>
  </si>
  <si>
    <t>bpps_d1000n200m5w50_150s100_200f1_seed1</t>
  </si>
  <si>
    <t>bpps_d1000n200m5w50_150s10_100f0_seed0</t>
  </si>
  <si>
    <t>bpps_d1000n200m5w50_150s10_100f0_seed1</t>
  </si>
  <si>
    <t>bpps_d1000n200m5w50_150s10_100f1_seed0</t>
  </si>
  <si>
    <t>bpps_d1000n200m5w50_150s10_100f1_seed1</t>
  </si>
  <si>
    <t>bpps_d1000n25m10w150_300s100_200f0_seed0</t>
  </si>
  <si>
    <t>bpps_d1000n25m10w150_300s100_200f0_seed1</t>
  </si>
  <si>
    <t>bpps_d1000n25m10w150_300s100_200f1_seed0</t>
  </si>
  <si>
    <t>bpps_d1000n25m10w150_300s100_200f1_seed1</t>
  </si>
  <si>
    <t>bpps_d1000n25m10w150_300s10_100f0_seed0</t>
  </si>
  <si>
    <t>bpps_d1000n25m10w150_300s10_100f0_seed1</t>
  </si>
  <si>
    <t>bpps_d1000n25m10w150_300s10_100f1_seed0</t>
  </si>
  <si>
    <t>bpps_d1000n25m10w150_300s10_100f1_seed1</t>
  </si>
  <si>
    <t>bpps_d1000n25m10w50_150s100_200f0_seed0</t>
  </si>
  <si>
    <t>bpps_d1000n25m10w50_150s100_200f0_seed1</t>
  </si>
  <si>
    <t>bpps_d1000n25m10w50_150s100_200f1_seed0</t>
  </si>
  <si>
    <t>bpps_d1000n25m10w50_150s100_200f1_seed1</t>
  </si>
  <si>
    <t>bpps_d1000n25m10w50_150s10_100f0_seed0</t>
  </si>
  <si>
    <t>bpps_d1000n25m10w50_150s10_100f0_seed1</t>
  </si>
  <si>
    <t>bpps_d1000n25m10w50_150s10_100f1_seed0</t>
  </si>
  <si>
    <t>bpps_d1000n25m10w50_150s10_100f1_seed1</t>
  </si>
  <si>
    <t>bpps_d1000n25m5w150_300s100_200f0_seed0</t>
  </si>
  <si>
    <t>bpps_d1000n25m5w150_300s100_200f0_seed1</t>
  </si>
  <si>
    <t>bpps_d1000n25m5w150_300s100_200f1_seed0</t>
  </si>
  <si>
    <t>bpps_d1000n25m5w150_300s100_200f1_seed1</t>
  </si>
  <si>
    <t>bpps_d1000n25m5w150_300s10_100f0_seed0</t>
  </si>
  <si>
    <t>bpps_d1000n25m5w150_300s10_100f0_seed1</t>
  </si>
  <si>
    <t>bpps_d1000n25m5w150_300s10_100f1_seed0</t>
  </si>
  <si>
    <t>bpps_d1000n25m5w150_300s10_100f1_seed1</t>
  </si>
  <si>
    <t>bpps_d1000n25m5w50_150s100_200f0_seed0</t>
  </si>
  <si>
    <t>bpps_d1000n25m5w50_150s100_200f0_seed1</t>
  </si>
  <si>
    <t>bpps_d1000n25m5w50_150s100_200f1_seed0</t>
  </si>
  <si>
    <t>bpps_d1000n25m5w50_150s100_200f1_seed1</t>
  </si>
  <si>
    <t>bpps_d1000n25m5w50_150s10_100f0_seed0</t>
  </si>
  <si>
    <t>bpps_d1000n25m5w50_150s10_100f0_seed1</t>
  </si>
  <si>
    <t>bpps_d1000n25m5w50_150s10_100f1_seed0</t>
  </si>
  <si>
    <t>bpps_d1000n25m5w50_150s10_100f1_seed1</t>
  </si>
  <si>
    <t>bpps_d1000n50m10w150_300s100_200f0_seed0</t>
  </si>
  <si>
    <t>bpps_d1000n50m10w150_300s100_200f0_seed1</t>
  </si>
  <si>
    <t>bpps_d1000n50m10w150_300s100_200f1_seed0</t>
  </si>
  <si>
    <t>bpps_d1000n50m10w150_300s100_200f1_seed1</t>
  </si>
  <si>
    <t>bpps_d1000n50m10w150_300s10_100f0_seed0</t>
  </si>
  <si>
    <t>bpps_d1000n50m10w150_300s10_100f0_seed1</t>
  </si>
  <si>
    <t>bpps_d1000n50m10w150_300s10_100f1_seed0</t>
  </si>
  <si>
    <t>bpps_d1000n50m10w150_300s10_100f1_seed1</t>
  </si>
  <si>
    <t>bpps_d1000n50m10w50_150s100_200f0_seed0</t>
  </si>
  <si>
    <t>bpps_d1000n50m10w50_150s100_200f0_seed1</t>
  </si>
  <si>
    <t>bpps_d1000n50m10w50_150s100_200f1_seed0</t>
  </si>
  <si>
    <t>bpps_d1000n50m10w50_150s100_200f1_seed1</t>
  </si>
  <si>
    <t>bpps_d1000n50m10w50_150s10_100f0_seed0</t>
  </si>
  <si>
    <t>bpps_d1000n50m10w50_150s10_100f0_seed1</t>
  </si>
  <si>
    <t>bpps_d1000n50m10w50_150s10_100f1_seed0</t>
  </si>
  <si>
    <t>bpps_d1000n50m10w50_150s10_100f1_seed1</t>
  </si>
  <si>
    <t>bpps_d1000n50m5w150_300s100_200f0_seed0</t>
  </si>
  <si>
    <t>bpps_d1000n50m5w150_300s100_200f0_seed1</t>
  </si>
  <si>
    <t>bpps_d1000n50m5w150_300s100_200f1_seed0</t>
  </si>
  <si>
    <t>bpps_d1000n50m5w150_300s100_200f1_seed1</t>
  </si>
  <si>
    <t>bpps_d1000n50m5w150_300s10_100f0_seed0</t>
  </si>
  <si>
    <t>bpps_d1000n50m5w150_300s10_100f0_seed1</t>
  </si>
  <si>
    <t>bpps_d1000n50m5w150_300s10_100f1_seed0</t>
  </si>
  <si>
    <t>bpps_d1000n50m5w150_300s10_100f1_seed1</t>
  </si>
  <si>
    <t>bpps_d1000n50m5w50_150s100_200f0_seed0</t>
  </si>
  <si>
    <t>bpps_d1000n50m5w50_150s100_200f0_seed1</t>
  </si>
  <si>
    <t>bpps_d1000n50m5w50_150s100_200f1_seed0</t>
  </si>
  <si>
    <t>bpps_d1000n50m5w50_150s100_200f1_seed1</t>
  </si>
  <si>
    <t>bpps_d1000n50m5w50_150s10_100f0_seed0</t>
  </si>
  <si>
    <t>bpps_d1000n50m5w50_150s10_100f0_seed1</t>
  </si>
  <si>
    <t>bpps_d1000n50m5w50_150s10_100f1_seed0</t>
  </si>
  <si>
    <t>bpps_d1000n50m5w50_150s10_100f1_seed1</t>
  </si>
  <si>
    <t>bpps_d1000n75m10w150_300s100_200f0_seed0</t>
  </si>
  <si>
    <t>bpps_d1000n75m10w150_300s100_200f0_seed1</t>
  </si>
  <si>
    <t>bpps_d1000n75m10w150_300s100_200f1_seed0</t>
  </si>
  <si>
    <t>bpps_d1000n75m10w150_300s100_200f1_seed1</t>
  </si>
  <si>
    <t>bpps_d1000n75m10w150_300s10_100f0_seed0</t>
  </si>
  <si>
    <t>bpps_d1000n75m10w150_300s10_100f0_seed1</t>
  </si>
  <si>
    <t>bpps_d1000n75m10w150_300s10_100f1_seed0</t>
  </si>
  <si>
    <t>bpps_d1000n75m10w150_300s10_100f1_seed1</t>
  </si>
  <si>
    <t>bpps_d1000n75m10w50_150s100_200f0_seed0</t>
  </si>
  <si>
    <t>bpps_d1000n75m10w50_150s100_200f0_seed1</t>
  </si>
  <si>
    <t>bpps_d1000n75m10w50_150s100_200f1_seed0</t>
  </si>
  <si>
    <t>bpps_d1000n75m10w50_150s100_200f1_seed1</t>
  </si>
  <si>
    <t>bpps_d1000n75m10w50_150s10_100f0_seed0</t>
  </si>
  <si>
    <t>bpps_d1000n75m10w50_150s10_100f0_seed1</t>
  </si>
  <si>
    <t>bpps_d1000n75m10w50_150s10_100f1_seed0</t>
  </si>
  <si>
    <t>bpps_d1000n75m10w50_150s10_100f1_seed1</t>
  </si>
  <si>
    <t>bpps_d1000n75m5w150_300s100_200f0_seed0</t>
  </si>
  <si>
    <t>bpps_d1000n75m5w150_300s100_200f0_seed1</t>
  </si>
  <si>
    <t>bpps_d1000n75m5w150_300s100_200f1_seed0</t>
  </si>
  <si>
    <t>bpps_d1000n75m5w150_300s100_200f1_seed1</t>
  </si>
  <si>
    <t>bpps_d1000n75m5w150_300s10_100f0_seed0</t>
  </si>
  <si>
    <t>bpps_d1000n75m5w150_300s10_100f0_seed1</t>
  </si>
  <si>
    <t>bpps_d1000n75m5w150_300s10_100f1_seed0</t>
  </si>
  <si>
    <t>bpps_d1000n75m5w150_300s10_100f1_seed1</t>
  </si>
  <si>
    <t>bpps_d1000n75m5w50_150s100_200f0_seed0</t>
  </si>
  <si>
    <t>bpps_d1000n75m5w50_150s100_200f0_seed1</t>
  </si>
  <si>
    <t>bpps_d1000n75m5w50_150s100_200f1_seed0</t>
  </si>
  <si>
    <t>bpps_d1000n75m5w50_150s100_200f1_seed1</t>
  </si>
  <si>
    <t>bpps_d1000n75m5w50_150s10_100f0_seed0</t>
  </si>
  <si>
    <t>bpps_d1000n75m5w50_150s10_100f0_seed1</t>
  </si>
  <si>
    <t>bpps_d1000n75m5w50_150s10_100f1_seed0</t>
  </si>
  <si>
    <t>bpps_d1000n75m5w50_150s10_100f1_seed1</t>
  </si>
  <si>
    <t>bpps_d200n100m10w10_30s20_40f0_seed0</t>
  </si>
  <si>
    <t>bpps_d200n100m10w10_30s20_40f0_seed1</t>
  </si>
  <si>
    <t>bpps_d200n100m10w10_30s20_40f1_seed0</t>
  </si>
  <si>
    <t>bpps_d200n100m10w10_30s20_40f1_seed1</t>
  </si>
  <si>
    <t>bpps_d200n100m10w10_30s2_20f0_seed0</t>
  </si>
  <si>
    <t>bpps_d200n100m10w10_30s2_20f0_seed1</t>
  </si>
  <si>
    <t>bpps_d200n100m10w10_30s2_20f1_seed0</t>
  </si>
  <si>
    <t>bpps_d200n100m10w10_30s2_20f1_seed1</t>
  </si>
  <si>
    <t>bpps_d200n100m10w30_60s20_40f0_seed0</t>
  </si>
  <si>
    <t>bpps_d200n100m10w30_60s20_40f0_seed1</t>
  </si>
  <si>
    <t>bpps_d200n100m10w30_60s20_40f1_seed0</t>
  </si>
  <si>
    <t>bpps_d200n100m10w30_60s20_40f1_seed1</t>
  </si>
  <si>
    <t>bpps_d200n100m10w30_60s2_20f0_seed0</t>
  </si>
  <si>
    <t>bpps_d200n100m10w30_60s2_20f0_seed1</t>
  </si>
  <si>
    <t>bpps_d200n100m10w30_60s2_20f1_seed0</t>
  </si>
  <si>
    <t>bpps_d200n100m10w30_60s2_20f1_seed1</t>
  </si>
  <si>
    <t>bpps_d200n100m5w10_30s20_40f0_seed0</t>
  </si>
  <si>
    <t>bpps_d200n100m5w10_30s20_40f0_seed1</t>
  </si>
  <si>
    <t>bpps_d200n100m5w10_30s20_40f1_seed0</t>
  </si>
  <si>
    <t>bpps_d200n100m5w10_30s20_40f1_seed1</t>
  </si>
  <si>
    <t>bpps_d200n100m5w10_30s2_20f0_seed0</t>
  </si>
  <si>
    <t>bpps_d200n100m5w10_30s2_20f0_seed1</t>
  </si>
  <si>
    <t>bpps_d200n100m5w10_30s2_20f1_seed0</t>
  </si>
  <si>
    <t>bpps_d200n100m5w10_30s2_20f1_seed1</t>
  </si>
  <si>
    <t>bpps_d200n100m5w30_60s20_40f0_seed0</t>
  </si>
  <si>
    <t>bpps_d200n100m5w30_60s20_40f0_seed1</t>
  </si>
  <si>
    <t>bpps_d200n100m5w30_60s20_40f1_seed0</t>
  </si>
  <si>
    <t>bpps_d200n100m5w30_60s20_40f1_seed1</t>
  </si>
  <si>
    <t>bpps_d200n100m5w30_60s2_20f0_seed0</t>
  </si>
  <si>
    <t>bpps_d200n100m5w30_60s2_20f0_seed1</t>
  </si>
  <si>
    <t>bpps_d200n100m5w30_60s2_20f1_seed0</t>
  </si>
  <si>
    <t>bpps_d200n100m5w30_60s2_20f1_seed1</t>
  </si>
  <si>
    <t>bpps_d200n200m10w10_30s20_40f0_seed0</t>
  </si>
  <si>
    <t>bpps_d200n200m10w10_30s20_40f0_seed1</t>
  </si>
  <si>
    <t>bpps_d200n200m10w10_30s20_40f1_seed0</t>
  </si>
  <si>
    <t>bpps_d200n200m10w10_30s20_40f1_seed1</t>
  </si>
  <si>
    <t>bpps_d200n200m10w10_30s2_20f0_seed0</t>
  </si>
  <si>
    <t>bpps_d200n200m10w10_30s2_20f0_seed1</t>
  </si>
  <si>
    <t>bpps_d200n200m10w10_30s2_20f1_seed0</t>
  </si>
  <si>
    <t>bpps_d200n200m10w10_30s2_20f1_seed1</t>
  </si>
  <si>
    <t>bpps_d200n200m10w30_60s20_40f0_seed0</t>
  </si>
  <si>
    <t>bpps_d200n200m10w30_60s20_40f0_seed1</t>
  </si>
  <si>
    <t>bpps_d200n200m10w30_60s20_40f1_seed0</t>
  </si>
  <si>
    <t>bpps_d200n200m10w30_60s20_40f1_seed1</t>
  </si>
  <si>
    <t>bpps_d200n200m10w30_60s2_20f0_seed0</t>
  </si>
  <si>
    <t>bpps_d200n200m10w30_60s2_20f0_seed1</t>
  </si>
  <si>
    <t>bpps_d200n200m10w30_60s2_20f1_seed0</t>
  </si>
  <si>
    <t>bpps_d200n200m10w30_60s2_20f1_seed1</t>
  </si>
  <si>
    <t>bpps_d200n200m5w10_30s20_40f0_seed0</t>
  </si>
  <si>
    <t>bpps_d200n200m5w10_30s20_40f0_seed1</t>
  </si>
  <si>
    <t>bpps_d200n200m5w10_30s20_40f1_seed0</t>
  </si>
  <si>
    <t>bpps_d200n200m5w10_30s20_40f1_seed1</t>
  </si>
  <si>
    <t>bpps_d200n200m5w10_30s2_20f0_seed0</t>
  </si>
  <si>
    <t>bpps_d200n200m5w10_30s2_20f0_seed1</t>
  </si>
  <si>
    <t>bpps_d200n200m5w10_30s2_20f1_seed0</t>
  </si>
  <si>
    <t>bpps_d200n200m5w10_30s2_20f1_seed1</t>
  </si>
  <si>
    <t>bpps_d200n200m5w30_60s20_40f0_seed0</t>
  </si>
  <si>
    <t>bpps_d200n200m5w30_60s20_40f0_seed1</t>
  </si>
  <si>
    <t>bpps_d200n200m5w30_60s20_40f1_seed0</t>
  </si>
  <si>
    <t>bpps_d200n200m5w30_60s20_40f1_seed1</t>
  </si>
  <si>
    <t>bpps_d200n200m5w30_60s2_20f0_seed0</t>
  </si>
  <si>
    <t>bpps_d200n200m5w30_60s2_20f0_seed1</t>
  </si>
  <si>
    <t>bpps_d200n200m5w30_60s2_20f1_seed0</t>
  </si>
  <si>
    <t>bpps_d200n200m5w30_60s2_20f1_seed1</t>
  </si>
  <si>
    <t>bpps_d200n25m10w10_30s20_40f0_seed0</t>
  </si>
  <si>
    <t>bpps_d200n25m10w10_30s20_40f0_seed1</t>
  </si>
  <si>
    <t>bpps_d200n25m10w10_30s20_40f1_seed0</t>
  </si>
  <si>
    <t>bpps_d200n25m10w10_30s20_40f1_seed1</t>
  </si>
  <si>
    <t>bpps_d200n25m10w10_30s2_20f0_seed0</t>
  </si>
  <si>
    <t>bpps_d200n25m10w10_30s2_20f0_seed1</t>
  </si>
  <si>
    <t>bpps_d200n25m10w10_30s2_20f1_seed0</t>
  </si>
  <si>
    <t>bpps_d200n25m10w10_30s2_20f1_seed1</t>
  </si>
  <si>
    <t>bpps_d200n25m10w30_60s20_40f0_seed0</t>
  </si>
  <si>
    <t>bpps_d200n25m10w30_60s20_40f0_seed1</t>
  </si>
  <si>
    <t>bpps_d200n25m10w30_60s20_40f1_seed0</t>
  </si>
  <si>
    <t>bpps_d200n25m10w30_60s20_40f1_seed1</t>
  </si>
  <si>
    <t>bpps_d200n25m10w30_60s2_20f0_seed0</t>
  </si>
  <si>
    <t>bpps_d200n25m10w30_60s2_20f0_seed1</t>
  </si>
  <si>
    <t>bpps_d200n25m10w30_60s2_20f1_seed0</t>
  </si>
  <si>
    <t>bpps_d200n25m10w30_60s2_20f1_seed1</t>
  </si>
  <si>
    <t>bpps_d200n25m5w10_30s20_40f0_seed0</t>
  </si>
  <si>
    <t>bpps_d200n25m5w10_30s20_40f0_seed1</t>
  </si>
  <si>
    <t>bpps_d200n25m5w10_30s20_40f1_seed0</t>
  </si>
  <si>
    <t>bpps_d200n25m5w10_30s20_40f1_seed1</t>
  </si>
  <si>
    <t>bpps_d200n25m5w10_30s2_20f0_seed0</t>
  </si>
  <si>
    <t>bpps_d200n25m5w10_30s2_20f0_seed1</t>
  </si>
  <si>
    <t>bpps_d200n25m5w10_30s2_20f1_seed0</t>
  </si>
  <si>
    <t>bpps_d200n25m5w10_30s2_20f1_seed1</t>
  </si>
  <si>
    <t>bpps_d200n25m5w30_60s20_40f0_seed0</t>
  </si>
  <si>
    <t>bpps_d200n25m5w30_60s20_40f0_seed1</t>
  </si>
  <si>
    <t>bpps_d200n25m5w30_60s20_40f1_seed0</t>
  </si>
  <si>
    <t>bpps_d200n25m5w30_60s20_40f1_seed1</t>
  </si>
  <si>
    <t>bpps_d200n25m5w30_60s2_20f0_seed0</t>
  </si>
  <si>
    <t>bpps_d200n25m5w30_60s2_20f0_seed1</t>
  </si>
  <si>
    <t>bpps_d200n25m5w30_60s2_20f1_seed0</t>
  </si>
  <si>
    <t>bpps_d200n25m5w30_60s2_20f1_seed1</t>
  </si>
  <si>
    <t>bpps_d200n50m10w10_30s20_40f0_seed0</t>
  </si>
  <si>
    <t>bpps_d200n50m10w10_30s20_40f0_seed1</t>
  </si>
  <si>
    <t>bpps_d200n50m10w10_30s20_40f1_seed0</t>
  </si>
  <si>
    <t>bpps_d200n50m10w10_30s20_40f1_seed1</t>
  </si>
  <si>
    <t>bpps_d200n50m10w10_30s2_20f0_seed0</t>
  </si>
  <si>
    <t>bpps_d200n50m10w10_30s2_20f0_seed1</t>
  </si>
  <si>
    <t>bpps_d200n50m10w10_30s2_20f1_seed0</t>
  </si>
  <si>
    <t>bpps_d200n50m10w10_30s2_20f1_seed1</t>
  </si>
  <si>
    <t>bpps_d200n50m10w30_60s20_40f0_seed0</t>
  </si>
  <si>
    <t>bpps_d200n50m10w30_60s20_40f0_seed1</t>
  </si>
  <si>
    <t>bpps_d200n50m10w30_60s20_40f1_seed0</t>
  </si>
  <si>
    <t>bpps_d200n50m10w30_60s20_40f1_seed1</t>
  </si>
  <si>
    <t>bpps_d200n50m10w30_60s2_20f0_seed0</t>
  </si>
  <si>
    <t>bpps_d200n50m10w30_60s2_20f0_seed1</t>
  </si>
  <si>
    <t>bpps_d200n50m10w30_60s2_20f1_seed0</t>
  </si>
  <si>
    <t>bpps_d200n50m10w30_60s2_20f1_seed1</t>
  </si>
  <si>
    <t>bpps_d200n50m5w10_30s20_40f0_seed0</t>
  </si>
  <si>
    <t>bpps_d200n50m5w10_30s20_40f0_seed1</t>
  </si>
  <si>
    <t>bpps_d200n50m5w10_30s20_40f1_seed0</t>
  </si>
  <si>
    <t>bpps_d200n50m5w10_30s20_40f1_seed1</t>
  </si>
  <si>
    <t>bpps_d200n50m5w10_30s2_20f0_seed0</t>
  </si>
  <si>
    <t>bpps_d200n50m5w10_30s2_20f0_seed1</t>
  </si>
  <si>
    <t>bpps_d200n50m5w10_30s2_20f1_seed0</t>
  </si>
  <si>
    <t>bpps_d200n50m5w10_30s2_20f1_seed1</t>
  </si>
  <si>
    <t>bpps_d200n50m5w30_60s20_40f0_seed0</t>
  </si>
  <si>
    <t>bpps_d200n50m5w30_60s20_40f0_seed1</t>
  </si>
  <si>
    <t>bpps_d200n50m5w30_60s20_40f1_seed0</t>
  </si>
  <si>
    <t>bpps_d200n50m5w30_60s20_40f1_seed1</t>
  </si>
  <si>
    <t>bpps_d200n50m5w30_60s2_20f0_seed0</t>
  </si>
  <si>
    <t>bpps_d200n50m5w30_60s2_20f0_seed1</t>
  </si>
  <si>
    <t>bpps_d200n50m5w30_60s2_20f1_seed0</t>
  </si>
  <si>
    <t>bpps_d200n50m5w30_60s2_20f1_seed1</t>
  </si>
  <si>
    <t>bpps_d200n75m10w10_30s20_40f0_seed0</t>
  </si>
  <si>
    <t>bpps_d200n75m10w10_30s20_40f0_seed1</t>
  </si>
  <si>
    <t>bpps_d200n75m10w10_30s20_40f1_seed0</t>
  </si>
  <si>
    <t>bpps_d200n75m10w10_30s20_40f1_seed1</t>
  </si>
  <si>
    <t>bpps_d200n75m10w10_30s2_20f0_seed0</t>
  </si>
  <si>
    <t>bpps_d200n75m10w10_30s2_20f0_seed1</t>
  </si>
  <si>
    <t>bpps_d200n75m10w10_30s2_20f1_seed0</t>
  </si>
  <si>
    <t>bpps_d200n75m10w10_30s2_20f1_seed1</t>
  </si>
  <si>
    <t>bpps_d200n75m10w30_60s20_40f0_seed0</t>
  </si>
  <si>
    <t>bpps_d200n75m10w30_60s20_40f0_seed1</t>
  </si>
  <si>
    <t>bpps_d200n75m10w30_60s20_40f1_seed0</t>
  </si>
  <si>
    <t>bpps_d200n75m10w30_60s20_40f1_seed1</t>
  </si>
  <si>
    <t>bpps_d200n75m10w30_60s2_20f0_seed0</t>
  </si>
  <si>
    <t>bpps_d200n75m10w30_60s2_20f0_seed1</t>
  </si>
  <si>
    <t>bpps_d200n75m10w30_60s2_20f1_seed0</t>
  </si>
  <si>
    <t>bpps_d200n75m10w30_60s2_20f1_seed1</t>
  </si>
  <si>
    <t>bpps_d200n75m5w10_30s20_40f0_seed0</t>
  </si>
  <si>
    <t>bpps_d200n75m5w10_30s20_40f0_seed1</t>
  </si>
  <si>
    <t>bpps_d200n75m5w10_30s20_40f1_seed0</t>
  </si>
  <si>
    <t>bpps_d200n75m5w10_30s20_40f1_seed1</t>
  </si>
  <si>
    <t>bpps_d200n75m5w10_30s2_20f0_seed0</t>
  </si>
  <si>
    <t>bpps_d200n75m5w10_30s2_20f0_seed1</t>
  </si>
  <si>
    <t>bpps_d200n75m5w10_30s2_20f1_seed0</t>
  </si>
  <si>
    <t>bpps_d200n75m5w10_30s2_20f1_seed1</t>
  </si>
  <si>
    <t>bpps_d200n75m5w30_60s20_40f0_seed0</t>
  </si>
  <si>
    <t>bpps_d200n75m5w30_60s20_40f0_seed1</t>
  </si>
  <si>
    <t>bpps_d200n75m5w30_60s20_40f1_seed0</t>
  </si>
  <si>
    <t>bpps_d200n75m5w30_60s20_40f1_seed1</t>
  </si>
  <si>
    <t>bpps_d200n75m5w30_60s2_20f0_seed0</t>
  </si>
  <si>
    <t>bpps_d200n75m5w30_60s2_20f0_seed1</t>
  </si>
  <si>
    <t>bpps_d200n75m5w30_60s2_20f1_seed0</t>
  </si>
  <si>
    <t>bpps_d200n75m5w30_60s2_20f1_seed1</t>
  </si>
  <si>
    <t>Check</t>
  </si>
  <si>
    <t>Value</t>
  </si>
  <si>
    <t>Total unique normalized instances</t>
  </si>
  <si>
    <t>Complete matched instances across all methods</t>
  </si>
  <si>
    <t>IG duplicates</t>
  </si>
  <si>
    <t>FFD duplicates</t>
  </si>
  <si>
    <t>BFD duplicates</t>
  </si>
  <si>
    <t>WFD duplicates</t>
  </si>
  <si>
    <t>CTP duplicates</t>
  </si>
  <si>
    <t>Topic</t>
  </si>
  <si>
    <t>Description</t>
  </si>
  <si>
    <t>Cost columns used</t>
  </si>
  <si>
    <t>MSIG: IG Best Result; S-FFD/S-BFD/S-WFD: Final Cost; Best C-TP: objective from BPPSC_Summary_benchmark.xlsx.</t>
  </si>
  <si>
    <t>Instance matching</t>
  </si>
  <si>
    <t>Normalized instance names by removing .txt, changing bppsc_ to bpps_, and removing the conflict suffix cXX before _seed for matching only.</t>
  </si>
  <si>
    <t>Best cost per instance</t>
  </si>
  <si>
    <t>Best Cost = MIN(S-FFD Cost, S-BFD Cost, S-WFD Cost, Best C-TP Cost, MSIG Cost).</t>
  </si>
  <si>
    <t>Gap formula</t>
  </si>
  <si>
    <t>Gap (%) = (Method Cost - Best Cost) / Best Cost * 100.</t>
  </si>
  <si>
    <t>Best count rule</t>
  </si>
  <si>
    <t>If several methods have the same best cost for an instance, every tied method is counted as best.</t>
  </si>
  <si>
    <t>Strict best rule</t>
  </si>
  <si>
    <t>Strict best is counted only when exactly one method reaches the best cost for an instance.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</si>
</sst>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i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F4E78"/>
      </patternFill>
    </fill>
    <fill>
      <patternFill patternType="solid">
        <fgColor rgb="FF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2" fontId="0" fillId="0" borderId="0" xfId="0" applyNumberFormat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  <xf numFmtId="1" fontId="0" fillId="0" borderId="0" xfId="0" applyNumberFormat="1"/>
    <xf numFmtId="2" fontId="0" fillId="0" borderId="0" xfId="0" applyNumberFormat="1"/>
    <xf numFmtId="0" fontId="3" fillId="4" borderId="0" xfId="0" applyFont="1" applyFill="1" applyAlignment="1">
      <alignment wrapText="1"/>
    </xf>
    <xf numFmtId="1" fontId="1" fillId="2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ont>
        <b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Average gap to best by method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File</c:v>
          </c:tx>
          <c:invertIfNegative val="1"/>
          <c:cat>
            <c:strRef>
              <c:f>Summary!$A$4:$A$8</c:f>
              <c:strCache>
                <c:ptCount val="5"/>
                <c:pt idx="0">
                  <c:v>S-FFD</c:v>
                </c:pt>
                <c:pt idx="1">
                  <c:v>S-BFD</c:v>
                </c:pt>
                <c:pt idx="2">
                  <c:v>S-WFD</c:v>
                </c:pt>
                <c:pt idx="3">
                  <c:v>Best C-TP</c:v>
                </c:pt>
                <c:pt idx="4">
                  <c:v>MSIG</c:v>
                </c:pt>
              </c:strCache>
            </c:strRef>
          </c:cat>
          <c:val>
            <c:numRef>
              <c:f>Summary!$B$4:$B$8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D-4633-9231-8A86877849CA}"/>
            </c:ext>
          </c:extLst>
        </c:ser>
        <c:ser>
          <c:idx val="1"/>
          <c:order val="1"/>
          <c:tx>
            <c:v>Sheet</c:v>
          </c:tx>
          <c:invertIfNegative val="1"/>
          <c:cat>
            <c:strRef>
              <c:f>Summary!$A$4:$A$8</c:f>
              <c:strCache>
                <c:ptCount val="5"/>
                <c:pt idx="0">
                  <c:v>S-FFD</c:v>
                </c:pt>
                <c:pt idx="1">
                  <c:v>S-BFD</c:v>
                </c:pt>
                <c:pt idx="2">
                  <c:v>S-WFD</c:v>
                </c:pt>
                <c:pt idx="3">
                  <c:v>Best C-TP</c:v>
                </c:pt>
                <c:pt idx="4">
                  <c:v>MSIG</c:v>
                </c:pt>
              </c:strCache>
            </c:strRef>
          </c:cat>
          <c:val>
            <c:numRef>
              <c:f>Summary!$C$4:$C$8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D-4633-9231-8A86877849CA}"/>
            </c:ext>
          </c:extLst>
        </c:ser>
        <c:ser>
          <c:idx val="2"/>
          <c:order val="2"/>
          <c:tx>
            <c:v>Column Used</c:v>
          </c:tx>
          <c:invertIfNegative val="1"/>
          <c:cat>
            <c:strRef>
              <c:f>Summary!$A$4:$A$8</c:f>
              <c:strCache>
                <c:ptCount val="5"/>
                <c:pt idx="0">
                  <c:v>S-FFD</c:v>
                </c:pt>
                <c:pt idx="1">
                  <c:v>S-BFD</c:v>
                </c:pt>
                <c:pt idx="2">
                  <c:v>S-WFD</c:v>
                </c:pt>
                <c:pt idx="3">
                  <c:v>Best C-TP</c:v>
                </c:pt>
                <c:pt idx="4">
                  <c:v>MSIG</c:v>
                </c:pt>
              </c:strCache>
            </c:strRef>
          </c:cat>
          <c:val>
            <c:numRef>
              <c:f>Summary!$D$4:$D$8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D-4633-9231-8A86877849CA}"/>
            </c:ext>
          </c:extLst>
        </c:ser>
        <c:ser>
          <c:idx val="3"/>
          <c:order val="3"/>
          <c:tx>
            <c:v>Compared Instances</c:v>
          </c:tx>
          <c:invertIfNegative val="1"/>
          <c:cat>
            <c:strRef>
              <c:f>Summary!$A$4:$A$8</c:f>
              <c:strCache>
                <c:ptCount val="5"/>
                <c:pt idx="0">
                  <c:v>S-FFD</c:v>
                </c:pt>
                <c:pt idx="1">
                  <c:v>S-BFD</c:v>
                </c:pt>
                <c:pt idx="2">
                  <c:v>S-WFD</c:v>
                </c:pt>
                <c:pt idx="3">
                  <c:v>Best C-TP</c:v>
                </c:pt>
                <c:pt idx="4">
                  <c:v>MSIG</c:v>
                </c:pt>
              </c:strCache>
            </c:strRef>
          </c:cat>
          <c:val>
            <c:numRef>
              <c:f>Summary!$E$4:$E$8</c:f>
              <c:numCache>
                <c:formatCode>General</c:formatCode>
                <c:ptCount val="5"/>
                <c:pt idx="0">
                  <c:v>480</c:v>
                </c:pt>
                <c:pt idx="1">
                  <c:v>480</c:v>
                </c:pt>
                <c:pt idx="2">
                  <c:v>480</c:v>
                </c:pt>
                <c:pt idx="3">
                  <c:v>480</c:v>
                </c:pt>
                <c:pt idx="4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B3D-4633-9231-8A86877849CA}"/>
            </c:ext>
          </c:extLst>
        </c:ser>
        <c:ser>
          <c:idx val="4"/>
          <c:order val="4"/>
          <c:tx>
            <c:v>Best Count (incl. ties)</c:v>
          </c:tx>
          <c:invertIfNegative val="1"/>
          <c:cat>
            <c:strRef>
              <c:f>Summary!$A$4:$A$8</c:f>
              <c:strCache>
                <c:ptCount val="5"/>
                <c:pt idx="0">
                  <c:v>S-FFD</c:v>
                </c:pt>
                <c:pt idx="1">
                  <c:v>S-BFD</c:v>
                </c:pt>
                <c:pt idx="2">
                  <c:v>S-WFD</c:v>
                </c:pt>
                <c:pt idx="3">
                  <c:v>Best C-TP</c:v>
                </c:pt>
                <c:pt idx="4">
                  <c:v>MSIG</c:v>
                </c:pt>
              </c:strCache>
            </c:strRef>
          </c:cat>
          <c:val>
            <c:numRef>
              <c:f>Summary!$F$4:$F$8</c:f>
              <c:numCache>
                <c:formatCode>General</c:formatCode>
                <c:ptCount val="5"/>
                <c:pt idx="0">
                  <c:v>49</c:v>
                </c:pt>
                <c:pt idx="1">
                  <c:v>46</c:v>
                </c:pt>
                <c:pt idx="2">
                  <c:v>46</c:v>
                </c:pt>
                <c:pt idx="3">
                  <c:v>69</c:v>
                </c:pt>
                <c:pt idx="4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B3D-4633-9231-8A86877849CA}"/>
            </c:ext>
          </c:extLst>
        </c:ser>
        <c:ser>
          <c:idx val="5"/>
          <c:order val="5"/>
          <c:tx>
            <c:v>Strict Best Count</c:v>
          </c:tx>
          <c:invertIfNegative val="1"/>
          <c:cat>
            <c:strRef>
              <c:f>Summary!$A$4:$A$8</c:f>
              <c:strCache>
                <c:ptCount val="5"/>
                <c:pt idx="0">
                  <c:v>S-FFD</c:v>
                </c:pt>
                <c:pt idx="1">
                  <c:v>S-BFD</c:v>
                </c:pt>
                <c:pt idx="2">
                  <c:v>S-WFD</c:v>
                </c:pt>
                <c:pt idx="3">
                  <c:v>Best C-TP</c:v>
                </c:pt>
                <c:pt idx="4">
                  <c:v>MSIG</c:v>
                </c:pt>
              </c:strCache>
            </c:strRef>
          </c:cat>
          <c:val>
            <c:numRef>
              <c:f>Summary!$G$4:$G$8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B3D-4633-9231-8A86877849CA}"/>
            </c:ext>
          </c:extLst>
        </c:ser>
        <c:ser>
          <c:idx val="6"/>
          <c:order val="6"/>
          <c:tx>
            <c:v>Best Share (incl. ties) %</c:v>
          </c:tx>
          <c:invertIfNegative val="1"/>
          <c:cat>
            <c:strRef>
              <c:f>Summary!$A$4:$A$8</c:f>
              <c:strCache>
                <c:ptCount val="5"/>
                <c:pt idx="0">
                  <c:v>S-FFD</c:v>
                </c:pt>
                <c:pt idx="1">
                  <c:v>S-BFD</c:v>
                </c:pt>
                <c:pt idx="2">
                  <c:v>S-WFD</c:v>
                </c:pt>
                <c:pt idx="3">
                  <c:v>Best C-TP</c:v>
                </c:pt>
                <c:pt idx="4">
                  <c:v>MSIG</c:v>
                </c:pt>
              </c:strCache>
            </c:strRef>
          </c:cat>
          <c:val>
            <c:numRef>
              <c:f>Summary!$H$4:$H$8</c:f>
              <c:numCache>
                <c:formatCode>General</c:formatCode>
                <c:ptCount val="5"/>
                <c:pt idx="0">
                  <c:v>10.208333333333334</c:v>
                </c:pt>
                <c:pt idx="1">
                  <c:v>9.5833333333333339</c:v>
                </c:pt>
                <c:pt idx="2">
                  <c:v>9.5833333333333339</c:v>
                </c:pt>
                <c:pt idx="3">
                  <c:v>14.374999999999998</c:v>
                </c:pt>
                <c:pt idx="4">
                  <c:v>95.625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B3D-4633-9231-8A86877849CA}"/>
            </c:ext>
          </c:extLst>
        </c:ser>
        <c:ser>
          <c:idx val="7"/>
          <c:order val="7"/>
          <c:tx>
            <c:v>Average Gap to Best %</c:v>
          </c:tx>
          <c:invertIfNegative val="1"/>
          <c:cat>
            <c:strRef>
              <c:f>Summary!$A$4:$A$8</c:f>
              <c:strCache>
                <c:ptCount val="5"/>
                <c:pt idx="0">
                  <c:v>S-FFD</c:v>
                </c:pt>
                <c:pt idx="1">
                  <c:v>S-BFD</c:v>
                </c:pt>
                <c:pt idx="2">
                  <c:v>S-WFD</c:v>
                </c:pt>
                <c:pt idx="3">
                  <c:v>Best C-TP</c:v>
                </c:pt>
                <c:pt idx="4">
                  <c:v>MSIG</c:v>
                </c:pt>
              </c:strCache>
            </c:strRef>
          </c:cat>
          <c:val>
            <c:numRef>
              <c:f>Summary!$I$4:$I$8</c:f>
              <c:numCache>
                <c:formatCode>General</c:formatCode>
                <c:ptCount val="5"/>
                <c:pt idx="0">
                  <c:v>29.358544940983904</c:v>
                </c:pt>
                <c:pt idx="1">
                  <c:v>30.328713305596622</c:v>
                </c:pt>
                <c:pt idx="2">
                  <c:v>29.68887347703841</c:v>
                </c:pt>
                <c:pt idx="3">
                  <c:v>13.279736694982839</c:v>
                </c:pt>
                <c:pt idx="4">
                  <c:v>0.18781701248745269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B3D-4633-9231-8A86877849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ummaryTable" displayName="SummaryTable" ref="A3:L8">
  <tableColumns count="12">
    <tableColumn id="1" xr3:uid="{00000000-0010-0000-0000-000001000000}" name="Method"/>
    <tableColumn id="2" xr3:uid="{00000000-0010-0000-0000-000002000000}" name="File"/>
    <tableColumn id="3" xr3:uid="{00000000-0010-0000-0000-000003000000}" name="Sheet"/>
    <tableColumn id="4" xr3:uid="{00000000-0010-0000-0000-000004000000}" name="Column Used"/>
    <tableColumn id="5" xr3:uid="{00000000-0010-0000-0000-000005000000}" name="Compared Instances"/>
    <tableColumn id="6" xr3:uid="{00000000-0010-0000-0000-000006000000}" name="Best Count (incl. ties)"/>
    <tableColumn id="7" xr3:uid="{00000000-0010-0000-0000-000007000000}" name="Strict Best Count"/>
    <tableColumn id="8" xr3:uid="{00000000-0010-0000-0000-000008000000}" name="Best Share (incl. ties) %"/>
    <tableColumn id="9" xr3:uid="{00000000-0010-0000-0000-000009000000}" name="Average Gap to Best %"/>
    <tableColumn id="10" xr3:uid="{00000000-0010-0000-0000-00000A000000}" name="Average Cost"/>
    <tableColumn id="11" xr3:uid="{00000000-0010-0000-0000-00000B000000}" name="Max Gap %"/>
    <tableColumn id="12" xr3:uid="{00000000-0010-0000-0000-00000C000000}" name="Input Unique Instanc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yNItemsTable" displayName="ByNItemsTable" ref="A3:L8">
  <tableColumns count="12">
    <tableColumn id="1" xr3:uid="{00000000-0010-0000-0100-000001000000}" name="n_items"/>
    <tableColumn id="2" xr3:uid="{00000000-0010-0000-0100-000002000000}" name="Instances"/>
    <tableColumn id="3" xr3:uid="{00000000-0010-0000-0100-000003000000}" name="S-FFD Avg Gap %"/>
    <tableColumn id="4" xr3:uid="{00000000-0010-0000-0100-000004000000}" name="S-FFD #Best"/>
    <tableColumn id="5" xr3:uid="{00000000-0010-0000-0100-000005000000}" name="S-BFD Avg Gap %"/>
    <tableColumn id="6" xr3:uid="{00000000-0010-0000-0100-000006000000}" name="S-BFD #Best"/>
    <tableColumn id="7" xr3:uid="{00000000-0010-0000-0100-000007000000}" name="S-WFD Avg Gap %"/>
    <tableColumn id="8" xr3:uid="{00000000-0010-0000-0100-000008000000}" name="S-WFD #Best"/>
    <tableColumn id="9" xr3:uid="{00000000-0010-0000-0100-000009000000}" name="Best C-TP Avg Gap %"/>
    <tableColumn id="10" xr3:uid="{00000000-0010-0000-0100-00000A000000}" name="Best C-TP #Best"/>
    <tableColumn id="11" xr3:uid="{00000000-0010-0000-0100-00000B000000}" name="MSIG Avg Gap %"/>
    <tableColumn id="12" xr3:uid="{00000000-0010-0000-0100-00000C000000}" name="MSIG #Bes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arisonTable" displayName="ComparisonTable" ref="A1:Y482" totalsRowCount="1">
  <tableColumns count="25">
    <tableColumn id="1" xr3:uid="{00000000-0010-0000-0200-000001000000}" name="Instance Key"/>
    <tableColumn id="2" xr3:uid="{00000000-0010-0000-0200-000002000000}" name="n_items"/>
    <tableColumn id="3" xr3:uid="{00000000-0010-0000-0200-000003000000}" name="n_classes"/>
    <tableColumn id="4" xr3:uid="{00000000-0010-0000-0200-000004000000}" name="Capacity"/>
    <tableColumn id="5" xr3:uid="{00000000-0010-0000-0200-000005000000}" name="Bin Cost"/>
    <tableColumn id="6" xr3:uid="{00000000-0010-0000-0200-000006000000}" name="CTP chosen_method"/>
    <tableColumn id="7" xr3:uid="{00000000-0010-0000-0200-000007000000}" name="CTP feasible"/>
    <tableColumn id="8" xr3:uid="{00000000-0010-0000-0200-000008000000}" name="S-FFD Cost"/>
    <tableColumn id="9" xr3:uid="{00000000-0010-0000-0200-000009000000}" name="S-BFD Cost"/>
    <tableColumn id="10" xr3:uid="{00000000-0010-0000-0200-00000A000000}" name="S-WFD Cost"/>
    <tableColumn id="11" xr3:uid="{00000000-0010-0000-0200-00000B000000}" name="Best C-TP Cost"/>
    <tableColumn id="12" xr3:uid="{00000000-0010-0000-0200-00000C000000}" name="MSIG Cost"/>
    <tableColumn id="13" xr3:uid="{00000000-0010-0000-0200-00000D000000}" name="Best Cost"/>
    <tableColumn id="14" xr3:uid="{00000000-0010-0000-0200-00000E000000}" name="Best Method(s)"/>
    <tableColumn id="15" xr3:uid="{00000000-0010-0000-0200-00000F000000}" name="Strict Best Method"/>
    <tableColumn id="16" xr3:uid="{00000000-0010-0000-0200-000010000000}" name="S-FFD Gap %"/>
    <tableColumn id="17" xr3:uid="{00000000-0010-0000-0200-000011000000}" name="S-BFD Gap %"/>
    <tableColumn id="18" xr3:uid="{00000000-0010-0000-0200-000012000000}" name="S-WFD Gap %"/>
    <tableColumn id="19" xr3:uid="{00000000-0010-0000-0200-000013000000}" name="Best C-TP Gap %" totalsRowFunction="custom">
      <totalsRowFormula array="1">AVERAGE(VALUE(S2:S481))</totalsRowFormula>
    </tableColumn>
    <tableColumn id="20" xr3:uid="{00000000-0010-0000-0200-000014000000}" name="MSIG Gap %" totalsRowFunction="custom">
      <totalsRowFormula array="1">AVERAGE(VALUE(T2:T481))</totalsRowFormula>
    </tableColumn>
    <tableColumn id="21" xr3:uid="{00000000-0010-0000-0200-000015000000}" name="S-FFD Best?"/>
    <tableColumn id="22" xr3:uid="{00000000-0010-0000-0200-000016000000}" name="S-BFD Best?"/>
    <tableColumn id="23" xr3:uid="{00000000-0010-0000-0200-000017000000}" name="S-WFD Best?"/>
    <tableColumn id="24" xr3:uid="{00000000-0010-0000-0200-000018000000}" name="Best C-TP Best?"/>
    <tableColumn id="25" xr3:uid="{00000000-0010-0000-0200-000019000000}" name="MSIG Best?" totalsRowFunction="custom">
      <totalsRowFormula>COUNTIF(Y2:Y481,"YES")</totalsRow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UnmatchedCheckTable" displayName="UnmatchedCheckTable" ref="A1:B9">
  <tableColumns count="2">
    <tableColumn id="1" xr3:uid="{00000000-0010-0000-0300-000001000000}" name="Check"/>
    <tableColumn id="2" xr3:uid="{00000000-0010-0000-0300-000002000000}" name="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alculationNotesTable" displayName="CalculationNotesTable" ref="A1:B7">
  <tableColumns count="2">
    <tableColumn id="1" xr3:uid="{00000000-0010-0000-0400-000001000000}" name="Topic"/>
    <tableColumn id="2" xr3:uid="{00000000-0010-0000-0400-000002000000}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"/>
  <sheetViews>
    <sheetView topLeftCell="B1" workbookViewId="0">
      <selection sqref="A1:L1"/>
    </sheetView>
  </sheetViews>
  <sheetFormatPr defaultRowHeight="14.25"/>
  <cols>
    <col min="1" max="1" width="16" customWidth="1"/>
    <col min="2" max="2" width="34" customWidth="1"/>
    <col min="3" max="3" width="7.5" customWidth="1"/>
    <col min="4" max="4" width="18" customWidth="1"/>
    <col min="5" max="5" width="16.5" customWidth="1"/>
    <col min="6" max="6" width="17.25" customWidth="1"/>
    <col min="7" max="7" width="13.625" customWidth="1"/>
    <col min="8" max="8" width="18.875" customWidth="1"/>
    <col min="9" max="9" width="18.25" customWidth="1"/>
    <col min="10" max="10" width="10.5" customWidth="1"/>
    <col min="11" max="11" width="9.125" customWidth="1"/>
    <col min="12" max="12" width="18.875" customWidth="1"/>
  </cols>
  <sheetData>
    <row r="1" spans="1:12" ht="18">
      <c r="A1" s="4" t="s">
        <v>0</v>
      </c>
      <c r="B1" s="5"/>
      <c r="C1" s="5"/>
      <c r="D1" s="5"/>
      <c r="E1" s="6"/>
      <c r="F1" s="6"/>
      <c r="G1" s="6"/>
      <c r="H1" s="7"/>
      <c r="I1" s="7"/>
      <c r="J1" s="7"/>
      <c r="K1" s="7"/>
      <c r="L1" s="6"/>
    </row>
    <row r="3" spans="1:12" ht="30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>
      <c r="A4" t="s">
        <v>13</v>
      </c>
      <c r="B4" t="s">
        <v>14</v>
      </c>
      <c r="C4" t="s">
        <v>15</v>
      </c>
      <c r="D4" t="s">
        <v>16</v>
      </c>
      <c r="E4">
        <f>COUNTA(Comparison!$A$2:$A$481)</f>
        <v>480</v>
      </c>
      <c r="F4">
        <f>COUNTIF(Comparison!$U$2:$U$481,"YES")</f>
        <v>49</v>
      </c>
      <c r="G4">
        <f>COUNTIF(Comparison!$O$2:$O$481,A4)</f>
        <v>0</v>
      </c>
      <c r="H4">
        <f>F4/E4*100</f>
        <v>10.208333333333334</v>
      </c>
      <c r="I4">
        <f>AVERAGE(Comparison!$P$2:$P$481)</f>
        <v>29.358544940983904</v>
      </c>
      <c r="J4">
        <f>AVERAGE(Comparison!$H$2:$H$481)</f>
        <v>208.48124999999999</v>
      </c>
      <c r="K4">
        <f>MAX(Comparison!$P$2:$P$481)</f>
        <v>113.71428571428572</v>
      </c>
      <c r="L4">
        <v>480</v>
      </c>
    </row>
    <row r="5" spans="1:12">
      <c r="A5" t="s">
        <v>17</v>
      </c>
      <c r="B5" t="s">
        <v>18</v>
      </c>
      <c r="C5" t="s">
        <v>15</v>
      </c>
      <c r="D5" t="s">
        <v>16</v>
      </c>
      <c r="E5">
        <f>COUNTA(Comparison!$A$2:$A$481)</f>
        <v>480</v>
      </c>
      <c r="F5">
        <f>COUNTIF(Comparison!$V$2:$V$481,"YES")</f>
        <v>46</v>
      </c>
      <c r="G5">
        <f>COUNTIF(Comparison!$O$2:$O$481,A5)</f>
        <v>0</v>
      </c>
      <c r="H5">
        <f>F5/E5*100</f>
        <v>9.5833333333333339</v>
      </c>
      <c r="I5">
        <f>AVERAGE(Comparison!$Q$2:$Q$481)</f>
        <v>30.328713305596622</v>
      </c>
      <c r="J5">
        <f>AVERAGE(Comparison!$I$2:$I$481)</f>
        <v>210.33750000000001</v>
      </c>
      <c r="K5">
        <f>MAX(Comparison!$Q$2:$Q$481)</f>
        <v>115.99999999999999</v>
      </c>
      <c r="L5">
        <v>480</v>
      </c>
    </row>
    <row r="6" spans="1:12">
      <c r="A6" t="s">
        <v>19</v>
      </c>
      <c r="B6" t="s">
        <v>20</v>
      </c>
      <c r="C6" t="s">
        <v>15</v>
      </c>
      <c r="D6" t="s">
        <v>16</v>
      </c>
      <c r="E6">
        <f>COUNTA(Comparison!$A$2:$A$481)</f>
        <v>480</v>
      </c>
      <c r="F6">
        <f>COUNTIF(Comparison!$W$2:$W$481,"YES")</f>
        <v>46</v>
      </c>
      <c r="G6">
        <f>COUNTIF(Comparison!$O$2:$O$481,A6)</f>
        <v>0</v>
      </c>
      <c r="H6">
        <f>F6/E6*100</f>
        <v>9.5833333333333339</v>
      </c>
      <c r="I6">
        <f>AVERAGE(Comparison!$R$2:$R$481)</f>
        <v>29.68887347703841</v>
      </c>
      <c r="J6">
        <f>AVERAGE(Comparison!$J$2:$J$481)</f>
        <v>209.46458333333334</v>
      </c>
      <c r="K6">
        <f>MAX(Comparison!$R$2:$R$481)</f>
        <v>101.71428571428571</v>
      </c>
      <c r="L6">
        <v>480</v>
      </c>
    </row>
    <row r="7" spans="1:12">
      <c r="A7" t="s">
        <v>21</v>
      </c>
      <c r="B7" t="s">
        <v>22</v>
      </c>
      <c r="C7" t="s">
        <v>15</v>
      </c>
      <c r="D7" t="s">
        <v>23</v>
      </c>
      <c r="E7">
        <f>COUNTA(Comparison!$A$2:$A$481)</f>
        <v>480</v>
      </c>
      <c r="F7">
        <f>COUNTIF(Comparison!$X$2:$X$481,"YES")</f>
        <v>69</v>
      </c>
      <c r="G7">
        <f>COUNTIF(Comparison!$O$2:$O$481,A7)</f>
        <v>0</v>
      </c>
      <c r="H7">
        <f>F7/E7*100</f>
        <v>14.374999999999998</v>
      </c>
      <c r="I7">
        <f>AVERAGE(Comparison!$S$2:$S$481)</f>
        <v>13.279736694982839</v>
      </c>
      <c r="J7">
        <f>AVERAGE(Comparison!$K$2:$K$481)</f>
        <v>158.43541666666667</v>
      </c>
      <c r="K7">
        <f>MAX(Comparison!$S$2:$S$481)</f>
        <v>75</v>
      </c>
      <c r="L7">
        <v>480</v>
      </c>
    </row>
    <row r="8" spans="1:12">
      <c r="A8" t="s">
        <v>24</v>
      </c>
      <c r="B8" t="s">
        <v>25</v>
      </c>
      <c r="C8" t="s">
        <v>26</v>
      </c>
      <c r="D8" t="s">
        <v>27</v>
      </c>
      <c r="E8">
        <f>COUNTA(Comparison!$A$2:$A$481)</f>
        <v>480</v>
      </c>
      <c r="F8">
        <f>COUNTIF(Comparison!$Y$2:$Y$481,"YES")</f>
        <v>459</v>
      </c>
      <c r="G8">
        <f>COUNTIF(Comparison!$O$2:$O$481,A8)</f>
        <v>0</v>
      </c>
      <c r="H8">
        <f>F8/E8*100</f>
        <v>95.625</v>
      </c>
      <c r="I8">
        <f>AVERAGE(Comparison!$T$2:$T$481)</f>
        <v>0.18781701248745269</v>
      </c>
      <c r="J8">
        <f>AVERAGE(Comparison!$L$2:$L$481)</f>
        <v>141.08125000000001</v>
      </c>
      <c r="K8">
        <f>MAX(Comparison!$T$2:$T$481)</f>
        <v>14.285714285714285</v>
      </c>
      <c r="L8">
        <v>480</v>
      </c>
    </row>
    <row r="10" spans="1:12">
      <c r="A10" t="s">
        <v>28</v>
      </c>
      <c r="B10">
        <v>480</v>
      </c>
    </row>
    <row r="11" spans="1:12">
      <c r="A11" t="s">
        <v>29</v>
      </c>
      <c r="B11">
        <v>0</v>
      </c>
    </row>
    <row r="13" spans="1:12">
      <c r="A13" s="8" t="s">
        <v>30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</row>
  </sheetData>
  <mergeCells count="2">
    <mergeCell ref="A1:L1"/>
    <mergeCell ref="A13:L13"/>
  </mergeCell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8"/>
  <sheetViews>
    <sheetView workbookViewId="0"/>
  </sheetViews>
  <sheetFormatPr defaultRowHeight="14.25"/>
  <cols>
    <col min="1" max="1" width="33.375" customWidth="1"/>
    <col min="2" max="2" width="7.5" customWidth="1"/>
    <col min="3" max="3" width="13.625" customWidth="1"/>
    <col min="4" max="4" width="9.5" customWidth="1"/>
    <col min="5" max="5" width="13.75" customWidth="1"/>
    <col min="6" max="6" width="9.75" customWidth="1"/>
    <col min="7" max="7" width="14.375" customWidth="1"/>
    <col min="8" max="8" width="10.375" customWidth="1"/>
    <col min="9" max="9" width="16.375" customWidth="1"/>
    <col min="10" max="10" width="12.375" customWidth="1"/>
    <col min="11" max="11" width="13.5" customWidth="1"/>
    <col min="12" max="12" width="9.25" customWidth="1"/>
  </cols>
  <sheetData>
    <row r="1" spans="1:23" ht="18">
      <c r="A1" s="9" t="s">
        <v>31</v>
      </c>
      <c r="B1" s="6"/>
      <c r="C1" s="5"/>
      <c r="D1" s="6"/>
      <c r="E1" s="5"/>
      <c r="F1" s="6"/>
      <c r="G1" s="5"/>
      <c r="H1" s="6"/>
      <c r="I1" s="5"/>
      <c r="J1" s="6"/>
      <c r="K1" s="5"/>
      <c r="L1" s="6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3" spans="1:23" ht="30">
      <c r="A3" s="1" t="s">
        <v>32</v>
      </c>
      <c r="B3" s="1" t="s">
        <v>33</v>
      </c>
      <c r="C3" s="1" t="s">
        <v>34</v>
      </c>
      <c r="D3" s="1" t="s">
        <v>35</v>
      </c>
      <c r="E3" s="1" t="s">
        <v>36</v>
      </c>
      <c r="F3" s="1" t="s">
        <v>37</v>
      </c>
      <c r="G3" s="1" t="s">
        <v>38</v>
      </c>
      <c r="H3" s="1" t="s">
        <v>39</v>
      </c>
      <c r="I3" s="1" t="s">
        <v>40</v>
      </c>
      <c r="J3" s="1" t="s">
        <v>41</v>
      </c>
      <c r="K3" s="1" t="s">
        <v>42</v>
      </c>
      <c r="L3" s="1" t="s">
        <v>43</v>
      </c>
    </row>
    <row r="4" spans="1:23">
      <c r="A4" s="2">
        <v>25</v>
      </c>
      <c r="B4" s="2">
        <v>96</v>
      </c>
      <c r="C4" s="2">
        <f>AVERAGEIF(Comparison!$B$2:$B$481,A4,Comparison!$P$2:$P$481)</f>
        <v>14.204445637237528</v>
      </c>
      <c r="D4" s="2">
        <f>COUNTIFS(Comparison!$B$2:$B$481,A4,Comparison!$U$2:$U$481,"YES")</f>
        <v>27</v>
      </c>
      <c r="E4" s="2">
        <f>AVERAGEIF(Comparison!$B$2:$B$481,A4,Comparison!$Q$2:$Q$481)</f>
        <v>14.688519814347886</v>
      </c>
      <c r="F4" s="2">
        <f>COUNTIFS(Comparison!$B$2:$B$481,A4,Comparison!$V$2:$V$481,"YES")</f>
        <v>26</v>
      </c>
      <c r="G4" s="2">
        <f>AVERAGEIF(Comparison!$B$2:$B$481,A4,Comparison!$R$2:$R$481)</f>
        <v>13.628583851686736</v>
      </c>
      <c r="H4" s="2">
        <f>COUNTIFS(Comparison!$B$2:$B$481,A4,Comparison!$W$2:$W$481,"YES")</f>
        <v>27</v>
      </c>
      <c r="I4" s="2">
        <f>AVERAGEIF(Comparison!$B$2:$B$481,A4,Comparison!$S$2:$S$481)</f>
        <v>16.011382379041141</v>
      </c>
      <c r="J4" s="2">
        <f>COUNTIFS(Comparison!$B$2:$B$481,A4,Comparison!$X$2:$X$481,"YES")</f>
        <v>16</v>
      </c>
      <c r="K4" s="2">
        <f>AVERAGEIF(Comparison!$B$2:$B$481,A4,Comparison!$T$2:$T$481)</f>
        <v>0.35087762585638882</v>
      </c>
      <c r="L4" s="2">
        <f>COUNTIFS(Comparison!$B$2:$B$481,A4,Comparison!$Y$2:$Y$481,"YES")</f>
        <v>89</v>
      </c>
    </row>
    <row r="5" spans="1:23">
      <c r="A5" s="2">
        <v>50</v>
      </c>
      <c r="B5" s="2">
        <v>96</v>
      </c>
      <c r="C5" s="2">
        <f>AVERAGEIF(Comparison!$B$2:$B$481,A5,Comparison!$P$2:$P$481)</f>
        <v>24.462033802846292</v>
      </c>
      <c r="D5" s="2">
        <f>COUNTIFS(Comparison!$B$2:$B$481,A5,Comparison!$U$2:$U$481,"YES")</f>
        <v>11</v>
      </c>
      <c r="E5" s="2">
        <f>AVERAGEIF(Comparison!$B$2:$B$481,A5,Comparison!$Q$2:$Q$481)</f>
        <v>25.366173511752788</v>
      </c>
      <c r="F5" s="2">
        <f>COUNTIFS(Comparison!$B$2:$B$481,A5,Comparison!$V$2:$V$481,"YES")</f>
        <v>12</v>
      </c>
      <c r="G5" s="2">
        <f>AVERAGEIF(Comparison!$B$2:$B$481,A5,Comparison!$R$2:$R$481)</f>
        <v>24.862643469966113</v>
      </c>
      <c r="H5" s="2">
        <f>COUNTIFS(Comparison!$B$2:$B$481,A5,Comparison!$W$2:$W$481,"YES")</f>
        <v>12</v>
      </c>
      <c r="I5" s="2">
        <f>AVERAGEIF(Comparison!$B$2:$B$481,A5,Comparison!$S$2:$S$481)</f>
        <v>11.158831874589014</v>
      </c>
      <c r="J5" s="2">
        <f>COUNTIFS(Comparison!$B$2:$B$481,A5,Comparison!$X$2:$X$481,"YES")</f>
        <v>20</v>
      </c>
      <c r="K5" s="2">
        <f>AVERAGEIF(Comparison!$B$2:$B$481,A5,Comparison!$T$2:$T$481)</f>
        <v>0.36850511821805937</v>
      </c>
      <c r="L5" s="2">
        <f>COUNTIFS(Comparison!$B$2:$B$481,A5,Comparison!$Y$2:$Y$481,"YES")</f>
        <v>87</v>
      </c>
    </row>
    <row r="6" spans="1:23">
      <c r="A6" s="2">
        <v>75</v>
      </c>
      <c r="B6" s="2">
        <v>96</v>
      </c>
      <c r="C6" s="2">
        <f>AVERAGEIF(Comparison!$B$2:$B$481,A6,Comparison!$P$2:$P$481)</f>
        <v>29.858009476365478</v>
      </c>
      <c r="D6" s="2">
        <f>COUNTIFS(Comparison!$B$2:$B$481,A6,Comparison!$U$2:$U$481,"YES")</f>
        <v>10</v>
      </c>
      <c r="E6" s="2">
        <f>AVERAGEIF(Comparison!$B$2:$B$481,A6,Comparison!$Q$2:$Q$481)</f>
        <v>30.403586491966681</v>
      </c>
      <c r="F6" s="2">
        <f>COUNTIFS(Comparison!$B$2:$B$481,A6,Comparison!$V$2:$V$481,"YES")</f>
        <v>8</v>
      </c>
      <c r="G6" s="2">
        <f>AVERAGEIF(Comparison!$B$2:$B$481,A6,Comparison!$R$2:$R$481)</f>
        <v>31.293475099436595</v>
      </c>
      <c r="H6" s="2">
        <f>COUNTIFS(Comparison!$B$2:$B$481,A6,Comparison!$W$2:$W$481,"YES")</f>
        <v>7</v>
      </c>
      <c r="I6" s="2">
        <f>AVERAGEIF(Comparison!$B$2:$B$481,A6,Comparison!$S$2:$S$481)</f>
        <v>13.030502301326235</v>
      </c>
      <c r="J6" s="2">
        <f>COUNTIFS(Comparison!$B$2:$B$481,A6,Comparison!$X$2:$X$481,"YES")</f>
        <v>10</v>
      </c>
      <c r="K6" s="2">
        <f>AVERAGEIF(Comparison!$B$2:$B$481,A6,Comparison!$T$2:$T$481)</f>
        <v>0.13035929951690819</v>
      </c>
      <c r="L6" s="2">
        <f>COUNTIFS(Comparison!$B$2:$B$481,A6,Comparison!$Y$2:$Y$481,"YES")</f>
        <v>93</v>
      </c>
    </row>
    <row r="7" spans="1:23">
      <c r="A7" s="2">
        <v>100</v>
      </c>
      <c r="B7" s="2">
        <v>96</v>
      </c>
      <c r="C7" s="2">
        <f>AVERAGEIF(Comparison!$B$2:$B$481,A7,Comparison!$P$2:$P$481)</f>
        <v>36.225815184337719</v>
      </c>
      <c r="D7" s="2">
        <f>COUNTIFS(Comparison!$B$2:$B$481,A7,Comparison!$U$2:$U$481,"YES")</f>
        <v>1</v>
      </c>
      <c r="E7" s="2">
        <f>AVERAGEIF(Comparison!$B$2:$B$481,A7,Comparison!$Q$2:$Q$481)</f>
        <v>37.684844453162818</v>
      </c>
      <c r="F7" s="2">
        <f>COUNTIFS(Comparison!$B$2:$B$481,A7,Comparison!$V$2:$V$481,"YES")</f>
        <v>0</v>
      </c>
      <c r="G7" s="2">
        <f>AVERAGEIF(Comparison!$B$2:$B$481,A7,Comparison!$R$2:$R$481)</f>
        <v>36.304614207805635</v>
      </c>
      <c r="H7" s="2">
        <f>COUNTIFS(Comparison!$B$2:$B$481,A7,Comparison!$W$2:$W$481,"YES")</f>
        <v>0</v>
      </c>
      <c r="I7" s="2">
        <f>AVERAGEIF(Comparison!$B$2:$B$481,A7,Comparison!$S$2:$S$481)</f>
        <v>14.694682136853501</v>
      </c>
      <c r="J7" s="2">
        <f>COUNTIFS(Comparison!$B$2:$B$481,A7,Comparison!$X$2:$X$481,"YES")</f>
        <v>12</v>
      </c>
      <c r="K7" s="2">
        <f>AVERAGEIF(Comparison!$B$2:$B$481,A7,Comparison!$T$2:$T$481)</f>
        <v>7.1383248730964466E-2</v>
      </c>
      <c r="L7" s="2">
        <f>COUNTIFS(Comparison!$B$2:$B$481,A7,Comparison!$Y$2:$Y$481,"YES")</f>
        <v>95</v>
      </c>
    </row>
    <row r="8" spans="1:23">
      <c r="A8" s="2">
        <v>200</v>
      </c>
      <c r="B8" s="2">
        <v>96</v>
      </c>
      <c r="C8" s="2">
        <f>AVERAGEIF(Comparison!$B$2:$B$481,A8,Comparison!$P$2:$P$481)</f>
        <v>42.042420604132488</v>
      </c>
      <c r="D8" s="2">
        <f>COUNTIFS(Comparison!$B$2:$B$481,A8,Comparison!$U$2:$U$481,"YES")</f>
        <v>0</v>
      </c>
      <c r="E8" s="2">
        <f>AVERAGEIF(Comparison!$B$2:$B$481,A8,Comparison!$Q$2:$Q$481)</f>
        <v>43.500442256752784</v>
      </c>
      <c r="F8" s="2">
        <f>COUNTIFS(Comparison!$B$2:$B$481,A8,Comparison!$V$2:$V$481,"YES")</f>
        <v>0</v>
      </c>
      <c r="G8" s="2">
        <f>AVERAGEIF(Comparison!$B$2:$B$481,A8,Comparison!$R$2:$R$481)</f>
        <v>42.35505075629689</v>
      </c>
      <c r="H8" s="2">
        <f>COUNTIFS(Comparison!$B$2:$B$481,A8,Comparison!$W$2:$W$481,"YES")</f>
        <v>0</v>
      </c>
      <c r="I8" s="2">
        <f>AVERAGEIF(Comparison!$B$2:$B$481,A8,Comparison!$S$2:$S$481)</f>
        <v>11.50328478310424</v>
      </c>
      <c r="J8" s="2">
        <f>COUNTIFS(Comparison!$B$2:$B$481,A8,Comparison!$X$2:$X$481,"YES")</f>
        <v>11</v>
      </c>
      <c r="K8" s="2">
        <f>AVERAGEIF(Comparison!$B$2:$B$481,A8,Comparison!$T$2:$T$481)</f>
        <v>1.7959770114942528E-2</v>
      </c>
      <c r="L8" s="2">
        <f>COUNTIFS(Comparison!$B$2:$B$481,A8,Comparison!$Y$2:$Y$481,"YES")</f>
        <v>95</v>
      </c>
    </row>
  </sheetData>
  <mergeCells count="1">
    <mergeCell ref="A1:W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482"/>
  <sheetViews>
    <sheetView tabSelected="1" topLeftCell="O465" workbookViewId="0">
      <selection activeCell="Y483" sqref="Y483"/>
    </sheetView>
  </sheetViews>
  <sheetFormatPr defaultRowHeight="14.25"/>
  <cols>
    <col min="1" max="1" width="48" customWidth="1"/>
    <col min="2" max="2" width="6.5" customWidth="1"/>
    <col min="3" max="3" width="7.625" customWidth="1"/>
    <col min="4" max="4" width="6.875" customWidth="1"/>
    <col min="5" max="5" width="6.625" customWidth="1"/>
    <col min="6" max="7" width="14" customWidth="1"/>
    <col min="8" max="8" width="8.5" customWidth="1"/>
    <col min="9" max="9" width="8.75" customWidth="1"/>
    <col min="10" max="10" width="9.375" customWidth="1"/>
    <col min="11" max="11" width="11.25" customWidth="1"/>
    <col min="12" max="12" width="8.375" customWidth="1"/>
    <col min="13" max="13" width="7.5" customWidth="1"/>
    <col min="14" max="14" width="26" customWidth="1"/>
    <col min="15" max="15" width="18" customWidth="1"/>
    <col min="16" max="17" width="10.375" customWidth="1"/>
    <col min="18" max="18" width="11" customWidth="1"/>
    <col min="19" max="19" width="12.875" customWidth="1"/>
    <col min="20" max="20" width="10.375" customWidth="1"/>
    <col min="21" max="21" width="9.375" customWidth="1"/>
    <col min="22" max="22" width="9.5" customWidth="1"/>
    <col min="23" max="23" width="10.25" customWidth="1"/>
    <col min="24" max="24" width="12.25" customWidth="1"/>
    <col min="25" max="25" width="9.25" customWidth="1"/>
  </cols>
  <sheetData>
    <row r="1" spans="1:25" ht="45">
      <c r="A1" s="1" t="s">
        <v>44</v>
      </c>
      <c r="B1" s="1" t="s">
        <v>32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54</v>
      </c>
      <c r="M1" s="1" t="s">
        <v>55</v>
      </c>
      <c r="N1" s="1" t="s">
        <v>56</v>
      </c>
      <c r="O1" s="1" t="s">
        <v>57</v>
      </c>
      <c r="P1" s="1" t="s">
        <v>58</v>
      </c>
      <c r="Q1" s="1" t="s">
        <v>59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65</v>
      </c>
      <c r="X1" s="1" t="s">
        <v>66</v>
      </c>
      <c r="Y1" s="1" t="s">
        <v>67</v>
      </c>
    </row>
    <row r="2" spans="1:25">
      <c r="A2" t="s">
        <v>68</v>
      </c>
      <c r="B2">
        <v>100</v>
      </c>
      <c r="C2">
        <v>10</v>
      </c>
      <c r="D2">
        <v>10000</v>
      </c>
      <c r="E2">
        <v>1</v>
      </c>
      <c r="F2" t="s">
        <v>69</v>
      </c>
      <c r="G2" t="s">
        <v>70</v>
      </c>
      <c r="H2" s="2">
        <v>38</v>
      </c>
      <c r="I2" s="2">
        <v>37</v>
      </c>
      <c r="J2" s="2">
        <v>38</v>
      </c>
      <c r="K2" s="2">
        <v>33</v>
      </c>
      <c r="L2" s="2">
        <v>33</v>
      </c>
      <c r="M2" s="2">
        <f t="shared" ref="M2:M65" si="0">MIN(H2:L2)</f>
        <v>33</v>
      </c>
      <c r="N2" t="e">
        <f t="shared" ref="N2:N65" ca="1" si="1">_xludf.TEXTJOIN(", ",TRUE,IF(H2=M2,"S-FFD",""),IF(I2=M2,"S-BFD",""),IF(J2=M2,"S-WFD",""),IF(K2=M2,"Best C-TP",""),IF(L2=M2,"MSIG",""))</f>
        <v>#NAME?</v>
      </c>
      <c r="O2" t="str">
        <f t="shared" ref="O2:O65" si="2">IF(COUNTIF(H2:L2,M2)=1,INDEX($H$1:$L$1,1,MATCH(M2,H2:L2,0)),"")</f>
        <v/>
      </c>
      <c r="P2" s="2">
        <f t="shared" ref="P2:P65" si="3">(H2-$M2)/$M2*100</f>
        <v>15.151515151515152</v>
      </c>
      <c r="Q2" s="2">
        <f t="shared" ref="Q2:Q65" si="4">(I2-$M2)/$M2*100</f>
        <v>12.121212121212121</v>
      </c>
      <c r="R2" s="2">
        <f t="shared" ref="R2:R65" si="5">(J2-$M2)/$M2*100</f>
        <v>15.151515151515152</v>
      </c>
      <c r="S2" s="2">
        <f t="shared" ref="S2:S65" si="6">(K2-$M2)/$M2*100</f>
        <v>0</v>
      </c>
      <c r="T2" s="2">
        <f t="shared" ref="T2:T65" si="7">(L2-$M2)/$M2*100</f>
        <v>0</v>
      </c>
      <c r="U2" s="3" t="str">
        <f t="shared" ref="U2:U65" si="8">IF(H2=$M2,"YES","")</f>
        <v/>
      </c>
      <c r="V2" s="3" t="str">
        <f t="shared" ref="V2:V65" si="9">IF(I2=$M2,"YES","")</f>
        <v/>
      </c>
      <c r="W2" s="3" t="str">
        <f t="shared" ref="W2:W65" si="10">IF(J2=$M2,"YES","")</f>
        <v/>
      </c>
      <c r="X2" s="3" t="str">
        <f t="shared" ref="X2:X65" si="11">IF(K2=$M2,"YES","")</f>
        <v>YES</v>
      </c>
      <c r="Y2" s="3" t="str">
        <f t="shared" ref="Y2:Y65" si="12">IF(L2=$M2,"YES","")</f>
        <v>YES</v>
      </c>
    </row>
    <row r="3" spans="1:25">
      <c r="A3" t="s">
        <v>71</v>
      </c>
      <c r="B3">
        <v>100</v>
      </c>
      <c r="C3">
        <v>10</v>
      </c>
      <c r="D3">
        <v>10000</v>
      </c>
      <c r="E3">
        <v>1</v>
      </c>
      <c r="F3" t="s">
        <v>69</v>
      </c>
      <c r="G3" t="s">
        <v>70</v>
      </c>
      <c r="H3" s="2">
        <v>36</v>
      </c>
      <c r="I3" s="2">
        <v>37</v>
      </c>
      <c r="J3" s="2">
        <v>37</v>
      </c>
      <c r="K3" s="2">
        <v>32</v>
      </c>
      <c r="L3" s="2">
        <v>31</v>
      </c>
      <c r="M3" s="2">
        <f t="shared" si="0"/>
        <v>31</v>
      </c>
      <c r="N3" t="e">
        <f t="shared" ca="1" si="1"/>
        <v>#NAME?</v>
      </c>
      <c r="O3" t="str">
        <f t="shared" si="2"/>
        <v>MSIG Cost</v>
      </c>
      <c r="P3" s="2">
        <f t="shared" si="3"/>
        <v>16.129032258064516</v>
      </c>
      <c r="Q3" s="2">
        <f t="shared" si="4"/>
        <v>19.35483870967742</v>
      </c>
      <c r="R3" s="2">
        <f t="shared" si="5"/>
        <v>19.35483870967742</v>
      </c>
      <c r="S3" s="2">
        <f t="shared" si="6"/>
        <v>3.225806451612903</v>
      </c>
      <c r="T3" s="2">
        <f t="shared" si="7"/>
        <v>0</v>
      </c>
      <c r="U3" s="3" t="str">
        <f t="shared" si="8"/>
        <v/>
      </c>
      <c r="V3" s="3" t="str">
        <f t="shared" si="9"/>
        <v/>
      </c>
      <c r="W3" s="3" t="str">
        <f t="shared" si="10"/>
        <v/>
      </c>
      <c r="X3" s="3" t="str">
        <f t="shared" si="11"/>
        <v/>
      </c>
      <c r="Y3" s="3" t="str">
        <f t="shared" si="12"/>
        <v>YES</v>
      </c>
    </row>
    <row r="4" spans="1:25">
      <c r="A4" t="s">
        <v>72</v>
      </c>
      <c r="B4">
        <v>100</v>
      </c>
      <c r="C4">
        <v>10</v>
      </c>
      <c r="D4">
        <v>10000</v>
      </c>
      <c r="E4">
        <v>10</v>
      </c>
      <c r="F4" t="s">
        <v>69</v>
      </c>
      <c r="G4" t="s">
        <v>70</v>
      </c>
      <c r="H4" s="2">
        <v>604</v>
      </c>
      <c r="I4" s="2">
        <v>617</v>
      </c>
      <c r="J4" s="2">
        <v>622</v>
      </c>
      <c r="K4" s="2">
        <v>474</v>
      </c>
      <c r="L4" s="2">
        <v>416</v>
      </c>
      <c r="M4" s="2">
        <f t="shared" si="0"/>
        <v>416</v>
      </c>
      <c r="N4" t="e">
        <f t="shared" ca="1" si="1"/>
        <v>#NAME?</v>
      </c>
      <c r="O4" t="str">
        <f t="shared" si="2"/>
        <v>MSIG Cost</v>
      </c>
      <c r="P4" s="2">
        <f t="shared" si="3"/>
        <v>45.192307692307693</v>
      </c>
      <c r="Q4" s="2">
        <f t="shared" si="4"/>
        <v>48.317307692307693</v>
      </c>
      <c r="R4" s="2">
        <f t="shared" si="5"/>
        <v>49.519230769230774</v>
      </c>
      <c r="S4" s="2">
        <f t="shared" si="6"/>
        <v>13.942307692307693</v>
      </c>
      <c r="T4" s="2">
        <f t="shared" si="7"/>
        <v>0</v>
      </c>
      <c r="U4" s="3" t="str">
        <f t="shared" si="8"/>
        <v/>
      </c>
      <c r="V4" s="3" t="str">
        <f t="shared" si="9"/>
        <v/>
      </c>
      <c r="W4" s="3" t="str">
        <f t="shared" si="10"/>
        <v/>
      </c>
      <c r="X4" s="3" t="str">
        <f t="shared" si="11"/>
        <v/>
      </c>
      <c r="Y4" s="3" t="str">
        <f t="shared" si="12"/>
        <v>YES</v>
      </c>
    </row>
    <row r="5" spans="1:25">
      <c r="A5" t="s">
        <v>73</v>
      </c>
      <c r="B5">
        <v>100</v>
      </c>
      <c r="C5">
        <v>10</v>
      </c>
      <c r="D5">
        <v>10000</v>
      </c>
      <c r="E5">
        <v>10</v>
      </c>
      <c r="F5" t="s">
        <v>69</v>
      </c>
      <c r="G5" t="s">
        <v>70</v>
      </c>
      <c r="H5" s="2">
        <v>649</v>
      </c>
      <c r="I5" s="2">
        <v>637</v>
      </c>
      <c r="J5" s="2">
        <v>653</v>
      </c>
      <c r="K5" s="2">
        <v>444</v>
      </c>
      <c r="L5" s="2">
        <v>428</v>
      </c>
      <c r="M5" s="2">
        <f t="shared" si="0"/>
        <v>428</v>
      </c>
      <c r="N5" t="e">
        <f t="shared" ca="1" si="1"/>
        <v>#NAME?</v>
      </c>
      <c r="O5" t="str">
        <f t="shared" si="2"/>
        <v>MSIG Cost</v>
      </c>
      <c r="P5" s="2">
        <f t="shared" si="3"/>
        <v>51.635514018691588</v>
      </c>
      <c r="Q5" s="2">
        <f t="shared" si="4"/>
        <v>48.831775700934585</v>
      </c>
      <c r="R5" s="2">
        <f t="shared" si="5"/>
        <v>52.570093457943926</v>
      </c>
      <c r="S5" s="2">
        <f t="shared" si="6"/>
        <v>3.7383177570093453</v>
      </c>
      <c r="T5" s="2">
        <f t="shared" si="7"/>
        <v>0</v>
      </c>
      <c r="U5" s="3" t="str">
        <f t="shared" si="8"/>
        <v/>
      </c>
      <c r="V5" s="3" t="str">
        <f t="shared" si="9"/>
        <v/>
      </c>
      <c r="W5" s="3" t="str">
        <f t="shared" si="10"/>
        <v/>
      </c>
      <c r="X5" s="3" t="str">
        <f t="shared" si="11"/>
        <v/>
      </c>
      <c r="Y5" s="3" t="str">
        <f t="shared" si="12"/>
        <v>YES</v>
      </c>
    </row>
    <row r="6" spans="1:25">
      <c r="A6" t="s">
        <v>74</v>
      </c>
      <c r="B6">
        <v>100</v>
      </c>
      <c r="C6">
        <v>10</v>
      </c>
      <c r="D6">
        <v>10000</v>
      </c>
      <c r="E6">
        <v>1</v>
      </c>
      <c r="F6" t="s">
        <v>69</v>
      </c>
      <c r="G6" t="s">
        <v>70</v>
      </c>
      <c r="H6" s="2">
        <v>30</v>
      </c>
      <c r="I6" s="2">
        <v>30</v>
      </c>
      <c r="J6" s="2">
        <v>30</v>
      </c>
      <c r="K6" s="2">
        <v>29</v>
      </c>
      <c r="L6" s="2">
        <v>27</v>
      </c>
      <c r="M6" s="2">
        <f t="shared" si="0"/>
        <v>27</v>
      </c>
      <c r="N6" t="e">
        <f t="shared" ca="1" si="1"/>
        <v>#NAME?</v>
      </c>
      <c r="O6" t="str">
        <f t="shared" si="2"/>
        <v>MSIG Cost</v>
      </c>
      <c r="P6" s="2">
        <f t="shared" si="3"/>
        <v>11.111111111111111</v>
      </c>
      <c r="Q6" s="2">
        <f t="shared" si="4"/>
        <v>11.111111111111111</v>
      </c>
      <c r="R6" s="2">
        <f t="shared" si="5"/>
        <v>11.111111111111111</v>
      </c>
      <c r="S6" s="2">
        <f t="shared" si="6"/>
        <v>7.4074074074074066</v>
      </c>
      <c r="T6" s="2">
        <f t="shared" si="7"/>
        <v>0</v>
      </c>
      <c r="U6" s="3" t="str">
        <f t="shared" si="8"/>
        <v/>
      </c>
      <c r="V6" s="3" t="str">
        <f t="shared" si="9"/>
        <v/>
      </c>
      <c r="W6" s="3" t="str">
        <f t="shared" si="10"/>
        <v/>
      </c>
      <c r="X6" s="3" t="str">
        <f t="shared" si="11"/>
        <v/>
      </c>
      <c r="Y6" s="3" t="str">
        <f t="shared" si="12"/>
        <v>YES</v>
      </c>
    </row>
    <row r="7" spans="1:25">
      <c r="A7" t="s">
        <v>75</v>
      </c>
      <c r="B7">
        <v>100</v>
      </c>
      <c r="C7">
        <v>10</v>
      </c>
      <c r="D7">
        <v>10000</v>
      </c>
      <c r="E7">
        <v>1</v>
      </c>
      <c r="F7" t="s">
        <v>69</v>
      </c>
      <c r="G7" t="s">
        <v>70</v>
      </c>
      <c r="H7" s="2">
        <v>30</v>
      </c>
      <c r="I7" s="2">
        <v>30</v>
      </c>
      <c r="J7" s="2">
        <v>30</v>
      </c>
      <c r="K7" s="2">
        <v>28</v>
      </c>
      <c r="L7" s="2">
        <v>28</v>
      </c>
      <c r="M7" s="2">
        <f t="shared" si="0"/>
        <v>28</v>
      </c>
      <c r="N7" t="e">
        <f t="shared" ca="1" si="1"/>
        <v>#NAME?</v>
      </c>
      <c r="O7" t="str">
        <f t="shared" si="2"/>
        <v/>
      </c>
      <c r="P7" s="2">
        <f t="shared" si="3"/>
        <v>7.1428571428571423</v>
      </c>
      <c r="Q7" s="2">
        <f t="shared" si="4"/>
        <v>7.1428571428571423</v>
      </c>
      <c r="R7" s="2">
        <f t="shared" si="5"/>
        <v>7.1428571428571423</v>
      </c>
      <c r="S7" s="2">
        <f t="shared" si="6"/>
        <v>0</v>
      </c>
      <c r="T7" s="2">
        <f t="shared" si="7"/>
        <v>0</v>
      </c>
      <c r="U7" s="3" t="str">
        <f t="shared" si="8"/>
        <v/>
      </c>
      <c r="V7" s="3" t="str">
        <f t="shared" si="9"/>
        <v/>
      </c>
      <c r="W7" s="3" t="str">
        <f t="shared" si="10"/>
        <v/>
      </c>
      <c r="X7" s="3" t="str">
        <f t="shared" si="11"/>
        <v>YES</v>
      </c>
      <c r="Y7" s="3" t="str">
        <f t="shared" si="12"/>
        <v>YES</v>
      </c>
    </row>
    <row r="8" spans="1:25">
      <c r="A8" t="s">
        <v>76</v>
      </c>
      <c r="B8">
        <v>100</v>
      </c>
      <c r="C8">
        <v>10</v>
      </c>
      <c r="D8">
        <v>10000</v>
      </c>
      <c r="E8">
        <v>10</v>
      </c>
      <c r="F8" t="s">
        <v>69</v>
      </c>
      <c r="G8" t="s">
        <v>70</v>
      </c>
      <c r="H8" s="2">
        <v>561</v>
      </c>
      <c r="I8" s="2">
        <v>556</v>
      </c>
      <c r="J8" s="2">
        <v>566</v>
      </c>
      <c r="K8" s="2">
        <v>415</v>
      </c>
      <c r="L8" s="2">
        <v>371</v>
      </c>
      <c r="M8" s="2">
        <f t="shared" si="0"/>
        <v>371</v>
      </c>
      <c r="N8" t="e">
        <f t="shared" ca="1" si="1"/>
        <v>#NAME?</v>
      </c>
      <c r="O8" t="str">
        <f t="shared" si="2"/>
        <v>MSIG Cost</v>
      </c>
      <c r="P8" s="2">
        <f t="shared" si="3"/>
        <v>51.212938005390839</v>
      </c>
      <c r="Q8" s="2">
        <f t="shared" si="4"/>
        <v>49.865229110512125</v>
      </c>
      <c r="R8" s="2">
        <f t="shared" si="5"/>
        <v>52.560646900269539</v>
      </c>
      <c r="S8" s="2">
        <f t="shared" si="6"/>
        <v>11.859838274932615</v>
      </c>
      <c r="T8" s="2">
        <f t="shared" si="7"/>
        <v>0</v>
      </c>
      <c r="U8" s="3" t="str">
        <f t="shared" si="8"/>
        <v/>
      </c>
      <c r="V8" s="3" t="str">
        <f t="shared" si="9"/>
        <v/>
      </c>
      <c r="W8" s="3" t="str">
        <f t="shared" si="10"/>
        <v/>
      </c>
      <c r="X8" s="3" t="str">
        <f t="shared" si="11"/>
        <v/>
      </c>
      <c r="Y8" s="3" t="str">
        <f t="shared" si="12"/>
        <v>YES</v>
      </c>
    </row>
    <row r="9" spans="1:25">
      <c r="A9" t="s">
        <v>77</v>
      </c>
      <c r="B9">
        <v>100</v>
      </c>
      <c r="C9">
        <v>10</v>
      </c>
      <c r="D9">
        <v>10000</v>
      </c>
      <c r="E9">
        <v>10</v>
      </c>
      <c r="F9" t="s">
        <v>69</v>
      </c>
      <c r="G9" t="s">
        <v>70</v>
      </c>
      <c r="H9" s="2">
        <v>576</v>
      </c>
      <c r="I9" s="2">
        <v>578</v>
      </c>
      <c r="J9" s="2">
        <v>602</v>
      </c>
      <c r="K9" s="2">
        <v>399</v>
      </c>
      <c r="L9" s="2">
        <v>380</v>
      </c>
      <c r="M9" s="2">
        <f t="shared" si="0"/>
        <v>380</v>
      </c>
      <c r="N9" t="e">
        <f t="shared" ca="1" si="1"/>
        <v>#NAME?</v>
      </c>
      <c r="O9" t="str">
        <f t="shared" si="2"/>
        <v>MSIG Cost</v>
      </c>
      <c r="P9" s="2">
        <f t="shared" si="3"/>
        <v>51.578947368421055</v>
      </c>
      <c r="Q9" s="2">
        <f t="shared" si="4"/>
        <v>52.105263157894733</v>
      </c>
      <c r="R9" s="2">
        <f t="shared" si="5"/>
        <v>58.421052631578952</v>
      </c>
      <c r="S9" s="2">
        <f t="shared" si="6"/>
        <v>5</v>
      </c>
      <c r="T9" s="2">
        <f t="shared" si="7"/>
        <v>0</v>
      </c>
      <c r="U9" s="3" t="str">
        <f t="shared" si="8"/>
        <v/>
      </c>
      <c r="V9" s="3" t="str">
        <f t="shared" si="9"/>
        <v/>
      </c>
      <c r="W9" s="3" t="str">
        <f t="shared" si="10"/>
        <v/>
      </c>
      <c r="X9" s="3" t="str">
        <f t="shared" si="11"/>
        <v/>
      </c>
      <c r="Y9" s="3" t="str">
        <f t="shared" si="12"/>
        <v>YES</v>
      </c>
    </row>
    <row r="10" spans="1:25">
      <c r="A10" t="s">
        <v>78</v>
      </c>
      <c r="B10">
        <v>100</v>
      </c>
      <c r="C10">
        <v>10</v>
      </c>
      <c r="D10">
        <v>10000</v>
      </c>
      <c r="E10">
        <v>1</v>
      </c>
      <c r="F10" t="s">
        <v>69</v>
      </c>
      <c r="G10" t="s">
        <v>70</v>
      </c>
      <c r="H10" s="2">
        <v>21</v>
      </c>
      <c r="I10" s="2">
        <v>22</v>
      </c>
      <c r="J10" s="2">
        <v>21</v>
      </c>
      <c r="K10" s="2">
        <v>17</v>
      </c>
      <c r="L10" s="2">
        <v>17</v>
      </c>
      <c r="M10" s="2">
        <f t="shared" si="0"/>
        <v>17</v>
      </c>
      <c r="N10" t="e">
        <f t="shared" ca="1" si="1"/>
        <v>#NAME?</v>
      </c>
      <c r="O10" t="str">
        <f t="shared" si="2"/>
        <v/>
      </c>
      <c r="P10" s="2">
        <f t="shared" si="3"/>
        <v>23.52941176470588</v>
      </c>
      <c r="Q10" s="2">
        <f t="shared" si="4"/>
        <v>29.411764705882355</v>
      </c>
      <c r="R10" s="2">
        <f t="shared" si="5"/>
        <v>23.52941176470588</v>
      </c>
      <c r="S10" s="2">
        <f t="shared" si="6"/>
        <v>0</v>
      </c>
      <c r="T10" s="2">
        <f t="shared" si="7"/>
        <v>0</v>
      </c>
      <c r="U10" s="3" t="str">
        <f t="shared" si="8"/>
        <v/>
      </c>
      <c r="V10" s="3" t="str">
        <f t="shared" si="9"/>
        <v/>
      </c>
      <c r="W10" s="3" t="str">
        <f t="shared" si="10"/>
        <v/>
      </c>
      <c r="X10" s="3" t="str">
        <f t="shared" si="11"/>
        <v>YES</v>
      </c>
      <c r="Y10" s="3" t="str">
        <f t="shared" si="12"/>
        <v>YES</v>
      </c>
    </row>
    <row r="11" spans="1:25">
      <c r="A11" t="s">
        <v>79</v>
      </c>
      <c r="B11">
        <v>100</v>
      </c>
      <c r="C11">
        <v>10</v>
      </c>
      <c r="D11">
        <v>10000</v>
      </c>
      <c r="E11">
        <v>1</v>
      </c>
      <c r="F11" t="s">
        <v>69</v>
      </c>
      <c r="G11" t="s">
        <v>70</v>
      </c>
      <c r="H11" s="2">
        <v>21</v>
      </c>
      <c r="I11" s="2">
        <v>22</v>
      </c>
      <c r="J11" s="2">
        <v>21</v>
      </c>
      <c r="K11" s="2">
        <v>20</v>
      </c>
      <c r="L11" s="2">
        <v>17</v>
      </c>
      <c r="M11" s="2">
        <f t="shared" si="0"/>
        <v>17</v>
      </c>
      <c r="N11" t="e">
        <f t="shared" ca="1" si="1"/>
        <v>#NAME?</v>
      </c>
      <c r="O11" t="str">
        <f t="shared" si="2"/>
        <v>MSIG Cost</v>
      </c>
      <c r="P11" s="2">
        <f t="shared" si="3"/>
        <v>23.52941176470588</v>
      </c>
      <c r="Q11" s="2">
        <f t="shared" si="4"/>
        <v>29.411764705882355</v>
      </c>
      <c r="R11" s="2">
        <f t="shared" si="5"/>
        <v>23.52941176470588</v>
      </c>
      <c r="S11" s="2">
        <f t="shared" si="6"/>
        <v>17.647058823529413</v>
      </c>
      <c r="T11" s="2">
        <f t="shared" si="7"/>
        <v>0</v>
      </c>
      <c r="U11" s="3" t="str">
        <f t="shared" si="8"/>
        <v/>
      </c>
      <c r="V11" s="3" t="str">
        <f t="shared" si="9"/>
        <v/>
      </c>
      <c r="W11" s="3" t="str">
        <f t="shared" si="10"/>
        <v/>
      </c>
      <c r="X11" s="3" t="str">
        <f t="shared" si="11"/>
        <v/>
      </c>
      <c r="Y11" s="3" t="str">
        <f t="shared" si="12"/>
        <v>YES</v>
      </c>
    </row>
    <row r="12" spans="1:25">
      <c r="A12" t="s">
        <v>80</v>
      </c>
      <c r="B12">
        <v>100</v>
      </c>
      <c r="C12">
        <v>10</v>
      </c>
      <c r="D12">
        <v>10000</v>
      </c>
      <c r="E12">
        <v>10</v>
      </c>
      <c r="F12" t="s">
        <v>69</v>
      </c>
      <c r="G12" t="s">
        <v>70</v>
      </c>
      <c r="H12" s="2">
        <v>410</v>
      </c>
      <c r="I12" s="2">
        <v>411</v>
      </c>
      <c r="J12" s="2">
        <v>406</v>
      </c>
      <c r="K12" s="2">
        <v>279</v>
      </c>
      <c r="L12" s="2">
        <v>242</v>
      </c>
      <c r="M12" s="2">
        <f t="shared" si="0"/>
        <v>242</v>
      </c>
      <c r="N12" t="e">
        <f t="shared" ca="1" si="1"/>
        <v>#NAME?</v>
      </c>
      <c r="O12" t="str">
        <f t="shared" si="2"/>
        <v>MSIG Cost</v>
      </c>
      <c r="P12" s="2">
        <f t="shared" si="3"/>
        <v>69.421487603305792</v>
      </c>
      <c r="Q12" s="2">
        <f t="shared" si="4"/>
        <v>69.834710743801651</v>
      </c>
      <c r="R12" s="2">
        <f t="shared" si="5"/>
        <v>67.768595041322314</v>
      </c>
      <c r="S12" s="2">
        <f t="shared" si="6"/>
        <v>15.289256198347106</v>
      </c>
      <c r="T12" s="2">
        <f t="shared" si="7"/>
        <v>0</v>
      </c>
      <c r="U12" s="3" t="str">
        <f t="shared" si="8"/>
        <v/>
      </c>
      <c r="V12" s="3" t="str">
        <f t="shared" si="9"/>
        <v/>
      </c>
      <c r="W12" s="3" t="str">
        <f t="shared" si="10"/>
        <v/>
      </c>
      <c r="X12" s="3" t="str">
        <f t="shared" si="11"/>
        <v/>
      </c>
      <c r="Y12" s="3" t="str">
        <f t="shared" si="12"/>
        <v>YES</v>
      </c>
    </row>
    <row r="13" spans="1:25">
      <c r="A13" t="s">
        <v>81</v>
      </c>
      <c r="B13">
        <v>100</v>
      </c>
      <c r="C13">
        <v>10</v>
      </c>
      <c r="D13">
        <v>10000</v>
      </c>
      <c r="E13">
        <v>10</v>
      </c>
      <c r="F13" t="s">
        <v>69</v>
      </c>
      <c r="G13" t="s">
        <v>70</v>
      </c>
      <c r="H13" s="2">
        <v>362</v>
      </c>
      <c r="I13" s="2">
        <v>379</v>
      </c>
      <c r="J13" s="2">
        <v>365</v>
      </c>
      <c r="K13" s="2">
        <v>277</v>
      </c>
      <c r="L13" s="2">
        <v>231</v>
      </c>
      <c r="M13" s="2">
        <f t="shared" si="0"/>
        <v>231</v>
      </c>
      <c r="N13" t="e">
        <f t="shared" ca="1" si="1"/>
        <v>#NAME?</v>
      </c>
      <c r="O13" t="str">
        <f t="shared" si="2"/>
        <v>MSIG Cost</v>
      </c>
      <c r="P13" s="2">
        <f t="shared" si="3"/>
        <v>56.709956709956714</v>
      </c>
      <c r="Q13" s="2">
        <f t="shared" si="4"/>
        <v>64.069264069264065</v>
      </c>
      <c r="R13" s="2">
        <f t="shared" si="5"/>
        <v>58.00865800865801</v>
      </c>
      <c r="S13" s="2">
        <f t="shared" si="6"/>
        <v>19.913419913419915</v>
      </c>
      <c r="T13" s="2">
        <f t="shared" si="7"/>
        <v>0</v>
      </c>
      <c r="U13" s="3" t="str">
        <f t="shared" si="8"/>
        <v/>
      </c>
      <c r="V13" s="3" t="str">
        <f t="shared" si="9"/>
        <v/>
      </c>
      <c r="W13" s="3" t="str">
        <f t="shared" si="10"/>
        <v/>
      </c>
      <c r="X13" s="3" t="str">
        <f t="shared" si="11"/>
        <v/>
      </c>
      <c r="Y13" s="3" t="str">
        <f t="shared" si="12"/>
        <v>YES</v>
      </c>
    </row>
    <row r="14" spans="1:25">
      <c r="A14" t="s">
        <v>82</v>
      </c>
      <c r="B14">
        <v>100</v>
      </c>
      <c r="C14">
        <v>10</v>
      </c>
      <c r="D14">
        <v>10000</v>
      </c>
      <c r="E14">
        <v>1</v>
      </c>
      <c r="F14" t="s">
        <v>69</v>
      </c>
      <c r="G14" t="s">
        <v>70</v>
      </c>
      <c r="H14" s="2">
        <v>15</v>
      </c>
      <c r="I14" s="2">
        <v>15</v>
      </c>
      <c r="J14" s="2">
        <v>15</v>
      </c>
      <c r="K14" s="2">
        <v>17</v>
      </c>
      <c r="L14" s="2">
        <v>14</v>
      </c>
      <c r="M14" s="2">
        <f t="shared" si="0"/>
        <v>14</v>
      </c>
      <c r="N14" t="e">
        <f t="shared" ca="1" si="1"/>
        <v>#NAME?</v>
      </c>
      <c r="O14" t="str">
        <f t="shared" si="2"/>
        <v>MSIG Cost</v>
      </c>
      <c r="P14" s="2">
        <f t="shared" si="3"/>
        <v>7.1428571428571423</v>
      </c>
      <c r="Q14" s="2">
        <f t="shared" si="4"/>
        <v>7.1428571428571423</v>
      </c>
      <c r="R14" s="2">
        <f t="shared" si="5"/>
        <v>7.1428571428571423</v>
      </c>
      <c r="S14" s="2">
        <f t="shared" si="6"/>
        <v>21.428571428571427</v>
      </c>
      <c r="T14" s="2">
        <f t="shared" si="7"/>
        <v>0</v>
      </c>
      <c r="U14" s="3" t="str">
        <f t="shared" si="8"/>
        <v/>
      </c>
      <c r="V14" s="3" t="str">
        <f t="shared" si="9"/>
        <v/>
      </c>
      <c r="W14" s="3" t="str">
        <f t="shared" si="10"/>
        <v/>
      </c>
      <c r="X14" s="3" t="str">
        <f t="shared" si="11"/>
        <v/>
      </c>
      <c r="Y14" s="3" t="str">
        <f t="shared" si="12"/>
        <v>YES</v>
      </c>
    </row>
    <row r="15" spans="1:25">
      <c r="A15" t="s">
        <v>83</v>
      </c>
      <c r="B15">
        <v>100</v>
      </c>
      <c r="C15">
        <v>10</v>
      </c>
      <c r="D15">
        <v>10000</v>
      </c>
      <c r="E15">
        <v>1</v>
      </c>
      <c r="F15" t="s">
        <v>69</v>
      </c>
      <c r="G15" t="s">
        <v>70</v>
      </c>
      <c r="H15" s="2">
        <v>15</v>
      </c>
      <c r="I15" s="2">
        <v>16</v>
      </c>
      <c r="J15" s="2">
        <v>16</v>
      </c>
      <c r="K15" s="2">
        <v>17</v>
      </c>
      <c r="L15" s="2">
        <v>14</v>
      </c>
      <c r="M15" s="2">
        <f t="shared" si="0"/>
        <v>14</v>
      </c>
      <c r="N15" t="e">
        <f t="shared" ca="1" si="1"/>
        <v>#NAME?</v>
      </c>
      <c r="O15" t="str">
        <f t="shared" si="2"/>
        <v>MSIG Cost</v>
      </c>
      <c r="P15" s="2">
        <f t="shared" si="3"/>
        <v>7.1428571428571423</v>
      </c>
      <c r="Q15" s="2">
        <f t="shared" si="4"/>
        <v>14.285714285714285</v>
      </c>
      <c r="R15" s="2">
        <f t="shared" si="5"/>
        <v>14.285714285714285</v>
      </c>
      <c r="S15" s="2">
        <f t="shared" si="6"/>
        <v>21.428571428571427</v>
      </c>
      <c r="T15" s="2">
        <f t="shared" si="7"/>
        <v>0</v>
      </c>
      <c r="U15" s="3" t="str">
        <f t="shared" si="8"/>
        <v/>
      </c>
      <c r="V15" s="3" t="str">
        <f t="shared" si="9"/>
        <v/>
      </c>
      <c r="W15" s="3" t="str">
        <f t="shared" si="10"/>
        <v/>
      </c>
      <c r="X15" s="3" t="str">
        <f t="shared" si="11"/>
        <v/>
      </c>
      <c r="Y15" s="3" t="str">
        <f t="shared" si="12"/>
        <v>YES</v>
      </c>
    </row>
    <row r="16" spans="1:25">
      <c r="A16" t="s">
        <v>84</v>
      </c>
      <c r="B16">
        <v>100</v>
      </c>
      <c r="C16">
        <v>10</v>
      </c>
      <c r="D16">
        <v>10000</v>
      </c>
      <c r="E16">
        <v>10</v>
      </c>
      <c r="F16" t="s">
        <v>69</v>
      </c>
      <c r="G16" t="s">
        <v>70</v>
      </c>
      <c r="H16" s="2">
        <v>348</v>
      </c>
      <c r="I16" s="2">
        <v>352</v>
      </c>
      <c r="J16" s="2">
        <v>336</v>
      </c>
      <c r="K16" s="2">
        <v>279</v>
      </c>
      <c r="L16" s="2">
        <v>203</v>
      </c>
      <c r="M16" s="2">
        <f t="shared" si="0"/>
        <v>203</v>
      </c>
      <c r="N16" t="e">
        <f t="shared" ca="1" si="1"/>
        <v>#NAME?</v>
      </c>
      <c r="O16" t="str">
        <f t="shared" si="2"/>
        <v>MSIG Cost</v>
      </c>
      <c r="P16" s="2">
        <f t="shared" si="3"/>
        <v>71.428571428571431</v>
      </c>
      <c r="Q16" s="2">
        <f t="shared" si="4"/>
        <v>73.399014778325125</v>
      </c>
      <c r="R16" s="2">
        <f t="shared" si="5"/>
        <v>65.517241379310349</v>
      </c>
      <c r="S16" s="2">
        <f t="shared" si="6"/>
        <v>37.438423645320199</v>
      </c>
      <c r="T16" s="2">
        <f t="shared" si="7"/>
        <v>0</v>
      </c>
      <c r="U16" s="3" t="str">
        <f t="shared" si="8"/>
        <v/>
      </c>
      <c r="V16" s="3" t="str">
        <f t="shared" si="9"/>
        <v/>
      </c>
      <c r="W16" s="3" t="str">
        <f t="shared" si="10"/>
        <v/>
      </c>
      <c r="X16" s="3" t="str">
        <f t="shared" si="11"/>
        <v/>
      </c>
      <c r="Y16" s="3" t="str">
        <f t="shared" si="12"/>
        <v>YES</v>
      </c>
    </row>
    <row r="17" spans="1:25">
      <c r="A17" t="s">
        <v>85</v>
      </c>
      <c r="B17">
        <v>100</v>
      </c>
      <c r="C17">
        <v>10</v>
      </c>
      <c r="D17">
        <v>10000</v>
      </c>
      <c r="E17">
        <v>10</v>
      </c>
      <c r="F17" t="s">
        <v>69</v>
      </c>
      <c r="G17" t="s">
        <v>70</v>
      </c>
      <c r="H17" s="2">
        <v>316</v>
      </c>
      <c r="I17" s="2">
        <v>322</v>
      </c>
      <c r="J17" s="2">
        <v>323</v>
      </c>
      <c r="K17" s="2">
        <v>257</v>
      </c>
      <c r="L17" s="2">
        <v>200</v>
      </c>
      <c r="M17" s="2">
        <f t="shared" si="0"/>
        <v>200</v>
      </c>
      <c r="N17" t="e">
        <f t="shared" ca="1" si="1"/>
        <v>#NAME?</v>
      </c>
      <c r="O17" t="str">
        <f t="shared" si="2"/>
        <v>MSIG Cost</v>
      </c>
      <c r="P17" s="2">
        <f t="shared" si="3"/>
        <v>57.999999999999993</v>
      </c>
      <c r="Q17" s="2">
        <f t="shared" si="4"/>
        <v>61</v>
      </c>
      <c r="R17" s="2">
        <f t="shared" si="5"/>
        <v>61.5</v>
      </c>
      <c r="S17" s="2">
        <f t="shared" si="6"/>
        <v>28.499999999999996</v>
      </c>
      <c r="T17" s="2">
        <f t="shared" si="7"/>
        <v>0</v>
      </c>
      <c r="U17" s="3" t="str">
        <f t="shared" si="8"/>
        <v/>
      </c>
      <c r="V17" s="3" t="str">
        <f t="shared" si="9"/>
        <v/>
      </c>
      <c r="W17" s="3" t="str">
        <f t="shared" si="10"/>
        <v/>
      </c>
      <c r="X17" s="3" t="str">
        <f t="shared" si="11"/>
        <v/>
      </c>
      <c r="Y17" s="3" t="str">
        <f t="shared" si="12"/>
        <v>YES</v>
      </c>
    </row>
    <row r="18" spans="1:25">
      <c r="A18" t="s">
        <v>86</v>
      </c>
      <c r="B18">
        <v>100</v>
      </c>
      <c r="C18">
        <v>5</v>
      </c>
      <c r="D18">
        <v>10000</v>
      </c>
      <c r="E18">
        <v>1</v>
      </c>
      <c r="F18" t="s">
        <v>69</v>
      </c>
      <c r="G18" t="s">
        <v>70</v>
      </c>
      <c r="H18" s="2">
        <v>37</v>
      </c>
      <c r="I18" s="2">
        <v>37</v>
      </c>
      <c r="J18" s="2">
        <v>37</v>
      </c>
      <c r="K18" s="2">
        <v>31</v>
      </c>
      <c r="L18" s="2">
        <v>30</v>
      </c>
      <c r="M18" s="2">
        <f t="shared" si="0"/>
        <v>30</v>
      </c>
      <c r="N18" t="e">
        <f t="shared" ca="1" si="1"/>
        <v>#NAME?</v>
      </c>
      <c r="O18" t="str">
        <f t="shared" si="2"/>
        <v>MSIG Cost</v>
      </c>
      <c r="P18" s="2">
        <f t="shared" si="3"/>
        <v>23.333333333333332</v>
      </c>
      <c r="Q18" s="2">
        <f t="shared" si="4"/>
        <v>23.333333333333332</v>
      </c>
      <c r="R18" s="2">
        <f t="shared" si="5"/>
        <v>23.333333333333332</v>
      </c>
      <c r="S18" s="2">
        <f t="shared" si="6"/>
        <v>3.3333333333333335</v>
      </c>
      <c r="T18" s="2">
        <f t="shared" si="7"/>
        <v>0</v>
      </c>
      <c r="U18" s="3" t="str">
        <f t="shared" si="8"/>
        <v/>
      </c>
      <c r="V18" s="3" t="str">
        <f t="shared" si="9"/>
        <v/>
      </c>
      <c r="W18" s="3" t="str">
        <f t="shared" si="10"/>
        <v/>
      </c>
      <c r="X18" s="3" t="str">
        <f t="shared" si="11"/>
        <v/>
      </c>
      <c r="Y18" s="3" t="str">
        <f t="shared" si="12"/>
        <v>YES</v>
      </c>
    </row>
    <row r="19" spans="1:25">
      <c r="A19" t="s">
        <v>87</v>
      </c>
      <c r="B19">
        <v>100</v>
      </c>
      <c r="C19">
        <v>5</v>
      </c>
      <c r="D19">
        <v>10000</v>
      </c>
      <c r="E19">
        <v>1</v>
      </c>
      <c r="F19" t="s">
        <v>69</v>
      </c>
      <c r="G19" t="s">
        <v>70</v>
      </c>
      <c r="H19" s="2">
        <v>35</v>
      </c>
      <c r="I19" s="2">
        <v>35</v>
      </c>
      <c r="J19" s="2">
        <v>36</v>
      </c>
      <c r="K19" s="2">
        <v>31</v>
      </c>
      <c r="L19" s="2">
        <v>31</v>
      </c>
      <c r="M19" s="2">
        <f t="shared" si="0"/>
        <v>31</v>
      </c>
      <c r="N19" t="e">
        <f t="shared" ca="1" si="1"/>
        <v>#NAME?</v>
      </c>
      <c r="O19" t="str">
        <f t="shared" si="2"/>
        <v/>
      </c>
      <c r="P19" s="2">
        <f t="shared" si="3"/>
        <v>12.903225806451612</v>
      </c>
      <c r="Q19" s="2">
        <f t="shared" si="4"/>
        <v>12.903225806451612</v>
      </c>
      <c r="R19" s="2">
        <f t="shared" si="5"/>
        <v>16.129032258064516</v>
      </c>
      <c r="S19" s="2">
        <f t="shared" si="6"/>
        <v>0</v>
      </c>
      <c r="T19" s="2">
        <f t="shared" si="7"/>
        <v>0</v>
      </c>
      <c r="U19" s="3" t="str">
        <f t="shared" si="8"/>
        <v/>
      </c>
      <c r="V19" s="3" t="str">
        <f t="shared" si="9"/>
        <v/>
      </c>
      <c r="W19" s="3" t="str">
        <f t="shared" si="10"/>
        <v/>
      </c>
      <c r="X19" s="3" t="str">
        <f t="shared" si="11"/>
        <v>YES</v>
      </c>
      <c r="Y19" s="3" t="str">
        <f t="shared" si="12"/>
        <v>YES</v>
      </c>
    </row>
    <row r="20" spans="1:25">
      <c r="A20" t="s">
        <v>88</v>
      </c>
      <c r="B20">
        <v>100</v>
      </c>
      <c r="C20">
        <v>5</v>
      </c>
      <c r="D20">
        <v>10000</v>
      </c>
      <c r="E20">
        <v>10</v>
      </c>
      <c r="F20" t="s">
        <v>69</v>
      </c>
      <c r="G20" t="s">
        <v>70</v>
      </c>
      <c r="H20" s="2">
        <v>566</v>
      </c>
      <c r="I20" s="2">
        <v>574</v>
      </c>
      <c r="J20" s="2">
        <v>569</v>
      </c>
      <c r="K20" s="2">
        <v>433</v>
      </c>
      <c r="L20" s="2">
        <v>389</v>
      </c>
      <c r="M20" s="2">
        <f t="shared" si="0"/>
        <v>389</v>
      </c>
      <c r="N20" t="e">
        <f t="shared" ca="1" si="1"/>
        <v>#NAME?</v>
      </c>
      <c r="O20" t="str">
        <f t="shared" si="2"/>
        <v>MSIG Cost</v>
      </c>
      <c r="P20" s="2">
        <f t="shared" si="3"/>
        <v>45.501285347043705</v>
      </c>
      <c r="Q20" s="2">
        <f t="shared" si="4"/>
        <v>47.55784061696658</v>
      </c>
      <c r="R20" s="2">
        <f t="shared" si="5"/>
        <v>46.272493573264782</v>
      </c>
      <c r="S20" s="2">
        <f t="shared" si="6"/>
        <v>11.311053984575835</v>
      </c>
      <c r="T20" s="2">
        <f t="shared" si="7"/>
        <v>0</v>
      </c>
      <c r="U20" s="3" t="str">
        <f t="shared" si="8"/>
        <v/>
      </c>
      <c r="V20" s="3" t="str">
        <f t="shared" si="9"/>
        <v/>
      </c>
      <c r="W20" s="3" t="str">
        <f t="shared" si="10"/>
        <v/>
      </c>
      <c r="X20" s="3" t="str">
        <f t="shared" si="11"/>
        <v/>
      </c>
      <c r="Y20" s="3" t="str">
        <f t="shared" si="12"/>
        <v>YES</v>
      </c>
    </row>
    <row r="21" spans="1:25">
      <c r="A21" t="s">
        <v>89</v>
      </c>
      <c r="B21">
        <v>100</v>
      </c>
      <c r="C21">
        <v>5</v>
      </c>
      <c r="D21">
        <v>10000</v>
      </c>
      <c r="E21">
        <v>10</v>
      </c>
      <c r="F21" t="s">
        <v>69</v>
      </c>
      <c r="G21" t="s">
        <v>70</v>
      </c>
      <c r="H21" s="2">
        <v>605</v>
      </c>
      <c r="I21" s="2">
        <v>610</v>
      </c>
      <c r="J21" s="2">
        <v>601</v>
      </c>
      <c r="K21" s="2">
        <v>394</v>
      </c>
      <c r="L21" s="2">
        <v>421</v>
      </c>
      <c r="M21" s="2">
        <f t="shared" si="0"/>
        <v>394</v>
      </c>
      <c r="N21" t="e">
        <f t="shared" ca="1" si="1"/>
        <v>#NAME?</v>
      </c>
      <c r="O21" t="str">
        <f t="shared" si="2"/>
        <v>Best C-TP Cost</v>
      </c>
      <c r="P21" s="2">
        <f t="shared" si="3"/>
        <v>53.55329949238579</v>
      </c>
      <c r="Q21" s="2">
        <f t="shared" si="4"/>
        <v>54.82233502538071</v>
      </c>
      <c r="R21" s="2">
        <f t="shared" si="5"/>
        <v>52.538071065989847</v>
      </c>
      <c r="S21" s="2">
        <f t="shared" si="6"/>
        <v>0</v>
      </c>
      <c r="T21" s="2">
        <f t="shared" si="7"/>
        <v>6.8527918781725887</v>
      </c>
      <c r="U21" s="3" t="str">
        <f t="shared" si="8"/>
        <v/>
      </c>
      <c r="V21" s="3" t="str">
        <f t="shared" si="9"/>
        <v/>
      </c>
      <c r="W21" s="3" t="str">
        <f t="shared" si="10"/>
        <v/>
      </c>
      <c r="X21" s="3" t="str">
        <f t="shared" si="11"/>
        <v>YES</v>
      </c>
      <c r="Y21" s="3" t="str">
        <f t="shared" si="12"/>
        <v/>
      </c>
    </row>
    <row r="22" spans="1:25">
      <c r="A22" t="s">
        <v>90</v>
      </c>
      <c r="B22">
        <v>100</v>
      </c>
      <c r="C22">
        <v>5</v>
      </c>
      <c r="D22">
        <v>10000</v>
      </c>
      <c r="E22">
        <v>1</v>
      </c>
      <c r="F22" t="s">
        <v>91</v>
      </c>
      <c r="G22" t="s">
        <v>70</v>
      </c>
      <c r="H22" s="2">
        <v>29</v>
      </c>
      <c r="I22" s="2">
        <v>29</v>
      </c>
      <c r="J22" s="2">
        <v>30</v>
      </c>
      <c r="K22" s="2">
        <v>28</v>
      </c>
      <c r="L22" s="2">
        <v>27</v>
      </c>
      <c r="M22" s="2">
        <f t="shared" si="0"/>
        <v>27</v>
      </c>
      <c r="N22" t="e">
        <f t="shared" ca="1" si="1"/>
        <v>#NAME?</v>
      </c>
      <c r="O22" t="str">
        <f t="shared" si="2"/>
        <v>MSIG Cost</v>
      </c>
      <c r="P22" s="2">
        <f t="shared" si="3"/>
        <v>7.4074074074074066</v>
      </c>
      <c r="Q22" s="2">
        <f t="shared" si="4"/>
        <v>7.4074074074074066</v>
      </c>
      <c r="R22" s="2">
        <f t="shared" si="5"/>
        <v>11.111111111111111</v>
      </c>
      <c r="S22" s="2">
        <f t="shared" si="6"/>
        <v>3.7037037037037033</v>
      </c>
      <c r="T22" s="2">
        <f t="shared" si="7"/>
        <v>0</v>
      </c>
      <c r="U22" s="3" t="str">
        <f t="shared" si="8"/>
        <v/>
      </c>
      <c r="V22" s="3" t="str">
        <f t="shared" si="9"/>
        <v/>
      </c>
      <c r="W22" s="3" t="str">
        <f t="shared" si="10"/>
        <v/>
      </c>
      <c r="X22" s="3" t="str">
        <f t="shared" si="11"/>
        <v/>
      </c>
      <c r="Y22" s="3" t="str">
        <f t="shared" si="12"/>
        <v>YES</v>
      </c>
    </row>
    <row r="23" spans="1:25">
      <c r="A23" t="s">
        <v>92</v>
      </c>
      <c r="B23">
        <v>100</v>
      </c>
      <c r="C23">
        <v>5</v>
      </c>
      <c r="D23">
        <v>10000</v>
      </c>
      <c r="E23">
        <v>1</v>
      </c>
      <c r="F23" t="s">
        <v>69</v>
      </c>
      <c r="G23" t="s">
        <v>70</v>
      </c>
      <c r="H23" s="2">
        <v>28</v>
      </c>
      <c r="I23" s="2">
        <v>28</v>
      </c>
      <c r="J23" s="2">
        <v>28</v>
      </c>
      <c r="K23" s="2">
        <v>28</v>
      </c>
      <c r="L23" s="2">
        <v>27</v>
      </c>
      <c r="M23" s="2">
        <f t="shared" si="0"/>
        <v>27</v>
      </c>
      <c r="N23" t="e">
        <f t="shared" ca="1" si="1"/>
        <v>#NAME?</v>
      </c>
      <c r="O23" t="str">
        <f t="shared" si="2"/>
        <v>MSIG Cost</v>
      </c>
      <c r="P23" s="2">
        <f t="shared" si="3"/>
        <v>3.7037037037037033</v>
      </c>
      <c r="Q23" s="2">
        <f t="shared" si="4"/>
        <v>3.7037037037037033</v>
      </c>
      <c r="R23" s="2">
        <f t="shared" si="5"/>
        <v>3.7037037037037033</v>
      </c>
      <c r="S23" s="2">
        <f t="shared" si="6"/>
        <v>3.7037037037037033</v>
      </c>
      <c r="T23" s="2">
        <f t="shared" si="7"/>
        <v>0</v>
      </c>
      <c r="U23" s="3" t="str">
        <f t="shared" si="8"/>
        <v/>
      </c>
      <c r="V23" s="3" t="str">
        <f t="shared" si="9"/>
        <v/>
      </c>
      <c r="W23" s="3" t="str">
        <f t="shared" si="10"/>
        <v/>
      </c>
      <c r="X23" s="3" t="str">
        <f t="shared" si="11"/>
        <v/>
      </c>
      <c r="Y23" s="3" t="str">
        <f t="shared" si="12"/>
        <v>YES</v>
      </c>
    </row>
    <row r="24" spans="1:25">
      <c r="A24" t="s">
        <v>93</v>
      </c>
      <c r="B24">
        <v>100</v>
      </c>
      <c r="C24">
        <v>5</v>
      </c>
      <c r="D24">
        <v>10000</v>
      </c>
      <c r="E24">
        <v>10</v>
      </c>
      <c r="F24" t="s">
        <v>69</v>
      </c>
      <c r="G24" t="s">
        <v>70</v>
      </c>
      <c r="H24" s="2">
        <v>489</v>
      </c>
      <c r="I24" s="2">
        <v>494</v>
      </c>
      <c r="J24" s="2">
        <v>505</v>
      </c>
      <c r="K24" s="2">
        <v>395</v>
      </c>
      <c r="L24" s="2">
        <v>340</v>
      </c>
      <c r="M24" s="2">
        <f t="shared" si="0"/>
        <v>340</v>
      </c>
      <c r="N24" t="e">
        <f t="shared" ca="1" si="1"/>
        <v>#NAME?</v>
      </c>
      <c r="O24" t="str">
        <f t="shared" si="2"/>
        <v>MSIG Cost</v>
      </c>
      <c r="P24" s="2">
        <f t="shared" si="3"/>
        <v>43.823529411764703</v>
      </c>
      <c r="Q24" s="2">
        <f t="shared" si="4"/>
        <v>45.294117647058826</v>
      </c>
      <c r="R24" s="2">
        <f t="shared" si="5"/>
        <v>48.529411764705884</v>
      </c>
      <c r="S24" s="2">
        <f t="shared" si="6"/>
        <v>16.176470588235293</v>
      </c>
      <c r="T24" s="2">
        <f t="shared" si="7"/>
        <v>0</v>
      </c>
      <c r="U24" s="3" t="str">
        <f t="shared" si="8"/>
        <v/>
      </c>
      <c r="V24" s="3" t="str">
        <f t="shared" si="9"/>
        <v/>
      </c>
      <c r="W24" s="3" t="str">
        <f t="shared" si="10"/>
        <v/>
      </c>
      <c r="X24" s="3" t="str">
        <f t="shared" si="11"/>
        <v/>
      </c>
      <c r="Y24" s="3" t="str">
        <f t="shared" si="12"/>
        <v>YES</v>
      </c>
    </row>
    <row r="25" spans="1:25">
      <c r="A25" t="s">
        <v>94</v>
      </c>
      <c r="B25">
        <v>100</v>
      </c>
      <c r="C25">
        <v>5</v>
      </c>
      <c r="D25">
        <v>10000</v>
      </c>
      <c r="E25">
        <v>10</v>
      </c>
      <c r="F25" t="s">
        <v>69</v>
      </c>
      <c r="G25" t="s">
        <v>70</v>
      </c>
      <c r="H25" s="2">
        <v>545</v>
      </c>
      <c r="I25" s="2">
        <v>548</v>
      </c>
      <c r="J25" s="2">
        <v>567</v>
      </c>
      <c r="K25" s="2">
        <v>357</v>
      </c>
      <c r="L25" s="2">
        <v>357</v>
      </c>
      <c r="M25" s="2">
        <f t="shared" si="0"/>
        <v>357</v>
      </c>
      <c r="N25" t="e">
        <f t="shared" ca="1" si="1"/>
        <v>#NAME?</v>
      </c>
      <c r="O25" t="str">
        <f t="shared" si="2"/>
        <v/>
      </c>
      <c r="P25" s="2">
        <f t="shared" si="3"/>
        <v>52.661064425770313</v>
      </c>
      <c r="Q25" s="2">
        <f t="shared" si="4"/>
        <v>53.501400560224091</v>
      </c>
      <c r="R25" s="2">
        <f t="shared" si="5"/>
        <v>58.82352941176471</v>
      </c>
      <c r="S25" s="2">
        <f t="shared" si="6"/>
        <v>0</v>
      </c>
      <c r="T25" s="2">
        <f t="shared" si="7"/>
        <v>0</v>
      </c>
      <c r="U25" s="3" t="str">
        <f t="shared" si="8"/>
        <v/>
      </c>
      <c r="V25" s="3" t="str">
        <f t="shared" si="9"/>
        <v/>
      </c>
      <c r="W25" s="3" t="str">
        <f t="shared" si="10"/>
        <v/>
      </c>
      <c r="X25" s="3" t="str">
        <f t="shared" si="11"/>
        <v>YES</v>
      </c>
      <c r="Y25" s="3" t="str">
        <f t="shared" si="12"/>
        <v>YES</v>
      </c>
    </row>
    <row r="26" spans="1:25">
      <c r="A26" t="s">
        <v>95</v>
      </c>
      <c r="B26">
        <v>100</v>
      </c>
      <c r="C26">
        <v>5</v>
      </c>
      <c r="D26">
        <v>10000</v>
      </c>
      <c r="E26">
        <v>1</v>
      </c>
      <c r="F26" t="s">
        <v>69</v>
      </c>
      <c r="G26" t="s">
        <v>70</v>
      </c>
      <c r="H26" s="2">
        <v>20</v>
      </c>
      <c r="I26" s="2">
        <v>20</v>
      </c>
      <c r="J26" s="2">
        <v>19</v>
      </c>
      <c r="K26" s="2">
        <v>18</v>
      </c>
      <c r="L26" s="2">
        <v>15</v>
      </c>
      <c r="M26" s="2">
        <f t="shared" si="0"/>
        <v>15</v>
      </c>
      <c r="N26" t="e">
        <f t="shared" ca="1" si="1"/>
        <v>#NAME?</v>
      </c>
      <c r="O26" t="str">
        <f t="shared" si="2"/>
        <v>MSIG Cost</v>
      </c>
      <c r="P26" s="2">
        <f t="shared" si="3"/>
        <v>33.333333333333329</v>
      </c>
      <c r="Q26" s="2">
        <f t="shared" si="4"/>
        <v>33.333333333333329</v>
      </c>
      <c r="R26" s="2">
        <f t="shared" si="5"/>
        <v>26.666666666666668</v>
      </c>
      <c r="S26" s="2">
        <f t="shared" si="6"/>
        <v>20</v>
      </c>
      <c r="T26" s="2">
        <f t="shared" si="7"/>
        <v>0</v>
      </c>
      <c r="U26" s="3" t="str">
        <f t="shared" si="8"/>
        <v/>
      </c>
      <c r="V26" s="3" t="str">
        <f t="shared" si="9"/>
        <v/>
      </c>
      <c r="W26" s="3" t="str">
        <f t="shared" si="10"/>
        <v/>
      </c>
      <c r="X26" s="3" t="str">
        <f t="shared" si="11"/>
        <v/>
      </c>
      <c r="Y26" s="3" t="str">
        <f t="shared" si="12"/>
        <v>YES</v>
      </c>
    </row>
    <row r="27" spans="1:25">
      <c r="A27" t="s">
        <v>96</v>
      </c>
      <c r="B27">
        <v>100</v>
      </c>
      <c r="C27">
        <v>5</v>
      </c>
      <c r="D27">
        <v>10000</v>
      </c>
      <c r="E27">
        <v>1</v>
      </c>
      <c r="F27" t="s">
        <v>69</v>
      </c>
      <c r="G27" t="s">
        <v>70</v>
      </c>
      <c r="H27" s="2">
        <v>19</v>
      </c>
      <c r="I27" s="2">
        <v>19</v>
      </c>
      <c r="J27" s="2">
        <v>20</v>
      </c>
      <c r="K27" s="2">
        <v>17</v>
      </c>
      <c r="L27" s="2">
        <v>15</v>
      </c>
      <c r="M27" s="2">
        <f t="shared" si="0"/>
        <v>15</v>
      </c>
      <c r="N27" t="e">
        <f t="shared" ca="1" si="1"/>
        <v>#NAME?</v>
      </c>
      <c r="O27" t="str">
        <f t="shared" si="2"/>
        <v>MSIG Cost</v>
      </c>
      <c r="P27" s="2">
        <f t="shared" si="3"/>
        <v>26.666666666666668</v>
      </c>
      <c r="Q27" s="2">
        <f t="shared" si="4"/>
        <v>26.666666666666668</v>
      </c>
      <c r="R27" s="2">
        <f t="shared" si="5"/>
        <v>33.333333333333329</v>
      </c>
      <c r="S27" s="2">
        <f t="shared" si="6"/>
        <v>13.333333333333334</v>
      </c>
      <c r="T27" s="2">
        <f t="shared" si="7"/>
        <v>0</v>
      </c>
      <c r="U27" s="3" t="str">
        <f t="shared" si="8"/>
        <v/>
      </c>
      <c r="V27" s="3" t="str">
        <f t="shared" si="9"/>
        <v/>
      </c>
      <c r="W27" s="3" t="str">
        <f t="shared" si="10"/>
        <v/>
      </c>
      <c r="X27" s="3" t="str">
        <f t="shared" si="11"/>
        <v/>
      </c>
      <c r="Y27" s="3" t="str">
        <f t="shared" si="12"/>
        <v>YES</v>
      </c>
    </row>
    <row r="28" spans="1:25">
      <c r="A28" t="s">
        <v>97</v>
      </c>
      <c r="B28">
        <v>100</v>
      </c>
      <c r="C28">
        <v>5</v>
      </c>
      <c r="D28">
        <v>10000</v>
      </c>
      <c r="E28">
        <v>10</v>
      </c>
      <c r="F28" t="s">
        <v>69</v>
      </c>
      <c r="G28" t="s">
        <v>70</v>
      </c>
      <c r="H28" s="2">
        <v>385</v>
      </c>
      <c r="I28" s="2">
        <v>406</v>
      </c>
      <c r="J28" s="2">
        <v>353</v>
      </c>
      <c r="K28" s="2">
        <v>254</v>
      </c>
      <c r="L28" s="2">
        <v>204</v>
      </c>
      <c r="M28" s="2">
        <f t="shared" si="0"/>
        <v>204</v>
      </c>
      <c r="N28" t="e">
        <f t="shared" ca="1" si="1"/>
        <v>#NAME?</v>
      </c>
      <c r="O28" t="str">
        <f t="shared" si="2"/>
        <v>MSIG Cost</v>
      </c>
      <c r="P28" s="2">
        <f t="shared" si="3"/>
        <v>88.725490196078425</v>
      </c>
      <c r="Q28" s="2">
        <f t="shared" si="4"/>
        <v>99.019607843137265</v>
      </c>
      <c r="R28" s="2">
        <f t="shared" si="5"/>
        <v>73.039215686274503</v>
      </c>
      <c r="S28" s="2">
        <f t="shared" si="6"/>
        <v>24.509803921568626</v>
      </c>
      <c r="T28" s="2">
        <f t="shared" si="7"/>
        <v>0</v>
      </c>
      <c r="U28" s="3" t="str">
        <f t="shared" si="8"/>
        <v/>
      </c>
      <c r="V28" s="3" t="str">
        <f t="shared" si="9"/>
        <v/>
      </c>
      <c r="W28" s="3" t="str">
        <f t="shared" si="10"/>
        <v/>
      </c>
      <c r="X28" s="3" t="str">
        <f t="shared" si="11"/>
        <v/>
      </c>
      <c r="Y28" s="3" t="str">
        <f t="shared" si="12"/>
        <v>YES</v>
      </c>
    </row>
    <row r="29" spans="1:25">
      <c r="A29" t="s">
        <v>98</v>
      </c>
      <c r="B29">
        <v>100</v>
      </c>
      <c r="C29">
        <v>5</v>
      </c>
      <c r="D29">
        <v>10000</v>
      </c>
      <c r="E29">
        <v>10</v>
      </c>
      <c r="F29" t="s">
        <v>69</v>
      </c>
      <c r="G29" t="s">
        <v>70</v>
      </c>
      <c r="H29" s="2">
        <v>353</v>
      </c>
      <c r="I29" s="2">
        <v>378</v>
      </c>
      <c r="J29" s="2">
        <v>346</v>
      </c>
      <c r="K29" s="2">
        <v>249</v>
      </c>
      <c r="L29" s="2">
        <v>205</v>
      </c>
      <c r="M29" s="2">
        <f t="shared" si="0"/>
        <v>205</v>
      </c>
      <c r="N29" t="e">
        <f t="shared" ca="1" si="1"/>
        <v>#NAME?</v>
      </c>
      <c r="O29" t="str">
        <f t="shared" si="2"/>
        <v>MSIG Cost</v>
      </c>
      <c r="P29" s="2">
        <f t="shared" si="3"/>
        <v>72.195121951219505</v>
      </c>
      <c r="Q29" s="2">
        <f t="shared" si="4"/>
        <v>84.390243902439025</v>
      </c>
      <c r="R29" s="2">
        <f t="shared" si="5"/>
        <v>68.780487804878049</v>
      </c>
      <c r="S29" s="2">
        <f t="shared" si="6"/>
        <v>21.463414634146343</v>
      </c>
      <c r="T29" s="2">
        <f t="shared" si="7"/>
        <v>0</v>
      </c>
      <c r="U29" s="3" t="str">
        <f t="shared" si="8"/>
        <v/>
      </c>
      <c r="V29" s="3" t="str">
        <f t="shared" si="9"/>
        <v/>
      </c>
      <c r="W29" s="3" t="str">
        <f t="shared" si="10"/>
        <v/>
      </c>
      <c r="X29" s="3" t="str">
        <f t="shared" si="11"/>
        <v/>
      </c>
      <c r="Y29" s="3" t="str">
        <f t="shared" si="12"/>
        <v>YES</v>
      </c>
    </row>
    <row r="30" spans="1:25">
      <c r="A30" t="s">
        <v>99</v>
      </c>
      <c r="B30">
        <v>100</v>
      </c>
      <c r="C30">
        <v>5</v>
      </c>
      <c r="D30">
        <v>10000</v>
      </c>
      <c r="E30">
        <v>1</v>
      </c>
      <c r="F30" t="s">
        <v>69</v>
      </c>
      <c r="G30" t="s">
        <v>70</v>
      </c>
      <c r="H30" s="2">
        <v>15</v>
      </c>
      <c r="I30" s="2">
        <v>15</v>
      </c>
      <c r="J30" s="2">
        <v>14</v>
      </c>
      <c r="K30" s="2">
        <v>17</v>
      </c>
      <c r="L30" s="2">
        <v>13</v>
      </c>
      <c r="M30" s="2">
        <f t="shared" si="0"/>
        <v>13</v>
      </c>
      <c r="N30" t="e">
        <f t="shared" ca="1" si="1"/>
        <v>#NAME?</v>
      </c>
      <c r="O30" t="str">
        <f t="shared" si="2"/>
        <v>MSIG Cost</v>
      </c>
      <c r="P30" s="2">
        <f t="shared" si="3"/>
        <v>15.384615384615385</v>
      </c>
      <c r="Q30" s="2">
        <f t="shared" si="4"/>
        <v>15.384615384615385</v>
      </c>
      <c r="R30" s="2">
        <f t="shared" si="5"/>
        <v>7.6923076923076925</v>
      </c>
      <c r="S30" s="2">
        <f t="shared" si="6"/>
        <v>30.76923076923077</v>
      </c>
      <c r="T30" s="2">
        <f t="shared" si="7"/>
        <v>0</v>
      </c>
      <c r="U30" s="3" t="str">
        <f t="shared" si="8"/>
        <v/>
      </c>
      <c r="V30" s="3" t="str">
        <f t="shared" si="9"/>
        <v/>
      </c>
      <c r="W30" s="3" t="str">
        <f t="shared" si="10"/>
        <v/>
      </c>
      <c r="X30" s="3" t="str">
        <f t="shared" si="11"/>
        <v/>
      </c>
      <c r="Y30" s="3" t="str">
        <f t="shared" si="12"/>
        <v>YES</v>
      </c>
    </row>
    <row r="31" spans="1:25">
      <c r="A31" t="s">
        <v>100</v>
      </c>
      <c r="B31">
        <v>100</v>
      </c>
      <c r="C31">
        <v>5</v>
      </c>
      <c r="D31">
        <v>10000</v>
      </c>
      <c r="E31">
        <v>1</v>
      </c>
      <c r="F31" t="s">
        <v>91</v>
      </c>
      <c r="G31" t="s">
        <v>70</v>
      </c>
      <c r="H31" s="2">
        <v>14</v>
      </c>
      <c r="I31" s="2">
        <v>14</v>
      </c>
      <c r="J31" s="2">
        <v>14</v>
      </c>
      <c r="K31" s="2">
        <v>17</v>
      </c>
      <c r="L31" s="2">
        <v>13</v>
      </c>
      <c r="M31" s="2">
        <f t="shared" si="0"/>
        <v>13</v>
      </c>
      <c r="N31" t="e">
        <f t="shared" ca="1" si="1"/>
        <v>#NAME?</v>
      </c>
      <c r="O31" t="str">
        <f t="shared" si="2"/>
        <v>MSIG Cost</v>
      </c>
      <c r="P31" s="2">
        <f t="shared" si="3"/>
        <v>7.6923076923076925</v>
      </c>
      <c r="Q31" s="2">
        <f t="shared" si="4"/>
        <v>7.6923076923076925</v>
      </c>
      <c r="R31" s="2">
        <f t="shared" si="5"/>
        <v>7.6923076923076925</v>
      </c>
      <c r="S31" s="2">
        <f t="shared" si="6"/>
        <v>30.76923076923077</v>
      </c>
      <c r="T31" s="2">
        <f t="shared" si="7"/>
        <v>0</v>
      </c>
      <c r="U31" s="3" t="str">
        <f t="shared" si="8"/>
        <v/>
      </c>
      <c r="V31" s="3" t="str">
        <f t="shared" si="9"/>
        <v/>
      </c>
      <c r="W31" s="3" t="str">
        <f t="shared" si="10"/>
        <v/>
      </c>
      <c r="X31" s="3" t="str">
        <f t="shared" si="11"/>
        <v/>
      </c>
      <c r="Y31" s="3" t="str">
        <f t="shared" si="12"/>
        <v>YES</v>
      </c>
    </row>
    <row r="32" spans="1:25">
      <c r="A32" t="s">
        <v>101</v>
      </c>
      <c r="B32">
        <v>100</v>
      </c>
      <c r="C32">
        <v>5</v>
      </c>
      <c r="D32">
        <v>10000</v>
      </c>
      <c r="E32">
        <v>10</v>
      </c>
      <c r="F32" t="s">
        <v>69</v>
      </c>
      <c r="G32" t="s">
        <v>70</v>
      </c>
      <c r="H32" s="2">
        <v>320</v>
      </c>
      <c r="I32" s="2">
        <v>315</v>
      </c>
      <c r="J32" s="2">
        <v>306</v>
      </c>
      <c r="K32" s="2">
        <v>255</v>
      </c>
      <c r="L32" s="2">
        <v>186</v>
      </c>
      <c r="M32" s="2">
        <f t="shared" si="0"/>
        <v>186</v>
      </c>
      <c r="N32" t="e">
        <f t="shared" ca="1" si="1"/>
        <v>#NAME?</v>
      </c>
      <c r="O32" t="str">
        <f t="shared" si="2"/>
        <v>MSIG Cost</v>
      </c>
      <c r="P32" s="2">
        <f t="shared" si="3"/>
        <v>72.043010752688176</v>
      </c>
      <c r="Q32" s="2">
        <f t="shared" si="4"/>
        <v>69.354838709677423</v>
      </c>
      <c r="R32" s="2">
        <f t="shared" si="5"/>
        <v>64.516129032258064</v>
      </c>
      <c r="S32" s="2">
        <f t="shared" si="6"/>
        <v>37.096774193548384</v>
      </c>
      <c r="T32" s="2">
        <f t="shared" si="7"/>
        <v>0</v>
      </c>
      <c r="U32" s="3" t="str">
        <f t="shared" si="8"/>
        <v/>
      </c>
      <c r="V32" s="3" t="str">
        <f t="shared" si="9"/>
        <v/>
      </c>
      <c r="W32" s="3" t="str">
        <f t="shared" si="10"/>
        <v/>
      </c>
      <c r="X32" s="3" t="str">
        <f t="shared" si="11"/>
        <v/>
      </c>
      <c r="Y32" s="3" t="str">
        <f t="shared" si="12"/>
        <v>YES</v>
      </c>
    </row>
    <row r="33" spans="1:25">
      <c r="A33" t="s">
        <v>102</v>
      </c>
      <c r="B33">
        <v>100</v>
      </c>
      <c r="C33">
        <v>5</v>
      </c>
      <c r="D33">
        <v>10000</v>
      </c>
      <c r="E33">
        <v>10</v>
      </c>
      <c r="F33" t="s">
        <v>91</v>
      </c>
      <c r="G33" t="s">
        <v>70</v>
      </c>
      <c r="H33" s="2">
        <v>302</v>
      </c>
      <c r="I33" s="2">
        <v>301</v>
      </c>
      <c r="J33" s="2">
        <v>326</v>
      </c>
      <c r="K33" s="2">
        <v>239</v>
      </c>
      <c r="L33" s="2">
        <v>191</v>
      </c>
      <c r="M33" s="2">
        <f t="shared" si="0"/>
        <v>191</v>
      </c>
      <c r="N33" t="e">
        <f t="shared" ca="1" si="1"/>
        <v>#NAME?</v>
      </c>
      <c r="O33" t="str">
        <f t="shared" si="2"/>
        <v>MSIG Cost</v>
      </c>
      <c r="P33" s="2">
        <f t="shared" si="3"/>
        <v>58.1151832460733</v>
      </c>
      <c r="Q33" s="2">
        <f t="shared" si="4"/>
        <v>57.591623036649217</v>
      </c>
      <c r="R33" s="2">
        <f t="shared" si="5"/>
        <v>70.680628272251312</v>
      </c>
      <c r="S33" s="2">
        <f t="shared" si="6"/>
        <v>25.130890052356019</v>
      </c>
      <c r="T33" s="2">
        <f t="shared" si="7"/>
        <v>0</v>
      </c>
      <c r="U33" s="3" t="str">
        <f t="shared" si="8"/>
        <v/>
      </c>
      <c r="V33" s="3" t="str">
        <f t="shared" si="9"/>
        <v/>
      </c>
      <c r="W33" s="3" t="str">
        <f t="shared" si="10"/>
        <v/>
      </c>
      <c r="X33" s="3" t="str">
        <f t="shared" si="11"/>
        <v/>
      </c>
      <c r="Y33" s="3" t="str">
        <f t="shared" si="12"/>
        <v>YES</v>
      </c>
    </row>
    <row r="34" spans="1:25">
      <c r="A34" t="s">
        <v>103</v>
      </c>
      <c r="B34">
        <v>200</v>
      </c>
      <c r="C34">
        <v>10</v>
      </c>
      <c r="D34">
        <v>10000</v>
      </c>
      <c r="E34">
        <v>1</v>
      </c>
      <c r="F34" t="s">
        <v>69</v>
      </c>
      <c r="G34" t="s">
        <v>70</v>
      </c>
      <c r="H34" s="2">
        <v>73</v>
      </c>
      <c r="I34" s="2">
        <v>72</v>
      </c>
      <c r="J34" s="2">
        <v>73</v>
      </c>
      <c r="K34" s="2">
        <v>60</v>
      </c>
      <c r="L34" s="2">
        <v>60</v>
      </c>
      <c r="M34" s="2">
        <f t="shared" si="0"/>
        <v>60</v>
      </c>
      <c r="N34" t="e">
        <f t="shared" ca="1" si="1"/>
        <v>#NAME?</v>
      </c>
      <c r="O34" t="str">
        <f t="shared" si="2"/>
        <v/>
      </c>
      <c r="P34" s="2">
        <f t="shared" si="3"/>
        <v>21.666666666666668</v>
      </c>
      <c r="Q34" s="2">
        <f t="shared" si="4"/>
        <v>20</v>
      </c>
      <c r="R34" s="2">
        <f t="shared" si="5"/>
        <v>21.666666666666668</v>
      </c>
      <c r="S34" s="2">
        <f t="shared" si="6"/>
        <v>0</v>
      </c>
      <c r="T34" s="2">
        <f t="shared" si="7"/>
        <v>0</v>
      </c>
      <c r="U34" s="3" t="str">
        <f t="shared" si="8"/>
        <v/>
      </c>
      <c r="V34" s="3" t="str">
        <f t="shared" si="9"/>
        <v/>
      </c>
      <c r="W34" s="3" t="str">
        <f t="shared" si="10"/>
        <v/>
      </c>
      <c r="X34" s="3" t="str">
        <f t="shared" si="11"/>
        <v>YES</v>
      </c>
      <c r="Y34" s="3" t="str">
        <f t="shared" si="12"/>
        <v>YES</v>
      </c>
    </row>
    <row r="35" spans="1:25">
      <c r="A35" t="s">
        <v>104</v>
      </c>
      <c r="B35">
        <v>200</v>
      </c>
      <c r="C35">
        <v>10</v>
      </c>
      <c r="D35">
        <v>10000</v>
      </c>
      <c r="E35">
        <v>1</v>
      </c>
      <c r="F35" t="s">
        <v>69</v>
      </c>
      <c r="G35" t="s">
        <v>70</v>
      </c>
      <c r="H35" s="2">
        <v>68</v>
      </c>
      <c r="I35" s="2">
        <v>67</v>
      </c>
      <c r="J35" s="2">
        <v>69</v>
      </c>
      <c r="K35" s="2">
        <v>60</v>
      </c>
      <c r="L35" s="2">
        <v>59</v>
      </c>
      <c r="M35" s="2">
        <f t="shared" si="0"/>
        <v>59</v>
      </c>
      <c r="N35" t="e">
        <f t="shared" ca="1" si="1"/>
        <v>#NAME?</v>
      </c>
      <c r="O35" t="str">
        <f t="shared" si="2"/>
        <v>MSIG Cost</v>
      </c>
      <c r="P35" s="2">
        <f t="shared" si="3"/>
        <v>15.254237288135593</v>
      </c>
      <c r="Q35" s="2">
        <f t="shared" si="4"/>
        <v>13.559322033898304</v>
      </c>
      <c r="R35" s="2">
        <f t="shared" si="5"/>
        <v>16.949152542372879</v>
      </c>
      <c r="S35" s="2">
        <f t="shared" si="6"/>
        <v>1.6949152542372881</v>
      </c>
      <c r="T35" s="2">
        <f t="shared" si="7"/>
        <v>0</v>
      </c>
      <c r="U35" s="3" t="str">
        <f t="shared" si="8"/>
        <v/>
      </c>
      <c r="V35" s="3" t="str">
        <f t="shared" si="9"/>
        <v/>
      </c>
      <c r="W35" s="3" t="str">
        <f t="shared" si="10"/>
        <v/>
      </c>
      <c r="X35" s="3" t="str">
        <f t="shared" si="11"/>
        <v/>
      </c>
      <c r="Y35" s="3" t="str">
        <f t="shared" si="12"/>
        <v>YES</v>
      </c>
    </row>
    <row r="36" spans="1:25">
      <c r="A36" t="s">
        <v>105</v>
      </c>
      <c r="B36">
        <v>200</v>
      </c>
      <c r="C36">
        <v>10</v>
      </c>
      <c r="D36">
        <v>10000</v>
      </c>
      <c r="E36">
        <v>10</v>
      </c>
      <c r="F36" t="s">
        <v>69</v>
      </c>
      <c r="G36" t="s">
        <v>70</v>
      </c>
      <c r="H36" s="2">
        <v>962</v>
      </c>
      <c r="I36" s="2">
        <v>975</v>
      </c>
      <c r="J36" s="2">
        <v>983</v>
      </c>
      <c r="K36" s="2">
        <v>819</v>
      </c>
      <c r="L36" s="2">
        <v>680</v>
      </c>
      <c r="M36" s="2">
        <f t="shared" si="0"/>
        <v>680</v>
      </c>
      <c r="N36" t="e">
        <f t="shared" ca="1" si="1"/>
        <v>#NAME?</v>
      </c>
      <c r="O36" t="str">
        <f t="shared" si="2"/>
        <v>MSIG Cost</v>
      </c>
      <c r="P36" s="2">
        <f t="shared" si="3"/>
        <v>41.470588235294123</v>
      </c>
      <c r="Q36" s="2">
        <f t="shared" si="4"/>
        <v>43.382352941176471</v>
      </c>
      <c r="R36" s="2">
        <f t="shared" si="5"/>
        <v>44.558823529411768</v>
      </c>
      <c r="S36" s="2">
        <f t="shared" si="6"/>
        <v>20.441176470588236</v>
      </c>
      <c r="T36" s="2">
        <f t="shared" si="7"/>
        <v>0</v>
      </c>
      <c r="U36" s="3" t="str">
        <f t="shared" si="8"/>
        <v/>
      </c>
      <c r="V36" s="3" t="str">
        <f t="shared" si="9"/>
        <v/>
      </c>
      <c r="W36" s="3" t="str">
        <f t="shared" si="10"/>
        <v/>
      </c>
      <c r="X36" s="3" t="str">
        <f t="shared" si="11"/>
        <v/>
      </c>
      <c r="Y36" s="3" t="str">
        <f t="shared" si="12"/>
        <v>YES</v>
      </c>
    </row>
    <row r="37" spans="1:25">
      <c r="A37" t="s">
        <v>106</v>
      </c>
      <c r="B37">
        <v>200</v>
      </c>
      <c r="C37">
        <v>10</v>
      </c>
      <c r="D37">
        <v>10000</v>
      </c>
      <c r="E37">
        <v>10</v>
      </c>
      <c r="F37" t="s">
        <v>69</v>
      </c>
      <c r="G37" t="s">
        <v>70</v>
      </c>
      <c r="H37" s="2">
        <v>1063</v>
      </c>
      <c r="I37" s="2">
        <v>1073</v>
      </c>
      <c r="J37" s="2">
        <v>1051</v>
      </c>
      <c r="K37" s="2">
        <v>802</v>
      </c>
      <c r="L37" s="2">
        <v>736</v>
      </c>
      <c r="M37" s="2">
        <f t="shared" si="0"/>
        <v>736</v>
      </c>
      <c r="N37" t="e">
        <f t="shared" ca="1" si="1"/>
        <v>#NAME?</v>
      </c>
      <c r="O37" t="str">
        <f t="shared" si="2"/>
        <v>MSIG Cost</v>
      </c>
      <c r="P37" s="2">
        <f t="shared" si="3"/>
        <v>44.429347826086953</v>
      </c>
      <c r="Q37" s="2">
        <f t="shared" si="4"/>
        <v>45.788043478260867</v>
      </c>
      <c r="R37" s="2">
        <f t="shared" si="5"/>
        <v>42.798913043478258</v>
      </c>
      <c r="S37" s="2">
        <f t="shared" si="6"/>
        <v>8.9673913043478262</v>
      </c>
      <c r="T37" s="2">
        <f t="shared" si="7"/>
        <v>0</v>
      </c>
      <c r="U37" s="3" t="str">
        <f t="shared" si="8"/>
        <v/>
      </c>
      <c r="V37" s="3" t="str">
        <f t="shared" si="9"/>
        <v/>
      </c>
      <c r="W37" s="3" t="str">
        <f t="shared" si="10"/>
        <v/>
      </c>
      <c r="X37" s="3" t="str">
        <f t="shared" si="11"/>
        <v/>
      </c>
      <c r="Y37" s="3" t="str">
        <f t="shared" si="12"/>
        <v>YES</v>
      </c>
    </row>
    <row r="38" spans="1:25">
      <c r="A38" t="s">
        <v>107</v>
      </c>
      <c r="B38">
        <v>200</v>
      </c>
      <c r="C38">
        <v>10</v>
      </c>
      <c r="D38">
        <v>10000</v>
      </c>
      <c r="E38">
        <v>1</v>
      </c>
      <c r="F38" t="s">
        <v>69</v>
      </c>
      <c r="G38" t="s">
        <v>70</v>
      </c>
      <c r="H38" s="2">
        <v>58</v>
      </c>
      <c r="I38" s="2">
        <v>58</v>
      </c>
      <c r="J38" s="2">
        <v>58</v>
      </c>
      <c r="K38" s="2">
        <v>54</v>
      </c>
      <c r="L38" s="2">
        <v>53</v>
      </c>
      <c r="M38" s="2">
        <f t="shared" si="0"/>
        <v>53</v>
      </c>
      <c r="N38" t="e">
        <f t="shared" ca="1" si="1"/>
        <v>#NAME?</v>
      </c>
      <c r="O38" t="str">
        <f t="shared" si="2"/>
        <v>MSIG Cost</v>
      </c>
      <c r="P38" s="2">
        <f t="shared" si="3"/>
        <v>9.433962264150944</v>
      </c>
      <c r="Q38" s="2">
        <f t="shared" si="4"/>
        <v>9.433962264150944</v>
      </c>
      <c r="R38" s="2">
        <f t="shared" si="5"/>
        <v>9.433962264150944</v>
      </c>
      <c r="S38" s="2">
        <f t="shared" si="6"/>
        <v>1.8867924528301887</v>
      </c>
      <c r="T38" s="2">
        <f t="shared" si="7"/>
        <v>0</v>
      </c>
      <c r="U38" s="3" t="str">
        <f t="shared" si="8"/>
        <v/>
      </c>
      <c r="V38" s="3" t="str">
        <f t="shared" si="9"/>
        <v/>
      </c>
      <c r="W38" s="3" t="str">
        <f t="shared" si="10"/>
        <v/>
      </c>
      <c r="X38" s="3" t="str">
        <f t="shared" si="11"/>
        <v/>
      </c>
      <c r="Y38" s="3" t="str">
        <f t="shared" si="12"/>
        <v>YES</v>
      </c>
    </row>
    <row r="39" spans="1:25">
      <c r="A39" t="s">
        <v>108</v>
      </c>
      <c r="B39">
        <v>200</v>
      </c>
      <c r="C39">
        <v>10</v>
      </c>
      <c r="D39">
        <v>10000</v>
      </c>
      <c r="E39">
        <v>1</v>
      </c>
      <c r="F39" t="s">
        <v>69</v>
      </c>
      <c r="G39" t="s">
        <v>70</v>
      </c>
      <c r="H39" s="2">
        <v>57</v>
      </c>
      <c r="I39" s="2">
        <v>57</v>
      </c>
      <c r="J39" s="2">
        <v>57</v>
      </c>
      <c r="K39" s="2">
        <v>53</v>
      </c>
      <c r="L39" s="2">
        <v>53</v>
      </c>
      <c r="M39" s="2">
        <f t="shared" si="0"/>
        <v>53</v>
      </c>
      <c r="N39" t="e">
        <f t="shared" ca="1" si="1"/>
        <v>#NAME?</v>
      </c>
      <c r="O39" t="str">
        <f t="shared" si="2"/>
        <v/>
      </c>
      <c r="P39" s="2">
        <f t="shared" si="3"/>
        <v>7.5471698113207548</v>
      </c>
      <c r="Q39" s="2">
        <f t="shared" si="4"/>
        <v>7.5471698113207548</v>
      </c>
      <c r="R39" s="2">
        <f t="shared" si="5"/>
        <v>7.5471698113207548</v>
      </c>
      <c r="S39" s="2">
        <f t="shared" si="6"/>
        <v>0</v>
      </c>
      <c r="T39" s="2">
        <f t="shared" si="7"/>
        <v>0</v>
      </c>
      <c r="U39" s="3" t="str">
        <f t="shared" si="8"/>
        <v/>
      </c>
      <c r="V39" s="3" t="str">
        <f t="shared" si="9"/>
        <v/>
      </c>
      <c r="W39" s="3" t="str">
        <f t="shared" si="10"/>
        <v/>
      </c>
      <c r="X39" s="3" t="str">
        <f t="shared" si="11"/>
        <v>YES</v>
      </c>
      <c r="Y39" s="3" t="str">
        <f t="shared" si="12"/>
        <v>YES</v>
      </c>
    </row>
    <row r="40" spans="1:25">
      <c r="A40" t="s">
        <v>109</v>
      </c>
      <c r="B40">
        <v>200</v>
      </c>
      <c r="C40">
        <v>10</v>
      </c>
      <c r="D40">
        <v>10000</v>
      </c>
      <c r="E40">
        <v>10</v>
      </c>
      <c r="F40" t="s">
        <v>69</v>
      </c>
      <c r="G40" t="s">
        <v>70</v>
      </c>
      <c r="H40" s="2">
        <v>841</v>
      </c>
      <c r="I40" s="2">
        <v>858</v>
      </c>
      <c r="J40" s="2">
        <v>848</v>
      </c>
      <c r="K40" s="2">
        <v>759</v>
      </c>
      <c r="L40" s="2">
        <v>602</v>
      </c>
      <c r="M40" s="2">
        <f t="shared" si="0"/>
        <v>602</v>
      </c>
      <c r="N40" t="e">
        <f t="shared" ca="1" si="1"/>
        <v>#NAME?</v>
      </c>
      <c r="O40" t="str">
        <f t="shared" si="2"/>
        <v>MSIG Cost</v>
      </c>
      <c r="P40" s="2">
        <f t="shared" si="3"/>
        <v>39.700996677740861</v>
      </c>
      <c r="Q40" s="2">
        <f t="shared" si="4"/>
        <v>42.524916943521596</v>
      </c>
      <c r="R40" s="2">
        <f t="shared" si="5"/>
        <v>40.863787375415285</v>
      </c>
      <c r="S40" s="2">
        <f t="shared" si="6"/>
        <v>26.079734219269103</v>
      </c>
      <c r="T40" s="2">
        <f t="shared" si="7"/>
        <v>0</v>
      </c>
      <c r="U40" s="3" t="str">
        <f t="shared" si="8"/>
        <v/>
      </c>
      <c r="V40" s="3" t="str">
        <f t="shared" si="9"/>
        <v/>
      </c>
      <c r="W40" s="3" t="str">
        <f t="shared" si="10"/>
        <v/>
      </c>
      <c r="X40" s="3" t="str">
        <f t="shared" si="11"/>
        <v/>
      </c>
      <c r="Y40" s="3" t="str">
        <f t="shared" si="12"/>
        <v>YES</v>
      </c>
    </row>
    <row r="41" spans="1:25">
      <c r="A41" t="s">
        <v>110</v>
      </c>
      <c r="B41">
        <v>200</v>
      </c>
      <c r="C41">
        <v>10</v>
      </c>
      <c r="D41">
        <v>10000</v>
      </c>
      <c r="E41">
        <v>10</v>
      </c>
      <c r="F41" t="s">
        <v>69</v>
      </c>
      <c r="G41" t="s">
        <v>70</v>
      </c>
      <c r="H41" s="2">
        <v>1010</v>
      </c>
      <c r="I41" s="2">
        <v>1027</v>
      </c>
      <c r="J41" s="2">
        <v>1022</v>
      </c>
      <c r="K41" s="2">
        <v>723</v>
      </c>
      <c r="L41" s="2">
        <v>659</v>
      </c>
      <c r="M41" s="2">
        <f t="shared" si="0"/>
        <v>659</v>
      </c>
      <c r="N41" t="e">
        <f t="shared" ca="1" si="1"/>
        <v>#NAME?</v>
      </c>
      <c r="O41" t="str">
        <f t="shared" si="2"/>
        <v>MSIG Cost</v>
      </c>
      <c r="P41" s="2">
        <f t="shared" si="3"/>
        <v>53.262518968133534</v>
      </c>
      <c r="Q41" s="2">
        <f t="shared" si="4"/>
        <v>55.84218512898331</v>
      </c>
      <c r="R41" s="2">
        <f t="shared" si="5"/>
        <v>55.083459787556912</v>
      </c>
      <c r="S41" s="2">
        <f t="shared" si="6"/>
        <v>9.7116843702579665</v>
      </c>
      <c r="T41" s="2">
        <f t="shared" si="7"/>
        <v>0</v>
      </c>
      <c r="U41" s="3" t="str">
        <f t="shared" si="8"/>
        <v/>
      </c>
      <c r="V41" s="3" t="str">
        <f t="shared" si="9"/>
        <v/>
      </c>
      <c r="W41" s="3" t="str">
        <f t="shared" si="10"/>
        <v/>
      </c>
      <c r="X41" s="3" t="str">
        <f t="shared" si="11"/>
        <v/>
      </c>
      <c r="Y41" s="3" t="str">
        <f t="shared" si="12"/>
        <v>YES</v>
      </c>
    </row>
    <row r="42" spans="1:25">
      <c r="A42" t="s">
        <v>111</v>
      </c>
      <c r="B42">
        <v>200</v>
      </c>
      <c r="C42">
        <v>10</v>
      </c>
      <c r="D42">
        <v>10000</v>
      </c>
      <c r="E42">
        <v>1</v>
      </c>
      <c r="F42" t="s">
        <v>69</v>
      </c>
      <c r="G42" t="s">
        <v>70</v>
      </c>
      <c r="H42" s="2">
        <v>40</v>
      </c>
      <c r="I42" s="2">
        <v>40</v>
      </c>
      <c r="J42" s="2">
        <v>41</v>
      </c>
      <c r="K42" s="2">
        <v>30</v>
      </c>
      <c r="L42" s="2">
        <v>30</v>
      </c>
      <c r="M42" s="2">
        <f t="shared" si="0"/>
        <v>30</v>
      </c>
      <c r="N42" t="e">
        <f t="shared" ca="1" si="1"/>
        <v>#NAME?</v>
      </c>
      <c r="O42" t="str">
        <f t="shared" si="2"/>
        <v/>
      </c>
      <c r="P42" s="2">
        <f t="shared" si="3"/>
        <v>33.333333333333329</v>
      </c>
      <c r="Q42" s="2">
        <f t="shared" si="4"/>
        <v>33.333333333333329</v>
      </c>
      <c r="R42" s="2">
        <f t="shared" si="5"/>
        <v>36.666666666666664</v>
      </c>
      <c r="S42" s="2">
        <f t="shared" si="6"/>
        <v>0</v>
      </c>
      <c r="T42" s="2">
        <f t="shared" si="7"/>
        <v>0</v>
      </c>
      <c r="U42" s="3" t="str">
        <f t="shared" si="8"/>
        <v/>
      </c>
      <c r="V42" s="3" t="str">
        <f t="shared" si="9"/>
        <v/>
      </c>
      <c r="W42" s="3" t="str">
        <f t="shared" si="10"/>
        <v/>
      </c>
      <c r="X42" s="3" t="str">
        <f t="shared" si="11"/>
        <v>YES</v>
      </c>
      <c r="Y42" s="3" t="str">
        <f t="shared" si="12"/>
        <v>YES</v>
      </c>
    </row>
    <row r="43" spans="1:25">
      <c r="A43" t="s">
        <v>112</v>
      </c>
      <c r="B43">
        <v>200</v>
      </c>
      <c r="C43">
        <v>10</v>
      </c>
      <c r="D43">
        <v>10000</v>
      </c>
      <c r="E43">
        <v>1</v>
      </c>
      <c r="F43" t="s">
        <v>69</v>
      </c>
      <c r="G43" t="s">
        <v>70</v>
      </c>
      <c r="H43" s="2">
        <v>41</v>
      </c>
      <c r="I43" s="2">
        <v>41</v>
      </c>
      <c r="J43" s="2">
        <v>41</v>
      </c>
      <c r="K43" s="2">
        <v>31</v>
      </c>
      <c r="L43" s="2">
        <v>30</v>
      </c>
      <c r="M43" s="2">
        <f t="shared" si="0"/>
        <v>30</v>
      </c>
      <c r="N43" t="e">
        <f t="shared" ca="1" si="1"/>
        <v>#NAME?</v>
      </c>
      <c r="O43" t="str">
        <f t="shared" si="2"/>
        <v>MSIG Cost</v>
      </c>
      <c r="P43" s="2">
        <f t="shared" si="3"/>
        <v>36.666666666666664</v>
      </c>
      <c r="Q43" s="2">
        <f t="shared" si="4"/>
        <v>36.666666666666664</v>
      </c>
      <c r="R43" s="2">
        <f t="shared" si="5"/>
        <v>36.666666666666664</v>
      </c>
      <c r="S43" s="2">
        <f t="shared" si="6"/>
        <v>3.3333333333333335</v>
      </c>
      <c r="T43" s="2">
        <f t="shared" si="7"/>
        <v>0</v>
      </c>
      <c r="U43" s="3" t="str">
        <f t="shared" si="8"/>
        <v/>
      </c>
      <c r="V43" s="3" t="str">
        <f t="shared" si="9"/>
        <v/>
      </c>
      <c r="W43" s="3" t="str">
        <f t="shared" si="10"/>
        <v/>
      </c>
      <c r="X43" s="3" t="str">
        <f t="shared" si="11"/>
        <v/>
      </c>
      <c r="Y43" s="3" t="str">
        <f t="shared" si="12"/>
        <v>YES</v>
      </c>
    </row>
    <row r="44" spans="1:25">
      <c r="A44" t="s">
        <v>113</v>
      </c>
      <c r="B44">
        <v>200</v>
      </c>
      <c r="C44">
        <v>10</v>
      </c>
      <c r="D44">
        <v>10000</v>
      </c>
      <c r="E44">
        <v>10</v>
      </c>
      <c r="F44" t="s">
        <v>91</v>
      </c>
      <c r="G44" t="s">
        <v>70</v>
      </c>
      <c r="H44" s="2">
        <v>718</v>
      </c>
      <c r="I44" s="2">
        <v>729</v>
      </c>
      <c r="J44" s="2">
        <v>694</v>
      </c>
      <c r="K44" s="2">
        <v>479</v>
      </c>
      <c r="L44" s="2">
        <v>379</v>
      </c>
      <c r="M44" s="2">
        <f t="shared" si="0"/>
        <v>379</v>
      </c>
      <c r="N44" t="e">
        <f t="shared" ca="1" si="1"/>
        <v>#NAME?</v>
      </c>
      <c r="O44" t="str">
        <f t="shared" si="2"/>
        <v>MSIG Cost</v>
      </c>
      <c r="P44" s="2">
        <f t="shared" si="3"/>
        <v>89.445910290237464</v>
      </c>
      <c r="Q44" s="2">
        <f t="shared" si="4"/>
        <v>92.348284960422163</v>
      </c>
      <c r="R44" s="2">
        <f t="shared" si="5"/>
        <v>83.113456464379937</v>
      </c>
      <c r="S44" s="2">
        <f t="shared" si="6"/>
        <v>26.385224274406333</v>
      </c>
      <c r="T44" s="2">
        <f t="shared" si="7"/>
        <v>0</v>
      </c>
      <c r="U44" s="3" t="str">
        <f t="shared" si="8"/>
        <v/>
      </c>
      <c r="V44" s="3" t="str">
        <f t="shared" si="9"/>
        <v/>
      </c>
      <c r="W44" s="3" t="str">
        <f t="shared" si="10"/>
        <v/>
      </c>
      <c r="X44" s="3" t="str">
        <f t="shared" si="11"/>
        <v/>
      </c>
      <c r="Y44" s="3" t="str">
        <f t="shared" si="12"/>
        <v>YES</v>
      </c>
    </row>
    <row r="45" spans="1:25">
      <c r="A45" t="s">
        <v>114</v>
      </c>
      <c r="B45">
        <v>200</v>
      </c>
      <c r="C45">
        <v>10</v>
      </c>
      <c r="D45">
        <v>10000</v>
      </c>
      <c r="E45">
        <v>10</v>
      </c>
      <c r="F45" t="s">
        <v>69</v>
      </c>
      <c r="G45" t="s">
        <v>70</v>
      </c>
      <c r="H45" s="2">
        <v>756</v>
      </c>
      <c r="I45" s="2">
        <v>795</v>
      </c>
      <c r="J45" s="2">
        <v>751</v>
      </c>
      <c r="K45" s="2">
        <v>462</v>
      </c>
      <c r="L45" s="2">
        <v>404</v>
      </c>
      <c r="M45" s="2">
        <f t="shared" si="0"/>
        <v>404</v>
      </c>
      <c r="N45" t="e">
        <f t="shared" ca="1" si="1"/>
        <v>#NAME?</v>
      </c>
      <c r="O45" t="str">
        <f t="shared" si="2"/>
        <v>MSIG Cost</v>
      </c>
      <c r="P45" s="2">
        <f t="shared" si="3"/>
        <v>87.128712871287135</v>
      </c>
      <c r="Q45" s="2">
        <f t="shared" si="4"/>
        <v>96.78217821782178</v>
      </c>
      <c r="R45" s="2">
        <f t="shared" si="5"/>
        <v>85.89108910891089</v>
      </c>
      <c r="S45" s="2">
        <f t="shared" si="6"/>
        <v>14.356435643564355</v>
      </c>
      <c r="T45" s="2">
        <f t="shared" si="7"/>
        <v>0</v>
      </c>
      <c r="U45" s="3" t="str">
        <f t="shared" si="8"/>
        <v/>
      </c>
      <c r="V45" s="3" t="str">
        <f t="shared" si="9"/>
        <v/>
      </c>
      <c r="W45" s="3" t="str">
        <f t="shared" si="10"/>
        <v/>
      </c>
      <c r="X45" s="3" t="str">
        <f t="shared" si="11"/>
        <v/>
      </c>
      <c r="Y45" s="3" t="str">
        <f t="shared" si="12"/>
        <v>YES</v>
      </c>
    </row>
    <row r="46" spans="1:25">
      <c r="A46" t="s">
        <v>115</v>
      </c>
      <c r="B46">
        <v>200</v>
      </c>
      <c r="C46">
        <v>10</v>
      </c>
      <c r="D46">
        <v>10000</v>
      </c>
      <c r="E46">
        <v>1</v>
      </c>
      <c r="F46" t="s">
        <v>69</v>
      </c>
      <c r="G46" t="s">
        <v>70</v>
      </c>
      <c r="H46" s="2">
        <v>29</v>
      </c>
      <c r="I46" s="2">
        <v>29</v>
      </c>
      <c r="J46" s="2">
        <v>29</v>
      </c>
      <c r="K46" s="2">
        <v>30</v>
      </c>
      <c r="L46" s="2">
        <v>25</v>
      </c>
      <c r="M46" s="2">
        <f t="shared" si="0"/>
        <v>25</v>
      </c>
      <c r="N46" t="e">
        <f t="shared" ca="1" si="1"/>
        <v>#NAME?</v>
      </c>
      <c r="O46" t="str">
        <f t="shared" si="2"/>
        <v>MSIG Cost</v>
      </c>
      <c r="P46" s="2">
        <f t="shared" si="3"/>
        <v>16</v>
      </c>
      <c r="Q46" s="2">
        <f t="shared" si="4"/>
        <v>16</v>
      </c>
      <c r="R46" s="2">
        <f t="shared" si="5"/>
        <v>16</v>
      </c>
      <c r="S46" s="2">
        <f t="shared" si="6"/>
        <v>20</v>
      </c>
      <c r="T46" s="2">
        <f t="shared" si="7"/>
        <v>0</v>
      </c>
      <c r="U46" s="3" t="str">
        <f t="shared" si="8"/>
        <v/>
      </c>
      <c r="V46" s="3" t="str">
        <f t="shared" si="9"/>
        <v/>
      </c>
      <c r="W46" s="3" t="str">
        <f t="shared" si="10"/>
        <v/>
      </c>
      <c r="X46" s="3" t="str">
        <f t="shared" si="11"/>
        <v/>
      </c>
      <c r="Y46" s="3" t="str">
        <f t="shared" si="12"/>
        <v>YES</v>
      </c>
    </row>
    <row r="47" spans="1:25">
      <c r="A47" t="s">
        <v>116</v>
      </c>
      <c r="B47">
        <v>200</v>
      </c>
      <c r="C47">
        <v>10</v>
      </c>
      <c r="D47">
        <v>10000</v>
      </c>
      <c r="E47">
        <v>1</v>
      </c>
      <c r="F47" t="s">
        <v>69</v>
      </c>
      <c r="G47" t="s">
        <v>70</v>
      </c>
      <c r="H47" s="2">
        <v>29</v>
      </c>
      <c r="I47" s="2">
        <v>30</v>
      </c>
      <c r="J47" s="2">
        <v>29</v>
      </c>
      <c r="K47" s="2">
        <v>29</v>
      </c>
      <c r="L47" s="2">
        <v>25</v>
      </c>
      <c r="M47" s="2">
        <f t="shared" si="0"/>
        <v>25</v>
      </c>
      <c r="N47" t="e">
        <f t="shared" ca="1" si="1"/>
        <v>#NAME?</v>
      </c>
      <c r="O47" t="str">
        <f t="shared" si="2"/>
        <v>MSIG Cost</v>
      </c>
      <c r="P47" s="2">
        <f t="shared" si="3"/>
        <v>16</v>
      </c>
      <c r="Q47" s="2">
        <f t="shared" si="4"/>
        <v>20</v>
      </c>
      <c r="R47" s="2">
        <f t="shared" si="5"/>
        <v>16</v>
      </c>
      <c r="S47" s="2">
        <f t="shared" si="6"/>
        <v>16</v>
      </c>
      <c r="T47" s="2">
        <f t="shared" si="7"/>
        <v>0</v>
      </c>
      <c r="U47" s="3" t="str">
        <f t="shared" si="8"/>
        <v/>
      </c>
      <c r="V47" s="3" t="str">
        <f t="shared" si="9"/>
        <v/>
      </c>
      <c r="W47" s="3" t="str">
        <f t="shared" si="10"/>
        <v/>
      </c>
      <c r="X47" s="3" t="str">
        <f t="shared" si="11"/>
        <v/>
      </c>
      <c r="Y47" s="3" t="str">
        <f t="shared" si="12"/>
        <v>YES</v>
      </c>
    </row>
    <row r="48" spans="1:25">
      <c r="A48" t="s">
        <v>117</v>
      </c>
      <c r="B48">
        <v>200</v>
      </c>
      <c r="C48">
        <v>10</v>
      </c>
      <c r="D48">
        <v>10000</v>
      </c>
      <c r="E48">
        <v>10</v>
      </c>
      <c r="F48" t="s">
        <v>69</v>
      </c>
      <c r="G48" t="s">
        <v>70</v>
      </c>
      <c r="H48" s="2">
        <v>613</v>
      </c>
      <c r="I48" s="2">
        <v>630</v>
      </c>
      <c r="J48" s="2">
        <v>627</v>
      </c>
      <c r="K48" s="2">
        <v>465</v>
      </c>
      <c r="L48" s="2">
        <v>347</v>
      </c>
      <c r="M48" s="2">
        <f t="shared" si="0"/>
        <v>347</v>
      </c>
      <c r="N48" t="e">
        <f t="shared" ca="1" si="1"/>
        <v>#NAME?</v>
      </c>
      <c r="O48" t="str">
        <f t="shared" si="2"/>
        <v>MSIG Cost</v>
      </c>
      <c r="P48" s="2">
        <f t="shared" si="3"/>
        <v>76.657060518731996</v>
      </c>
      <c r="Q48" s="2">
        <f t="shared" si="4"/>
        <v>81.556195965417871</v>
      </c>
      <c r="R48" s="2">
        <f t="shared" si="5"/>
        <v>80.691642651296831</v>
      </c>
      <c r="S48" s="2">
        <f t="shared" si="6"/>
        <v>34.005763688760808</v>
      </c>
      <c r="T48" s="2">
        <f t="shared" si="7"/>
        <v>0</v>
      </c>
      <c r="U48" s="3" t="str">
        <f t="shared" si="8"/>
        <v/>
      </c>
      <c r="V48" s="3" t="str">
        <f t="shared" si="9"/>
        <v/>
      </c>
      <c r="W48" s="3" t="str">
        <f t="shared" si="10"/>
        <v/>
      </c>
      <c r="X48" s="3" t="str">
        <f t="shared" si="11"/>
        <v/>
      </c>
      <c r="Y48" s="3" t="str">
        <f t="shared" si="12"/>
        <v>YES</v>
      </c>
    </row>
    <row r="49" spans="1:25">
      <c r="A49" t="s">
        <v>118</v>
      </c>
      <c r="B49">
        <v>200</v>
      </c>
      <c r="C49">
        <v>10</v>
      </c>
      <c r="D49">
        <v>10000</v>
      </c>
      <c r="E49">
        <v>10</v>
      </c>
      <c r="F49" t="s">
        <v>69</v>
      </c>
      <c r="G49" t="s">
        <v>70</v>
      </c>
      <c r="H49" s="2">
        <v>651</v>
      </c>
      <c r="I49" s="2">
        <v>669</v>
      </c>
      <c r="J49" s="2">
        <v>669</v>
      </c>
      <c r="K49" s="2">
        <v>432</v>
      </c>
      <c r="L49" s="2">
        <v>368</v>
      </c>
      <c r="M49" s="2">
        <f t="shared" si="0"/>
        <v>368</v>
      </c>
      <c r="N49" t="e">
        <f t="shared" ca="1" si="1"/>
        <v>#NAME?</v>
      </c>
      <c r="O49" t="str">
        <f t="shared" si="2"/>
        <v>MSIG Cost</v>
      </c>
      <c r="P49" s="2">
        <f t="shared" si="3"/>
        <v>76.902173913043484</v>
      </c>
      <c r="Q49" s="2">
        <f t="shared" si="4"/>
        <v>81.793478260869563</v>
      </c>
      <c r="R49" s="2">
        <f t="shared" si="5"/>
        <v>81.793478260869563</v>
      </c>
      <c r="S49" s="2">
        <f t="shared" si="6"/>
        <v>17.391304347826086</v>
      </c>
      <c r="T49" s="2">
        <f t="shared" si="7"/>
        <v>0</v>
      </c>
      <c r="U49" s="3" t="str">
        <f t="shared" si="8"/>
        <v/>
      </c>
      <c r="V49" s="3" t="str">
        <f t="shared" si="9"/>
        <v/>
      </c>
      <c r="W49" s="3" t="str">
        <f t="shared" si="10"/>
        <v/>
      </c>
      <c r="X49" s="3" t="str">
        <f t="shared" si="11"/>
        <v/>
      </c>
      <c r="Y49" s="3" t="str">
        <f t="shared" si="12"/>
        <v>YES</v>
      </c>
    </row>
    <row r="50" spans="1:25">
      <c r="A50" t="s">
        <v>119</v>
      </c>
      <c r="B50">
        <v>200</v>
      </c>
      <c r="C50">
        <v>5</v>
      </c>
      <c r="D50">
        <v>10000</v>
      </c>
      <c r="E50">
        <v>1</v>
      </c>
      <c r="F50" t="s">
        <v>91</v>
      </c>
      <c r="G50" t="s">
        <v>70</v>
      </c>
      <c r="H50" s="2">
        <v>70</v>
      </c>
      <c r="I50" s="2">
        <v>71</v>
      </c>
      <c r="J50" s="2">
        <v>72</v>
      </c>
      <c r="K50" s="2">
        <v>59</v>
      </c>
      <c r="L50" s="2">
        <v>59</v>
      </c>
      <c r="M50" s="2">
        <f t="shared" si="0"/>
        <v>59</v>
      </c>
      <c r="N50" t="e">
        <f t="shared" ca="1" si="1"/>
        <v>#NAME?</v>
      </c>
      <c r="O50" t="str">
        <f t="shared" si="2"/>
        <v/>
      </c>
      <c r="P50" s="2">
        <f t="shared" si="3"/>
        <v>18.64406779661017</v>
      </c>
      <c r="Q50" s="2">
        <f t="shared" si="4"/>
        <v>20.33898305084746</v>
      </c>
      <c r="R50" s="2">
        <f t="shared" si="5"/>
        <v>22.033898305084744</v>
      </c>
      <c r="S50" s="2">
        <f t="shared" si="6"/>
        <v>0</v>
      </c>
      <c r="T50" s="2">
        <f t="shared" si="7"/>
        <v>0</v>
      </c>
      <c r="U50" s="3" t="str">
        <f t="shared" si="8"/>
        <v/>
      </c>
      <c r="V50" s="3" t="str">
        <f t="shared" si="9"/>
        <v/>
      </c>
      <c r="W50" s="3" t="str">
        <f t="shared" si="10"/>
        <v/>
      </c>
      <c r="X50" s="3" t="str">
        <f t="shared" si="11"/>
        <v>YES</v>
      </c>
      <c r="Y50" s="3" t="str">
        <f t="shared" si="12"/>
        <v>YES</v>
      </c>
    </row>
    <row r="51" spans="1:25">
      <c r="A51" t="s">
        <v>120</v>
      </c>
      <c r="B51">
        <v>200</v>
      </c>
      <c r="C51">
        <v>5</v>
      </c>
      <c r="D51">
        <v>10000</v>
      </c>
      <c r="E51">
        <v>1</v>
      </c>
      <c r="F51" t="s">
        <v>91</v>
      </c>
      <c r="G51" t="s">
        <v>70</v>
      </c>
      <c r="H51" s="2">
        <v>66</v>
      </c>
      <c r="I51" s="2">
        <v>65</v>
      </c>
      <c r="J51" s="2">
        <v>66</v>
      </c>
      <c r="K51" s="2">
        <v>58</v>
      </c>
      <c r="L51" s="2">
        <v>58</v>
      </c>
      <c r="M51" s="2">
        <f t="shared" si="0"/>
        <v>58</v>
      </c>
      <c r="N51" t="e">
        <f t="shared" ca="1" si="1"/>
        <v>#NAME?</v>
      </c>
      <c r="O51" t="str">
        <f t="shared" si="2"/>
        <v/>
      </c>
      <c r="P51" s="2">
        <f t="shared" si="3"/>
        <v>13.793103448275861</v>
      </c>
      <c r="Q51" s="2">
        <f t="shared" si="4"/>
        <v>12.068965517241379</v>
      </c>
      <c r="R51" s="2">
        <f t="shared" si="5"/>
        <v>13.793103448275861</v>
      </c>
      <c r="S51" s="2">
        <f t="shared" si="6"/>
        <v>0</v>
      </c>
      <c r="T51" s="2">
        <f t="shared" si="7"/>
        <v>0</v>
      </c>
      <c r="U51" s="3" t="str">
        <f t="shared" si="8"/>
        <v/>
      </c>
      <c r="V51" s="3" t="str">
        <f t="shared" si="9"/>
        <v/>
      </c>
      <c r="W51" s="3" t="str">
        <f t="shared" si="10"/>
        <v/>
      </c>
      <c r="X51" s="3" t="str">
        <f t="shared" si="11"/>
        <v>YES</v>
      </c>
      <c r="Y51" s="3" t="str">
        <f t="shared" si="12"/>
        <v>YES</v>
      </c>
    </row>
    <row r="52" spans="1:25">
      <c r="A52" t="s">
        <v>121</v>
      </c>
      <c r="B52">
        <v>200</v>
      </c>
      <c r="C52">
        <v>5</v>
      </c>
      <c r="D52">
        <v>10000</v>
      </c>
      <c r="E52">
        <v>10</v>
      </c>
      <c r="F52" t="s">
        <v>69</v>
      </c>
      <c r="G52" t="s">
        <v>70</v>
      </c>
      <c r="H52" s="2">
        <v>1078</v>
      </c>
      <c r="I52" s="2">
        <v>1073</v>
      </c>
      <c r="J52" s="2">
        <v>1085</v>
      </c>
      <c r="K52" s="2">
        <v>802</v>
      </c>
      <c r="L52" s="2">
        <v>733</v>
      </c>
      <c r="M52" s="2">
        <f t="shared" si="0"/>
        <v>733</v>
      </c>
      <c r="N52" t="e">
        <f t="shared" ca="1" si="1"/>
        <v>#NAME?</v>
      </c>
      <c r="O52" t="str">
        <f t="shared" si="2"/>
        <v>MSIG Cost</v>
      </c>
      <c r="P52" s="2">
        <f t="shared" si="3"/>
        <v>47.066848567530698</v>
      </c>
      <c r="Q52" s="2">
        <f t="shared" si="4"/>
        <v>46.384720327421554</v>
      </c>
      <c r="R52" s="2">
        <f t="shared" si="5"/>
        <v>48.021828103683497</v>
      </c>
      <c r="S52" s="2">
        <f t="shared" si="6"/>
        <v>9.4133697135061389</v>
      </c>
      <c r="T52" s="2">
        <f t="shared" si="7"/>
        <v>0</v>
      </c>
      <c r="U52" s="3" t="str">
        <f t="shared" si="8"/>
        <v/>
      </c>
      <c r="V52" s="3" t="str">
        <f t="shared" si="9"/>
        <v/>
      </c>
      <c r="W52" s="3" t="str">
        <f t="shared" si="10"/>
        <v/>
      </c>
      <c r="X52" s="3" t="str">
        <f t="shared" si="11"/>
        <v/>
      </c>
      <c r="Y52" s="3" t="str">
        <f t="shared" si="12"/>
        <v>YES</v>
      </c>
    </row>
    <row r="53" spans="1:25">
      <c r="A53" t="s">
        <v>122</v>
      </c>
      <c r="B53">
        <v>200</v>
      </c>
      <c r="C53">
        <v>5</v>
      </c>
      <c r="D53">
        <v>10000</v>
      </c>
      <c r="E53">
        <v>10</v>
      </c>
      <c r="F53" t="s">
        <v>69</v>
      </c>
      <c r="G53" t="s">
        <v>70</v>
      </c>
      <c r="H53" s="2">
        <v>937</v>
      </c>
      <c r="I53" s="2">
        <v>954</v>
      </c>
      <c r="J53" s="2">
        <v>964</v>
      </c>
      <c r="K53" s="2">
        <v>736</v>
      </c>
      <c r="L53" s="2">
        <v>698</v>
      </c>
      <c r="M53" s="2">
        <f t="shared" si="0"/>
        <v>698</v>
      </c>
      <c r="N53" t="e">
        <f t="shared" ca="1" si="1"/>
        <v>#NAME?</v>
      </c>
      <c r="O53" t="str">
        <f t="shared" si="2"/>
        <v>MSIG Cost</v>
      </c>
      <c r="P53" s="2">
        <f t="shared" si="3"/>
        <v>34.240687679083095</v>
      </c>
      <c r="Q53" s="2">
        <f t="shared" si="4"/>
        <v>36.676217765042978</v>
      </c>
      <c r="R53" s="2">
        <f t="shared" si="5"/>
        <v>38.108882521489974</v>
      </c>
      <c r="S53" s="2">
        <f t="shared" si="6"/>
        <v>5.444126074498568</v>
      </c>
      <c r="T53" s="2">
        <f t="shared" si="7"/>
        <v>0</v>
      </c>
      <c r="U53" s="3" t="str">
        <f t="shared" si="8"/>
        <v/>
      </c>
      <c r="V53" s="3" t="str">
        <f t="shared" si="9"/>
        <v/>
      </c>
      <c r="W53" s="3" t="str">
        <f t="shared" si="10"/>
        <v/>
      </c>
      <c r="X53" s="3" t="str">
        <f t="shared" si="11"/>
        <v/>
      </c>
      <c r="Y53" s="3" t="str">
        <f t="shared" si="12"/>
        <v>YES</v>
      </c>
    </row>
    <row r="54" spans="1:25">
      <c r="A54" t="s">
        <v>123</v>
      </c>
      <c r="B54">
        <v>200</v>
      </c>
      <c r="C54">
        <v>5</v>
      </c>
      <c r="D54">
        <v>10000</v>
      </c>
      <c r="E54">
        <v>1</v>
      </c>
      <c r="F54" t="s">
        <v>91</v>
      </c>
      <c r="G54" t="s">
        <v>70</v>
      </c>
      <c r="H54" s="2">
        <v>56</v>
      </c>
      <c r="I54" s="2">
        <v>56</v>
      </c>
      <c r="J54" s="2">
        <v>56</v>
      </c>
      <c r="K54" s="2">
        <v>53</v>
      </c>
      <c r="L54" s="2">
        <v>52</v>
      </c>
      <c r="M54" s="2">
        <f t="shared" si="0"/>
        <v>52</v>
      </c>
      <c r="N54" t="e">
        <f t="shared" ca="1" si="1"/>
        <v>#NAME?</v>
      </c>
      <c r="O54" t="str">
        <f t="shared" si="2"/>
        <v>MSIG Cost</v>
      </c>
      <c r="P54" s="2">
        <f t="shared" si="3"/>
        <v>7.6923076923076925</v>
      </c>
      <c r="Q54" s="2">
        <f t="shared" si="4"/>
        <v>7.6923076923076925</v>
      </c>
      <c r="R54" s="2">
        <f t="shared" si="5"/>
        <v>7.6923076923076925</v>
      </c>
      <c r="S54" s="2">
        <f t="shared" si="6"/>
        <v>1.9230769230769231</v>
      </c>
      <c r="T54" s="2">
        <f t="shared" si="7"/>
        <v>0</v>
      </c>
      <c r="U54" s="3" t="str">
        <f t="shared" si="8"/>
        <v/>
      </c>
      <c r="V54" s="3" t="str">
        <f t="shared" si="9"/>
        <v/>
      </c>
      <c r="W54" s="3" t="str">
        <f t="shared" si="10"/>
        <v/>
      </c>
      <c r="X54" s="3" t="str">
        <f t="shared" si="11"/>
        <v/>
      </c>
      <c r="Y54" s="3" t="str">
        <f t="shared" si="12"/>
        <v>YES</v>
      </c>
    </row>
    <row r="55" spans="1:25">
      <c r="A55" t="s">
        <v>124</v>
      </c>
      <c r="B55">
        <v>200</v>
      </c>
      <c r="C55">
        <v>5</v>
      </c>
      <c r="D55">
        <v>10000</v>
      </c>
      <c r="E55">
        <v>1</v>
      </c>
      <c r="F55" t="s">
        <v>91</v>
      </c>
      <c r="G55" t="s">
        <v>70</v>
      </c>
      <c r="H55" s="2">
        <v>55</v>
      </c>
      <c r="I55" s="2">
        <v>55</v>
      </c>
      <c r="J55" s="2">
        <v>55</v>
      </c>
      <c r="K55" s="2">
        <v>53</v>
      </c>
      <c r="L55" s="2">
        <v>51</v>
      </c>
      <c r="M55" s="2">
        <f t="shared" si="0"/>
        <v>51</v>
      </c>
      <c r="N55" t="e">
        <f t="shared" ca="1" si="1"/>
        <v>#NAME?</v>
      </c>
      <c r="O55" t="str">
        <f t="shared" si="2"/>
        <v>MSIG Cost</v>
      </c>
      <c r="P55" s="2">
        <f t="shared" si="3"/>
        <v>7.8431372549019605</v>
      </c>
      <c r="Q55" s="2">
        <f t="shared" si="4"/>
        <v>7.8431372549019605</v>
      </c>
      <c r="R55" s="2">
        <f t="shared" si="5"/>
        <v>7.8431372549019605</v>
      </c>
      <c r="S55" s="2">
        <f t="shared" si="6"/>
        <v>3.9215686274509802</v>
      </c>
      <c r="T55" s="2">
        <f t="shared" si="7"/>
        <v>0</v>
      </c>
      <c r="U55" s="3" t="str">
        <f t="shared" si="8"/>
        <v/>
      </c>
      <c r="V55" s="3" t="str">
        <f t="shared" si="9"/>
        <v/>
      </c>
      <c r="W55" s="3" t="str">
        <f t="shared" si="10"/>
        <v/>
      </c>
      <c r="X55" s="3" t="str">
        <f t="shared" si="11"/>
        <v/>
      </c>
      <c r="Y55" s="3" t="str">
        <f t="shared" si="12"/>
        <v>YES</v>
      </c>
    </row>
    <row r="56" spans="1:25">
      <c r="A56" t="s">
        <v>125</v>
      </c>
      <c r="B56">
        <v>200</v>
      </c>
      <c r="C56">
        <v>5</v>
      </c>
      <c r="D56">
        <v>10000</v>
      </c>
      <c r="E56">
        <v>10</v>
      </c>
      <c r="F56" t="s">
        <v>69</v>
      </c>
      <c r="G56" t="s">
        <v>70</v>
      </c>
      <c r="H56" s="2">
        <v>923</v>
      </c>
      <c r="I56" s="2">
        <v>925</v>
      </c>
      <c r="J56" s="2">
        <v>926</v>
      </c>
      <c r="K56" s="2">
        <v>748</v>
      </c>
      <c r="L56" s="2">
        <v>638</v>
      </c>
      <c r="M56" s="2">
        <f t="shared" si="0"/>
        <v>638</v>
      </c>
      <c r="N56" t="e">
        <f t="shared" ca="1" si="1"/>
        <v>#NAME?</v>
      </c>
      <c r="O56" t="str">
        <f t="shared" si="2"/>
        <v>MSIG Cost</v>
      </c>
      <c r="P56" s="2">
        <f t="shared" si="3"/>
        <v>44.670846394984324</v>
      </c>
      <c r="Q56" s="2">
        <f t="shared" si="4"/>
        <v>44.98432601880878</v>
      </c>
      <c r="R56" s="2">
        <f t="shared" si="5"/>
        <v>45.141065830721004</v>
      </c>
      <c r="S56" s="2">
        <f t="shared" si="6"/>
        <v>17.241379310344829</v>
      </c>
      <c r="T56" s="2">
        <f t="shared" si="7"/>
        <v>0</v>
      </c>
      <c r="U56" s="3" t="str">
        <f t="shared" si="8"/>
        <v/>
      </c>
      <c r="V56" s="3" t="str">
        <f t="shared" si="9"/>
        <v/>
      </c>
      <c r="W56" s="3" t="str">
        <f t="shared" si="10"/>
        <v/>
      </c>
      <c r="X56" s="3" t="str">
        <f t="shared" si="11"/>
        <v/>
      </c>
      <c r="Y56" s="3" t="str">
        <f t="shared" si="12"/>
        <v>YES</v>
      </c>
    </row>
    <row r="57" spans="1:25">
      <c r="A57" t="s">
        <v>126</v>
      </c>
      <c r="B57">
        <v>200</v>
      </c>
      <c r="C57">
        <v>5</v>
      </c>
      <c r="D57">
        <v>10000</v>
      </c>
      <c r="E57">
        <v>10</v>
      </c>
      <c r="F57" t="s">
        <v>69</v>
      </c>
      <c r="G57" t="s">
        <v>70</v>
      </c>
      <c r="H57" s="2">
        <v>896</v>
      </c>
      <c r="I57" s="2">
        <v>881</v>
      </c>
      <c r="J57" s="2">
        <v>882</v>
      </c>
      <c r="K57" s="2">
        <v>676</v>
      </c>
      <c r="L57" s="2">
        <v>626</v>
      </c>
      <c r="M57" s="2">
        <f t="shared" si="0"/>
        <v>626</v>
      </c>
      <c r="N57" t="e">
        <f t="shared" ca="1" si="1"/>
        <v>#NAME?</v>
      </c>
      <c r="O57" t="str">
        <f t="shared" si="2"/>
        <v>MSIG Cost</v>
      </c>
      <c r="P57" s="2">
        <f t="shared" si="3"/>
        <v>43.130990415335461</v>
      </c>
      <c r="Q57" s="2">
        <f t="shared" si="4"/>
        <v>40.734824281150161</v>
      </c>
      <c r="R57" s="2">
        <f t="shared" si="5"/>
        <v>40.894568690095845</v>
      </c>
      <c r="S57" s="2">
        <f t="shared" si="6"/>
        <v>7.9872204472843444</v>
      </c>
      <c r="T57" s="2">
        <f t="shared" si="7"/>
        <v>0</v>
      </c>
      <c r="U57" s="3" t="str">
        <f t="shared" si="8"/>
        <v/>
      </c>
      <c r="V57" s="3" t="str">
        <f t="shared" si="9"/>
        <v/>
      </c>
      <c r="W57" s="3" t="str">
        <f t="shared" si="10"/>
        <v/>
      </c>
      <c r="X57" s="3" t="str">
        <f t="shared" si="11"/>
        <v/>
      </c>
      <c r="Y57" s="3" t="str">
        <f t="shared" si="12"/>
        <v>YES</v>
      </c>
    </row>
    <row r="58" spans="1:25">
      <c r="A58" t="s">
        <v>127</v>
      </c>
      <c r="B58">
        <v>200</v>
      </c>
      <c r="C58">
        <v>5</v>
      </c>
      <c r="D58">
        <v>10000</v>
      </c>
      <c r="E58">
        <v>1</v>
      </c>
      <c r="F58" t="s">
        <v>69</v>
      </c>
      <c r="G58" t="s">
        <v>70</v>
      </c>
      <c r="H58" s="2">
        <v>37</v>
      </c>
      <c r="I58" s="2">
        <v>38</v>
      </c>
      <c r="J58" s="2">
        <v>37</v>
      </c>
      <c r="K58" s="2">
        <v>30</v>
      </c>
      <c r="L58" s="2">
        <v>27</v>
      </c>
      <c r="M58" s="2">
        <f t="shared" si="0"/>
        <v>27</v>
      </c>
      <c r="N58" t="e">
        <f t="shared" ca="1" si="1"/>
        <v>#NAME?</v>
      </c>
      <c r="O58" t="str">
        <f t="shared" si="2"/>
        <v>MSIG Cost</v>
      </c>
      <c r="P58" s="2">
        <f t="shared" si="3"/>
        <v>37.037037037037038</v>
      </c>
      <c r="Q58" s="2">
        <f t="shared" si="4"/>
        <v>40.74074074074074</v>
      </c>
      <c r="R58" s="2">
        <f t="shared" si="5"/>
        <v>37.037037037037038</v>
      </c>
      <c r="S58" s="2">
        <f t="shared" si="6"/>
        <v>11.111111111111111</v>
      </c>
      <c r="T58" s="2">
        <f t="shared" si="7"/>
        <v>0</v>
      </c>
      <c r="U58" s="3" t="str">
        <f t="shared" si="8"/>
        <v/>
      </c>
      <c r="V58" s="3" t="str">
        <f t="shared" si="9"/>
        <v/>
      </c>
      <c r="W58" s="3" t="str">
        <f t="shared" si="10"/>
        <v/>
      </c>
      <c r="X58" s="3" t="str">
        <f t="shared" si="11"/>
        <v/>
      </c>
      <c r="Y58" s="3" t="str">
        <f t="shared" si="12"/>
        <v>YES</v>
      </c>
    </row>
    <row r="59" spans="1:25">
      <c r="A59" t="s">
        <v>128</v>
      </c>
      <c r="B59">
        <v>200</v>
      </c>
      <c r="C59">
        <v>5</v>
      </c>
      <c r="D59">
        <v>10000</v>
      </c>
      <c r="E59">
        <v>1</v>
      </c>
      <c r="F59" t="s">
        <v>69</v>
      </c>
      <c r="G59" t="s">
        <v>70</v>
      </c>
      <c r="H59" s="2">
        <v>38</v>
      </c>
      <c r="I59" s="2">
        <v>39</v>
      </c>
      <c r="J59" s="2">
        <v>38</v>
      </c>
      <c r="K59" s="2">
        <v>31</v>
      </c>
      <c r="L59" s="2">
        <v>28</v>
      </c>
      <c r="M59" s="2">
        <f t="shared" si="0"/>
        <v>28</v>
      </c>
      <c r="N59" t="e">
        <f t="shared" ca="1" si="1"/>
        <v>#NAME?</v>
      </c>
      <c r="O59" t="str">
        <f t="shared" si="2"/>
        <v>MSIG Cost</v>
      </c>
      <c r="P59" s="2">
        <f t="shared" si="3"/>
        <v>35.714285714285715</v>
      </c>
      <c r="Q59" s="2">
        <f t="shared" si="4"/>
        <v>39.285714285714285</v>
      </c>
      <c r="R59" s="2">
        <f t="shared" si="5"/>
        <v>35.714285714285715</v>
      </c>
      <c r="S59" s="2">
        <f t="shared" si="6"/>
        <v>10.714285714285714</v>
      </c>
      <c r="T59" s="2">
        <f t="shared" si="7"/>
        <v>0</v>
      </c>
      <c r="U59" s="3" t="str">
        <f t="shared" si="8"/>
        <v/>
      </c>
      <c r="V59" s="3" t="str">
        <f t="shared" si="9"/>
        <v/>
      </c>
      <c r="W59" s="3" t="str">
        <f t="shared" si="10"/>
        <v/>
      </c>
      <c r="X59" s="3" t="str">
        <f t="shared" si="11"/>
        <v/>
      </c>
      <c r="Y59" s="3" t="str">
        <f t="shared" si="12"/>
        <v>YES</v>
      </c>
    </row>
    <row r="60" spans="1:25">
      <c r="A60" t="s">
        <v>129</v>
      </c>
      <c r="B60">
        <v>200</v>
      </c>
      <c r="C60">
        <v>5</v>
      </c>
      <c r="D60">
        <v>10000</v>
      </c>
      <c r="E60">
        <v>10</v>
      </c>
      <c r="F60" t="s">
        <v>91</v>
      </c>
      <c r="G60" t="s">
        <v>70</v>
      </c>
      <c r="H60" s="2">
        <v>681</v>
      </c>
      <c r="I60" s="2">
        <v>703</v>
      </c>
      <c r="J60" s="2">
        <v>675</v>
      </c>
      <c r="K60" s="2">
        <v>445</v>
      </c>
      <c r="L60" s="2">
        <v>351</v>
      </c>
      <c r="M60" s="2">
        <f t="shared" si="0"/>
        <v>351</v>
      </c>
      <c r="N60" t="e">
        <f t="shared" ca="1" si="1"/>
        <v>#NAME?</v>
      </c>
      <c r="O60" t="str">
        <f t="shared" si="2"/>
        <v>MSIG Cost</v>
      </c>
      <c r="P60" s="2">
        <f t="shared" si="3"/>
        <v>94.01709401709401</v>
      </c>
      <c r="Q60" s="2">
        <f t="shared" si="4"/>
        <v>100.28490028490029</v>
      </c>
      <c r="R60" s="2">
        <f t="shared" si="5"/>
        <v>92.307692307692307</v>
      </c>
      <c r="S60" s="2">
        <f t="shared" si="6"/>
        <v>26.780626780626783</v>
      </c>
      <c r="T60" s="2">
        <f t="shared" si="7"/>
        <v>0</v>
      </c>
      <c r="U60" s="3" t="str">
        <f t="shared" si="8"/>
        <v/>
      </c>
      <c r="V60" s="3" t="str">
        <f t="shared" si="9"/>
        <v/>
      </c>
      <c r="W60" s="3" t="str">
        <f t="shared" si="10"/>
        <v/>
      </c>
      <c r="X60" s="3" t="str">
        <f t="shared" si="11"/>
        <v/>
      </c>
      <c r="Y60" s="3" t="str">
        <f t="shared" si="12"/>
        <v>YES</v>
      </c>
    </row>
    <row r="61" spans="1:25">
      <c r="A61" t="s">
        <v>130</v>
      </c>
      <c r="B61">
        <v>200</v>
      </c>
      <c r="C61">
        <v>5</v>
      </c>
      <c r="D61">
        <v>10000</v>
      </c>
      <c r="E61">
        <v>10</v>
      </c>
      <c r="F61" t="s">
        <v>69</v>
      </c>
      <c r="G61" t="s">
        <v>70</v>
      </c>
      <c r="H61" s="2">
        <v>689</v>
      </c>
      <c r="I61" s="2">
        <v>700</v>
      </c>
      <c r="J61" s="2">
        <v>684</v>
      </c>
      <c r="K61" s="2">
        <v>401</v>
      </c>
      <c r="L61" s="2">
        <v>345</v>
      </c>
      <c r="M61" s="2">
        <f t="shared" si="0"/>
        <v>345</v>
      </c>
      <c r="N61" t="e">
        <f t="shared" ca="1" si="1"/>
        <v>#NAME?</v>
      </c>
      <c r="O61" t="str">
        <f t="shared" si="2"/>
        <v>MSIG Cost</v>
      </c>
      <c r="P61" s="2">
        <f t="shared" si="3"/>
        <v>99.710144927536234</v>
      </c>
      <c r="Q61" s="2">
        <f t="shared" si="4"/>
        <v>102.89855072463767</v>
      </c>
      <c r="R61" s="2">
        <f t="shared" si="5"/>
        <v>98.260869565217391</v>
      </c>
      <c r="S61" s="2">
        <f t="shared" si="6"/>
        <v>16.231884057971012</v>
      </c>
      <c r="T61" s="2">
        <f t="shared" si="7"/>
        <v>0</v>
      </c>
      <c r="U61" s="3" t="str">
        <f t="shared" si="8"/>
        <v/>
      </c>
      <c r="V61" s="3" t="str">
        <f t="shared" si="9"/>
        <v/>
      </c>
      <c r="W61" s="3" t="str">
        <f t="shared" si="10"/>
        <v/>
      </c>
      <c r="X61" s="3" t="str">
        <f t="shared" si="11"/>
        <v/>
      </c>
      <c r="Y61" s="3" t="str">
        <f t="shared" si="12"/>
        <v>YES</v>
      </c>
    </row>
    <row r="62" spans="1:25">
      <c r="A62" t="s">
        <v>131</v>
      </c>
      <c r="B62">
        <v>200</v>
      </c>
      <c r="C62">
        <v>5</v>
      </c>
      <c r="D62">
        <v>10000</v>
      </c>
      <c r="E62">
        <v>1</v>
      </c>
      <c r="F62" t="s">
        <v>91</v>
      </c>
      <c r="G62" t="s">
        <v>70</v>
      </c>
      <c r="H62" s="2">
        <v>28</v>
      </c>
      <c r="I62" s="2">
        <v>28</v>
      </c>
      <c r="J62" s="2">
        <v>28</v>
      </c>
      <c r="K62" s="2">
        <v>28</v>
      </c>
      <c r="L62" s="2">
        <v>24</v>
      </c>
      <c r="M62" s="2">
        <f t="shared" si="0"/>
        <v>24</v>
      </c>
      <c r="N62" t="e">
        <f t="shared" ca="1" si="1"/>
        <v>#NAME?</v>
      </c>
      <c r="O62" t="str">
        <f t="shared" si="2"/>
        <v>MSIG Cost</v>
      </c>
      <c r="P62" s="2">
        <f t="shared" si="3"/>
        <v>16.666666666666664</v>
      </c>
      <c r="Q62" s="2">
        <f t="shared" si="4"/>
        <v>16.666666666666664</v>
      </c>
      <c r="R62" s="2">
        <f t="shared" si="5"/>
        <v>16.666666666666664</v>
      </c>
      <c r="S62" s="2">
        <f t="shared" si="6"/>
        <v>16.666666666666664</v>
      </c>
      <c r="T62" s="2">
        <f t="shared" si="7"/>
        <v>0</v>
      </c>
      <c r="U62" s="3" t="str">
        <f t="shared" si="8"/>
        <v/>
      </c>
      <c r="V62" s="3" t="str">
        <f t="shared" si="9"/>
        <v/>
      </c>
      <c r="W62" s="3" t="str">
        <f t="shared" si="10"/>
        <v/>
      </c>
      <c r="X62" s="3" t="str">
        <f t="shared" si="11"/>
        <v/>
      </c>
      <c r="Y62" s="3" t="str">
        <f t="shared" si="12"/>
        <v>YES</v>
      </c>
    </row>
    <row r="63" spans="1:25">
      <c r="A63" t="s">
        <v>132</v>
      </c>
      <c r="B63">
        <v>200</v>
      </c>
      <c r="C63">
        <v>5</v>
      </c>
      <c r="D63">
        <v>10000</v>
      </c>
      <c r="E63">
        <v>1</v>
      </c>
      <c r="F63" t="s">
        <v>91</v>
      </c>
      <c r="G63" t="s">
        <v>70</v>
      </c>
      <c r="H63" s="2">
        <v>27</v>
      </c>
      <c r="I63" s="2">
        <v>27</v>
      </c>
      <c r="J63" s="2">
        <v>27</v>
      </c>
      <c r="K63" s="2">
        <v>28</v>
      </c>
      <c r="L63" s="2">
        <v>24</v>
      </c>
      <c r="M63" s="2">
        <f t="shared" si="0"/>
        <v>24</v>
      </c>
      <c r="N63" t="e">
        <f t="shared" ca="1" si="1"/>
        <v>#NAME?</v>
      </c>
      <c r="O63" t="str">
        <f t="shared" si="2"/>
        <v>MSIG Cost</v>
      </c>
      <c r="P63" s="2">
        <f t="shared" si="3"/>
        <v>12.5</v>
      </c>
      <c r="Q63" s="2">
        <f t="shared" si="4"/>
        <v>12.5</v>
      </c>
      <c r="R63" s="2">
        <f t="shared" si="5"/>
        <v>12.5</v>
      </c>
      <c r="S63" s="2">
        <f t="shared" si="6"/>
        <v>16.666666666666664</v>
      </c>
      <c r="T63" s="2">
        <f t="shared" si="7"/>
        <v>0</v>
      </c>
      <c r="U63" s="3" t="str">
        <f t="shared" si="8"/>
        <v/>
      </c>
      <c r="V63" s="3" t="str">
        <f t="shared" si="9"/>
        <v/>
      </c>
      <c r="W63" s="3" t="str">
        <f t="shared" si="10"/>
        <v/>
      </c>
      <c r="X63" s="3" t="str">
        <f t="shared" si="11"/>
        <v/>
      </c>
      <c r="Y63" s="3" t="str">
        <f t="shared" si="12"/>
        <v>YES</v>
      </c>
    </row>
    <row r="64" spans="1:25">
      <c r="A64" t="s">
        <v>133</v>
      </c>
      <c r="B64">
        <v>200</v>
      </c>
      <c r="C64">
        <v>5</v>
      </c>
      <c r="D64">
        <v>10000</v>
      </c>
      <c r="E64">
        <v>10</v>
      </c>
      <c r="F64" t="s">
        <v>69</v>
      </c>
      <c r="G64" t="s">
        <v>70</v>
      </c>
      <c r="H64" s="2">
        <v>561</v>
      </c>
      <c r="I64" s="2">
        <v>582</v>
      </c>
      <c r="J64" s="2">
        <v>593</v>
      </c>
      <c r="K64" s="2">
        <v>425</v>
      </c>
      <c r="L64" s="2">
        <v>336</v>
      </c>
      <c r="M64" s="2">
        <f t="shared" si="0"/>
        <v>336</v>
      </c>
      <c r="N64" t="e">
        <f t="shared" ca="1" si="1"/>
        <v>#NAME?</v>
      </c>
      <c r="O64" t="str">
        <f t="shared" si="2"/>
        <v>MSIG Cost</v>
      </c>
      <c r="P64" s="2">
        <f t="shared" si="3"/>
        <v>66.964285714285708</v>
      </c>
      <c r="Q64" s="2">
        <f t="shared" si="4"/>
        <v>73.214285714285708</v>
      </c>
      <c r="R64" s="2">
        <f t="shared" si="5"/>
        <v>76.488095238095227</v>
      </c>
      <c r="S64" s="2">
        <f t="shared" si="6"/>
        <v>26.488095238095237</v>
      </c>
      <c r="T64" s="2">
        <f t="shared" si="7"/>
        <v>0</v>
      </c>
      <c r="U64" s="3" t="str">
        <f t="shared" si="8"/>
        <v/>
      </c>
      <c r="V64" s="3" t="str">
        <f t="shared" si="9"/>
        <v/>
      </c>
      <c r="W64" s="3" t="str">
        <f t="shared" si="10"/>
        <v/>
      </c>
      <c r="X64" s="3" t="str">
        <f t="shared" si="11"/>
        <v/>
      </c>
      <c r="Y64" s="3" t="str">
        <f t="shared" si="12"/>
        <v>YES</v>
      </c>
    </row>
    <row r="65" spans="1:25">
      <c r="A65" t="s">
        <v>134</v>
      </c>
      <c r="B65">
        <v>200</v>
      </c>
      <c r="C65">
        <v>5</v>
      </c>
      <c r="D65">
        <v>10000</v>
      </c>
      <c r="E65">
        <v>10</v>
      </c>
      <c r="F65" t="s">
        <v>69</v>
      </c>
      <c r="G65" t="s">
        <v>70</v>
      </c>
      <c r="H65" s="2">
        <v>544</v>
      </c>
      <c r="I65" s="2">
        <v>553</v>
      </c>
      <c r="J65" s="2">
        <v>541</v>
      </c>
      <c r="K65" s="2">
        <v>381</v>
      </c>
      <c r="L65" s="2">
        <v>311</v>
      </c>
      <c r="M65" s="2">
        <f t="shared" si="0"/>
        <v>311</v>
      </c>
      <c r="N65" t="e">
        <f t="shared" ca="1" si="1"/>
        <v>#NAME?</v>
      </c>
      <c r="O65" t="str">
        <f t="shared" si="2"/>
        <v>MSIG Cost</v>
      </c>
      <c r="P65" s="2">
        <f t="shared" si="3"/>
        <v>74.919614147909968</v>
      </c>
      <c r="Q65" s="2">
        <f t="shared" si="4"/>
        <v>77.813504823151121</v>
      </c>
      <c r="R65" s="2">
        <f t="shared" si="5"/>
        <v>73.954983922829584</v>
      </c>
      <c r="S65" s="2">
        <f t="shared" si="6"/>
        <v>22.508038585209004</v>
      </c>
      <c r="T65" s="2">
        <f t="shared" si="7"/>
        <v>0</v>
      </c>
      <c r="U65" s="3" t="str">
        <f t="shared" si="8"/>
        <v/>
      </c>
      <c r="V65" s="3" t="str">
        <f t="shared" si="9"/>
        <v/>
      </c>
      <c r="W65" s="3" t="str">
        <f t="shared" si="10"/>
        <v/>
      </c>
      <c r="X65" s="3" t="str">
        <f t="shared" si="11"/>
        <v/>
      </c>
      <c r="Y65" s="3" t="str">
        <f t="shared" si="12"/>
        <v>YES</v>
      </c>
    </row>
    <row r="66" spans="1:25">
      <c r="A66" t="s">
        <v>135</v>
      </c>
      <c r="B66">
        <v>25</v>
      </c>
      <c r="C66">
        <v>10</v>
      </c>
      <c r="D66">
        <v>10000</v>
      </c>
      <c r="E66">
        <v>1</v>
      </c>
      <c r="F66" t="s">
        <v>69</v>
      </c>
      <c r="G66" t="s">
        <v>70</v>
      </c>
      <c r="H66" s="2">
        <v>10</v>
      </c>
      <c r="I66" s="2">
        <v>9</v>
      </c>
      <c r="J66" s="2">
        <v>9</v>
      </c>
      <c r="K66" s="2">
        <v>10</v>
      </c>
      <c r="L66" s="2">
        <v>9</v>
      </c>
      <c r="M66" s="2">
        <f t="shared" ref="M66:M129" si="13">MIN(H66:L66)</f>
        <v>9</v>
      </c>
      <c r="N66" t="e">
        <f t="shared" ref="N66:N129" ca="1" si="14">_xludf.TEXTJOIN(", ",TRUE,IF(H66=M66,"S-FFD",""),IF(I66=M66,"S-BFD",""),IF(J66=M66,"S-WFD",""),IF(K66=M66,"Best C-TP",""),IF(L66=M66,"MSIG",""))</f>
        <v>#NAME?</v>
      </c>
      <c r="O66" t="str">
        <f t="shared" ref="O66:O129" si="15">IF(COUNTIF(H66:L66,M66)=1,INDEX($H$1:$L$1,1,MATCH(M66,H66:L66,0)),"")</f>
        <v/>
      </c>
      <c r="P66" s="2">
        <f t="shared" ref="P66:P129" si="16">(H66-$M66)/$M66*100</f>
        <v>11.111111111111111</v>
      </c>
      <c r="Q66" s="2">
        <f t="shared" ref="Q66:Q129" si="17">(I66-$M66)/$M66*100</f>
        <v>0</v>
      </c>
      <c r="R66" s="2">
        <f t="shared" ref="R66:R129" si="18">(J66-$M66)/$M66*100</f>
        <v>0</v>
      </c>
      <c r="S66" s="2">
        <f t="shared" ref="S66:S129" si="19">(K66-$M66)/$M66*100</f>
        <v>11.111111111111111</v>
      </c>
      <c r="T66" s="2">
        <f t="shared" ref="T66:T129" si="20">(L66-$M66)/$M66*100</f>
        <v>0</v>
      </c>
      <c r="U66" s="3" t="str">
        <f t="shared" ref="U66:U129" si="21">IF(H66=$M66,"YES","")</f>
        <v/>
      </c>
      <c r="V66" s="3" t="str">
        <f t="shared" ref="V66:V129" si="22">IF(I66=$M66,"YES","")</f>
        <v>YES</v>
      </c>
      <c r="W66" s="3" t="str">
        <f t="shared" ref="W66:W129" si="23">IF(J66=$M66,"YES","")</f>
        <v>YES</v>
      </c>
      <c r="X66" s="3" t="str">
        <f t="shared" ref="X66:X129" si="24">IF(K66=$M66,"YES","")</f>
        <v/>
      </c>
      <c r="Y66" s="3" t="str">
        <f t="shared" ref="Y66:Y129" si="25">IF(L66=$M66,"YES","")</f>
        <v>YES</v>
      </c>
    </row>
    <row r="67" spans="1:25">
      <c r="A67" t="s">
        <v>136</v>
      </c>
      <c r="B67">
        <v>25</v>
      </c>
      <c r="C67">
        <v>10</v>
      </c>
      <c r="D67">
        <v>10000</v>
      </c>
      <c r="E67">
        <v>1</v>
      </c>
      <c r="F67" t="s">
        <v>69</v>
      </c>
      <c r="G67" t="s">
        <v>70</v>
      </c>
      <c r="H67" s="2">
        <v>10</v>
      </c>
      <c r="I67" s="2">
        <v>10</v>
      </c>
      <c r="J67" s="2">
        <v>10</v>
      </c>
      <c r="K67" s="2">
        <v>10</v>
      </c>
      <c r="L67" s="2">
        <v>9</v>
      </c>
      <c r="M67" s="2">
        <f t="shared" si="13"/>
        <v>9</v>
      </c>
      <c r="N67" t="e">
        <f t="shared" ca="1" si="14"/>
        <v>#NAME?</v>
      </c>
      <c r="O67" t="str">
        <f t="shared" si="15"/>
        <v>MSIG Cost</v>
      </c>
      <c r="P67" s="2">
        <f t="shared" si="16"/>
        <v>11.111111111111111</v>
      </c>
      <c r="Q67" s="2">
        <f t="shared" si="17"/>
        <v>11.111111111111111</v>
      </c>
      <c r="R67" s="2">
        <f t="shared" si="18"/>
        <v>11.111111111111111</v>
      </c>
      <c r="S67" s="2">
        <f t="shared" si="19"/>
        <v>11.111111111111111</v>
      </c>
      <c r="T67" s="2">
        <f t="shared" si="20"/>
        <v>0</v>
      </c>
      <c r="U67" s="3" t="str">
        <f t="shared" si="21"/>
        <v/>
      </c>
      <c r="V67" s="3" t="str">
        <f t="shared" si="22"/>
        <v/>
      </c>
      <c r="W67" s="3" t="str">
        <f t="shared" si="23"/>
        <v/>
      </c>
      <c r="X67" s="3" t="str">
        <f t="shared" si="24"/>
        <v/>
      </c>
      <c r="Y67" s="3" t="str">
        <f t="shared" si="25"/>
        <v>YES</v>
      </c>
    </row>
    <row r="68" spans="1:25">
      <c r="A68" t="s">
        <v>137</v>
      </c>
      <c r="B68">
        <v>25</v>
      </c>
      <c r="C68">
        <v>10</v>
      </c>
      <c r="D68">
        <v>10000</v>
      </c>
      <c r="E68">
        <v>10</v>
      </c>
      <c r="F68" t="s">
        <v>69</v>
      </c>
      <c r="G68" t="s">
        <v>70</v>
      </c>
      <c r="H68" s="2">
        <v>171</v>
      </c>
      <c r="I68" s="2">
        <v>171</v>
      </c>
      <c r="J68" s="2">
        <v>165</v>
      </c>
      <c r="K68" s="2">
        <v>146</v>
      </c>
      <c r="L68" s="2">
        <v>138</v>
      </c>
      <c r="M68" s="2">
        <f t="shared" si="13"/>
        <v>138</v>
      </c>
      <c r="N68" t="e">
        <f t="shared" ca="1" si="14"/>
        <v>#NAME?</v>
      </c>
      <c r="O68" t="str">
        <f t="shared" si="15"/>
        <v>MSIG Cost</v>
      </c>
      <c r="P68" s="2">
        <f t="shared" si="16"/>
        <v>23.913043478260871</v>
      </c>
      <c r="Q68" s="2">
        <f t="shared" si="17"/>
        <v>23.913043478260871</v>
      </c>
      <c r="R68" s="2">
        <f t="shared" si="18"/>
        <v>19.565217391304348</v>
      </c>
      <c r="S68" s="2">
        <f t="shared" si="19"/>
        <v>5.7971014492753623</v>
      </c>
      <c r="T68" s="2">
        <f t="shared" si="20"/>
        <v>0</v>
      </c>
      <c r="U68" s="3" t="str">
        <f t="shared" si="21"/>
        <v/>
      </c>
      <c r="V68" s="3" t="str">
        <f t="shared" si="22"/>
        <v/>
      </c>
      <c r="W68" s="3" t="str">
        <f t="shared" si="23"/>
        <v/>
      </c>
      <c r="X68" s="3" t="str">
        <f t="shared" si="24"/>
        <v/>
      </c>
      <c r="Y68" s="3" t="str">
        <f t="shared" si="25"/>
        <v>YES</v>
      </c>
    </row>
    <row r="69" spans="1:25">
      <c r="A69" t="s">
        <v>138</v>
      </c>
      <c r="B69">
        <v>25</v>
      </c>
      <c r="C69">
        <v>10</v>
      </c>
      <c r="D69">
        <v>10000</v>
      </c>
      <c r="E69">
        <v>10</v>
      </c>
      <c r="F69" t="s">
        <v>69</v>
      </c>
      <c r="G69" t="s">
        <v>70</v>
      </c>
      <c r="H69" s="2">
        <v>179</v>
      </c>
      <c r="I69" s="2">
        <v>182</v>
      </c>
      <c r="J69" s="2">
        <v>183</v>
      </c>
      <c r="K69" s="2">
        <v>146</v>
      </c>
      <c r="L69" s="2">
        <v>150</v>
      </c>
      <c r="M69" s="2">
        <f t="shared" si="13"/>
        <v>146</v>
      </c>
      <c r="N69" t="e">
        <f t="shared" ca="1" si="14"/>
        <v>#NAME?</v>
      </c>
      <c r="O69" t="str">
        <f t="shared" si="15"/>
        <v>Best C-TP Cost</v>
      </c>
      <c r="P69" s="2">
        <f t="shared" si="16"/>
        <v>22.602739726027394</v>
      </c>
      <c r="Q69" s="2">
        <f t="shared" si="17"/>
        <v>24.657534246575342</v>
      </c>
      <c r="R69" s="2">
        <f t="shared" si="18"/>
        <v>25.342465753424658</v>
      </c>
      <c r="S69" s="2">
        <f t="shared" si="19"/>
        <v>0</v>
      </c>
      <c r="T69" s="2">
        <f t="shared" si="20"/>
        <v>2.7397260273972601</v>
      </c>
      <c r="U69" s="3" t="str">
        <f t="shared" si="21"/>
        <v/>
      </c>
      <c r="V69" s="3" t="str">
        <f t="shared" si="22"/>
        <v/>
      </c>
      <c r="W69" s="3" t="str">
        <f t="shared" si="23"/>
        <v/>
      </c>
      <c r="X69" s="3" t="str">
        <f t="shared" si="24"/>
        <v>YES</v>
      </c>
      <c r="Y69" s="3" t="str">
        <f t="shared" si="25"/>
        <v/>
      </c>
    </row>
    <row r="70" spans="1:25">
      <c r="A70" t="s">
        <v>139</v>
      </c>
      <c r="B70">
        <v>25</v>
      </c>
      <c r="C70">
        <v>10</v>
      </c>
      <c r="D70">
        <v>10000</v>
      </c>
      <c r="E70">
        <v>1</v>
      </c>
      <c r="F70" t="s">
        <v>69</v>
      </c>
      <c r="G70" t="s">
        <v>70</v>
      </c>
      <c r="H70" s="2">
        <v>7</v>
      </c>
      <c r="I70" s="2">
        <v>7</v>
      </c>
      <c r="J70" s="2">
        <v>7</v>
      </c>
      <c r="K70" s="2">
        <v>7</v>
      </c>
      <c r="L70" s="2">
        <v>7</v>
      </c>
      <c r="M70" s="2">
        <f t="shared" si="13"/>
        <v>7</v>
      </c>
      <c r="N70" t="e">
        <f t="shared" ca="1" si="14"/>
        <v>#NAME?</v>
      </c>
      <c r="O70" t="str">
        <f t="shared" si="15"/>
        <v/>
      </c>
      <c r="P70" s="2">
        <f t="shared" si="16"/>
        <v>0</v>
      </c>
      <c r="Q70" s="2">
        <f t="shared" si="17"/>
        <v>0</v>
      </c>
      <c r="R70" s="2">
        <f t="shared" si="18"/>
        <v>0</v>
      </c>
      <c r="S70" s="2">
        <f t="shared" si="19"/>
        <v>0</v>
      </c>
      <c r="T70" s="2">
        <f t="shared" si="20"/>
        <v>0</v>
      </c>
      <c r="U70" s="3" t="str">
        <f t="shared" si="21"/>
        <v>YES</v>
      </c>
      <c r="V70" s="3" t="str">
        <f t="shared" si="22"/>
        <v>YES</v>
      </c>
      <c r="W70" s="3" t="str">
        <f t="shared" si="23"/>
        <v>YES</v>
      </c>
      <c r="X70" s="3" t="str">
        <f t="shared" si="24"/>
        <v>YES</v>
      </c>
      <c r="Y70" s="3" t="str">
        <f t="shared" si="25"/>
        <v>YES</v>
      </c>
    </row>
    <row r="71" spans="1:25">
      <c r="A71" t="s">
        <v>140</v>
      </c>
      <c r="B71">
        <v>25</v>
      </c>
      <c r="C71">
        <v>10</v>
      </c>
      <c r="D71">
        <v>10000</v>
      </c>
      <c r="E71">
        <v>1</v>
      </c>
      <c r="F71" t="s">
        <v>69</v>
      </c>
      <c r="G71" t="s">
        <v>70</v>
      </c>
      <c r="H71" s="2">
        <v>8</v>
      </c>
      <c r="I71" s="2">
        <v>8</v>
      </c>
      <c r="J71" s="2">
        <v>8</v>
      </c>
      <c r="K71" s="2">
        <v>7</v>
      </c>
      <c r="L71" s="2">
        <v>8</v>
      </c>
      <c r="M71" s="2">
        <f t="shared" si="13"/>
        <v>7</v>
      </c>
      <c r="N71" t="e">
        <f t="shared" ca="1" si="14"/>
        <v>#NAME?</v>
      </c>
      <c r="O71" t="str">
        <f t="shared" si="15"/>
        <v>Best C-TP Cost</v>
      </c>
      <c r="P71" s="2">
        <f t="shared" si="16"/>
        <v>14.285714285714285</v>
      </c>
      <c r="Q71" s="2">
        <f t="shared" si="17"/>
        <v>14.285714285714285</v>
      </c>
      <c r="R71" s="2">
        <f t="shared" si="18"/>
        <v>14.285714285714285</v>
      </c>
      <c r="S71" s="2">
        <f t="shared" si="19"/>
        <v>0</v>
      </c>
      <c r="T71" s="2">
        <f t="shared" si="20"/>
        <v>14.285714285714285</v>
      </c>
      <c r="U71" s="3" t="str">
        <f t="shared" si="21"/>
        <v/>
      </c>
      <c r="V71" s="3" t="str">
        <f t="shared" si="22"/>
        <v/>
      </c>
      <c r="W71" s="3" t="str">
        <f t="shared" si="23"/>
        <v/>
      </c>
      <c r="X71" s="3" t="str">
        <f t="shared" si="24"/>
        <v>YES</v>
      </c>
      <c r="Y71" s="3" t="str">
        <f t="shared" si="25"/>
        <v/>
      </c>
    </row>
    <row r="72" spans="1:25">
      <c r="A72" t="s">
        <v>141</v>
      </c>
      <c r="B72">
        <v>25</v>
      </c>
      <c r="C72">
        <v>10</v>
      </c>
      <c r="D72">
        <v>10000</v>
      </c>
      <c r="E72">
        <v>10</v>
      </c>
      <c r="F72" t="s">
        <v>69</v>
      </c>
      <c r="G72" t="s">
        <v>70</v>
      </c>
      <c r="H72" s="2">
        <v>147</v>
      </c>
      <c r="I72" s="2">
        <v>147</v>
      </c>
      <c r="J72" s="2">
        <v>157</v>
      </c>
      <c r="K72" s="2">
        <v>126</v>
      </c>
      <c r="L72" s="2">
        <v>111</v>
      </c>
      <c r="M72" s="2">
        <f t="shared" si="13"/>
        <v>111</v>
      </c>
      <c r="N72" t="e">
        <f t="shared" ca="1" si="14"/>
        <v>#NAME?</v>
      </c>
      <c r="O72" t="str">
        <f t="shared" si="15"/>
        <v>MSIG Cost</v>
      </c>
      <c r="P72" s="2">
        <f t="shared" si="16"/>
        <v>32.432432432432435</v>
      </c>
      <c r="Q72" s="2">
        <f t="shared" si="17"/>
        <v>32.432432432432435</v>
      </c>
      <c r="R72" s="2">
        <f t="shared" si="18"/>
        <v>41.441441441441441</v>
      </c>
      <c r="S72" s="2">
        <f t="shared" si="19"/>
        <v>13.513513513513514</v>
      </c>
      <c r="T72" s="2">
        <f t="shared" si="20"/>
        <v>0</v>
      </c>
      <c r="U72" s="3" t="str">
        <f t="shared" si="21"/>
        <v/>
      </c>
      <c r="V72" s="3" t="str">
        <f t="shared" si="22"/>
        <v/>
      </c>
      <c r="W72" s="3" t="str">
        <f t="shared" si="23"/>
        <v/>
      </c>
      <c r="X72" s="3" t="str">
        <f t="shared" si="24"/>
        <v/>
      </c>
      <c r="Y72" s="3" t="str">
        <f t="shared" si="25"/>
        <v>YES</v>
      </c>
    </row>
    <row r="73" spans="1:25">
      <c r="A73" t="s">
        <v>142</v>
      </c>
      <c r="B73">
        <v>25</v>
      </c>
      <c r="C73">
        <v>10</v>
      </c>
      <c r="D73">
        <v>10000</v>
      </c>
      <c r="E73">
        <v>10</v>
      </c>
      <c r="F73" t="s">
        <v>69</v>
      </c>
      <c r="G73" t="s">
        <v>70</v>
      </c>
      <c r="H73" s="2">
        <v>150</v>
      </c>
      <c r="I73" s="2">
        <v>150</v>
      </c>
      <c r="J73" s="2">
        <v>150</v>
      </c>
      <c r="K73" s="2">
        <v>126</v>
      </c>
      <c r="L73" s="2">
        <v>132</v>
      </c>
      <c r="M73" s="2">
        <f t="shared" si="13"/>
        <v>126</v>
      </c>
      <c r="N73" t="e">
        <f t="shared" ca="1" si="14"/>
        <v>#NAME?</v>
      </c>
      <c r="O73" t="str">
        <f t="shared" si="15"/>
        <v>Best C-TP Cost</v>
      </c>
      <c r="P73" s="2">
        <f t="shared" si="16"/>
        <v>19.047619047619047</v>
      </c>
      <c r="Q73" s="2">
        <f t="shared" si="17"/>
        <v>19.047619047619047</v>
      </c>
      <c r="R73" s="2">
        <f t="shared" si="18"/>
        <v>19.047619047619047</v>
      </c>
      <c r="S73" s="2">
        <f t="shared" si="19"/>
        <v>0</v>
      </c>
      <c r="T73" s="2">
        <f t="shared" si="20"/>
        <v>4.7619047619047619</v>
      </c>
      <c r="U73" s="3" t="str">
        <f t="shared" si="21"/>
        <v/>
      </c>
      <c r="V73" s="3" t="str">
        <f t="shared" si="22"/>
        <v/>
      </c>
      <c r="W73" s="3" t="str">
        <f t="shared" si="23"/>
        <v/>
      </c>
      <c r="X73" s="3" t="str">
        <f t="shared" si="24"/>
        <v>YES</v>
      </c>
      <c r="Y73" s="3" t="str">
        <f t="shared" si="25"/>
        <v/>
      </c>
    </row>
    <row r="74" spans="1:25">
      <c r="A74" t="s">
        <v>143</v>
      </c>
      <c r="B74">
        <v>25</v>
      </c>
      <c r="C74">
        <v>10</v>
      </c>
      <c r="D74">
        <v>10000</v>
      </c>
      <c r="E74">
        <v>1</v>
      </c>
      <c r="F74" t="s">
        <v>69</v>
      </c>
      <c r="G74" t="s">
        <v>70</v>
      </c>
      <c r="H74" s="2">
        <v>6</v>
      </c>
      <c r="I74" s="2">
        <v>6</v>
      </c>
      <c r="J74" s="2">
        <v>6</v>
      </c>
      <c r="K74" s="2">
        <v>7</v>
      </c>
      <c r="L74" s="2">
        <v>6</v>
      </c>
      <c r="M74" s="2">
        <f t="shared" si="13"/>
        <v>6</v>
      </c>
      <c r="N74" t="e">
        <f t="shared" ca="1" si="14"/>
        <v>#NAME?</v>
      </c>
      <c r="O74" t="str">
        <f t="shared" si="15"/>
        <v/>
      </c>
      <c r="P74" s="2">
        <f t="shared" si="16"/>
        <v>0</v>
      </c>
      <c r="Q74" s="2">
        <f t="shared" si="17"/>
        <v>0</v>
      </c>
      <c r="R74" s="2">
        <f t="shared" si="18"/>
        <v>0</v>
      </c>
      <c r="S74" s="2">
        <f t="shared" si="19"/>
        <v>16.666666666666664</v>
      </c>
      <c r="T74" s="2">
        <f t="shared" si="20"/>
        <v>0</v>
      </c>
      <c r="U74" s="3" t="str">
        <f t="shared" si="21"/>
        <v>YES</v>
      </c>
      <c r="V74" s="3" t="str">
        <f t="shared" si="22"/>
        <v>YES</v>
      </c>
      <c r="W74" s="3" t="str">
        <f t="shared" si="23"/>
        <v>YES</v>
      </c>
      <c r="X74" s="3" t="str">
        <f t="shared" si="24"/>
        <v/>
      </c>
      <c r="Y74" s="3" t="str">
        <f t="shared" si="25"/>
        <v>YES</v>
      </c>
    </row>
    <row r="75" spans="1:25">
      <c r="A75" t="s">
        <v>144</v>
      </c>
      <c r="B75">
        <v>25</v>
      </c>
      <c r="C75">
        <v>10</v>
      </c>
      <c r="D75">
        <v>10000</v>
      </c>
      <c r="E75">
        <v>1</v>
      </c>
      <c r="F75" t="s">
        <v>69</v>
      </c>
      <c r="G75" t="s">
        <v>70</v>
      </c>
      <c r="H75" s="2">
        <v>6</v>
      </c>
      <c r="I75" s="2">
        <v>6</v>
      </c>
      <c r="J75" s="2">
        <v>6</v>
      </c>
      <c r="K75" s="2">
        <v>7</v>
      </c>
      <c r="L75" s="2">
        <v>6</v>
      </c>
      <c r="M75" s="2">
        <f t="shared" si="13"/>
        <v>6</v>
      </c>
      <c r="N75" t="e">
        <f t="shared" ca="1" si="14"/>
        <v>#NAME?</v>
      </c>
      <c r="O75" t="str">
        <f t="shared" si="15"/>
        <v/>
      </c>
      <c r="P75" s="2">
        <f t="shared" si="16"/>
        <v>0</v>
      </c>
      <c r="Q75" s="2">
        <f t="shared" si="17"/>
        <v>0</v>
      </c>
      <c r="R75" s="2">
        <f t="shared" si="18"/>
        <v>0</v>
      </c>
      <c r="S75" s="2">
        <f t="shared" si="19"/>
        <v>16.666666666666664</v>
      </c>
      <c r="T75" s="2">
        <f t="shared" si="20"/>
        <v>0</v>
      </c>
      <c r="U75" s="3" t="str">
        <f t="shared" si="21"/>
        <v>YES</v>
      </c>
      <c r="V75" s="3" t="str">
        <f t="shared" si="22"/>
        <v>YES</v>
      </c>
      <c r="W75" s="3" t="str">
        <f t="shared" si="23"/>
        <v>YES</v>
      </c>
      <c r="X75" s="3" t="str">
        <f t="shared" si="24"/>
        <v/>
      </c>
      <c r="Y75" s="3" t="str">
        <f t="shared" si="25"/>
        <v>YES</v>
      </c>
    </row>
    <row r="76" spans="1:25">
      <c r="A76" t="s">
        <v>145</v>
      </c>
      <c r="B76">
        <v>25</v>
      </c>
      <c r="C76">
        <v>10</v>
      </c>
      <c r="D76">
        <v>10000</v>
      </c>
      <c r="E76">
        <v>10</v>
      </c>
      <c r="F76" t="s">
        <v>69</v>
      </c>
      <c r="G76" t="s">
        <v>70</v>
      </c>
      <c r="H76" s="2">
        <v>104</v>
      </c>
      <c r="I76" s="2">
        <v>113</v>
      </c>
      <c r="J76" s="2">
        <v>112</v>
      </c>
      <c r="K76" s="2">
        <v>106</v>
      </c>
      <c r="L76" s="2">
        <v>87</v>
      </c>
      <c r="M76" s="2">
        <f t="shared" si="13"/>
        <v>87</v>
      </c>
      <c r="N76" t="e">
        <f t="shared" ca="1" si="14"/>
        <v>#NAME?</v>
      </c>
      <c r="O76" t="str">
        <f t="shared" si="15"/>
        <v>MSIG Cost</v>
      </c>
      <c r="P76" s="2">
        <f t="shared" si="16"/>
        <v>19.540229885057471</v>
      </c>
      <c r="Q76" s="2">
        <f t="shared" si="17"/>
        <v>29.885057471264371</v>
      </c>
      <c r="R76" s="2">
        <f t="shared" si="18"/>
        <v>28.735632183908045</v>
      </c>
      <c r="S76" s="2">
        <f t="shared" si="19"/>
        <v>21.839080459770116</v>
      </c>
      <c r="T76" s="2">
        <f t="shared" si="20"/>
        <v>0</v>
      </c>
      <c r="U76" s="3" t="str">
        <f t="shared" si="21"/>
        <v/>
      </c>
      <c r="V76" s="3" t="str">
        <f t="shared" si="22"/>
        <v/>
      </c>
      <c r="W76" s="3" t="str">
        <f t="shared" si="23"/>
        <v/>
      </c>
      <c r="X76" s="3" t="str">
        <f t="shared" si="24"/>
        <v/>
      </c>
      <c r="Y76" s="3" t="str">
        <f t="shared" si="25"/>
        <v>YES</v>
      </c>
    </row>
    <row r="77" spans="1:25">
      <c r="A77" t="s">
        <v>146</v>
      </c>
      <c r="B77">
        <v>25</v>
      </c>
      <c r="C77">
        <v>10</v>
      </c>
      <c r="D77">
        <v>10000</v>
      </c>
      <c r="E77">
        <v>10</v>
      </c>
      <c r="F77" t="s">
        <v>69</v>
      </c>
      <c r="G77" t="s">
        <v>70</v>
      </c>
      <c r="H77" s="2">
        <v>117</v>
      </c>
      <c r="I77" s="2">
        <v>117</v>
      </c>
      <c r="J77" s="2">
        <v>120</v>
      </c>
      <c r="K77" s="2">
        <v>106</v>
      </c>
      <c r="L77" s="2">
        <v>98</v>
      </c>
      <c r="M77" s="2">
        <f t="shared" si="13"/>
        <v>98</v>
      </c>
      <c r="N77" t="e">
        <f t="shared" ca="1" si="14"/>
        <v>#NAME?</v>
      </c>
      <c r="O77" t="str">
        <f t="shared" si="15"/>
        <v>MSIG Cost</v>
      </c>
      <c r="P77" s="2">
        <f t="shared" si="16"/>
        <v>19.387755102040817</v>
      </c>
      <c r="Q77" s="2">
        <f t="shared" si="17"/>
        <v>19.387755102040817</v>
      </c>
      <c r="R77" s="2">
        <f t="shared" si="18"/>
        <v>22.448979591836736</v>
      </c>
      <c r="S77" s="2">
        <f t="shared" si="19"/>
        <v>8.1632653061224492</v>
      </c>
      <c r="T77" s="2">
        <f t="shared" si="20"/>
        <v>0</v>
      </c>
      <c r="U77" s="3" t="str">
        <f t="shared" si="21"/>
        <v/>
      </c>
      <c r="V77" s="3" t="str">
        <f t="shared" si="22"/>
        <v/>
      </c>
      <c r="W77" s="3" t="str">
        <f t="shared" si="23"/>
        <v/>
      </c>
      <c r="X77" s="3" t="str">
        <f t="shared" si="24"/>
        <v/>
      </c>
      <c r="Y77" s="3" t="str">
        <f t="shared" si="25"/>
        <v>YES</v>
      </c>
    </row>
    <row r="78" spans="1:25">
      <c r="A78" t="s">
        <v>147</v>
      </c>
      <c r="B78">
        <v>25</v>
      </c>
      <c r="C78">
        <v>10</v>
      </c>
      <c r="D78">
        <v>10000</v>
      </c>
      <c r="E78">
        <v>1</v>
      </c>
      <c r="F78" t="s">
        <v>69</v>
      </c>
      <c r="G78" t="s">
        <v>70</v>
      </c>
      <c r="H78" s="2">
        <v>4</v>
      </c>
      <c r="I78" s="2">
        <v>5</v>
      </c>
      <c r="J78" s="2">
        <v>4</v>
      </c>
      <c r="K78" s="2">
        <v>5</v>
      </c>
      <c r="L78" s="2">
        <v>4</v>
      </c>
      <c r="M78" s="2">
        <f t="shared" si="13"/>
        <v>4</v>
      </c>
      <c r="N78" t="e">
        <f t="shared" ca="1" si="14"/>
        <v>#NAME?</v>
      </c>
      <c r="O78" t="str">
        <f t="shared" si="15"/>
        <v/>
      </c>
      <c r="P78" s="2">
        <f t="shared" si="16"/>
        <v>0</v>
      </c>
      <c r="Q78" s="2">
        <f t="shared" si="17"/>
        <v>25</v>
      </c>
      <c r="R78" s="2">
        <f t="shared" si="18"/>
        <v>0</v>
      </c>
      <c r="S78" s="2">
        <f t="shared" si="19"/>
        <v>25</v>
      </c>
      <c r="T78" s="2">
        <f t="shared" si="20"/>
        <v>0</v>
      </c>
      <c r="U78" s="3" t="str">
        <f t="shared" si="21"/>
        <v>YES</v>
      </c>
      <c r="V78" s="3" t="str">
        <f t="shared" si="22"/>
        <v/>
      </c>
      <c r="W78" s="3" t="str">
        <f t="shared" si="23"/>
        <v>YES</v>
      </c>
      <c r="X78" s="3" t="str">
        <f t="shared" si="24"/>
        <v/>
      </c>
      <c r="Y78" s="3" t="str">
        <f t="shared" si="25"/>
        <v>YES</v>
      </c>
    </row>
    <row r="79" spans="1:25">
      <c r="A79" t="s">
        <v>148</v>
      </c>
      <c r="B79">
        <v>25</v>
      </c>
      <c r="C79">
        <v>10</v>
      </c>
      <c r="D79">
        <v>10000</v>
      </c>
      <c r="E79">
        <v>1</v>
      </c>
      <c r="F79" t="s">
        <v>69</v>
      </c>
      <c r="G79" t="s">
        <v>70</v>
      </c>
      <c r="H79" s="2">
        <v>5</v>
      </c>
      <c r="I79" s="2">
        <v>5</v>
      </c>
      <c r="J79" s="2">
        <v>5</v>
      </c>
      <c r="K79" s="2">
        <v>5</v>
      </c>
      <c r="L79" s="2">
        <v>4</v>
      </c>
      <c r="M79" s="2">
        <f t="shared" si="13"/>
        <v>4</v>
      </c>
      <c r="N79" t="e">
        <f t="shared" ca="1" si="14"/>
        <v>#NAME?</v>
      </c>
      <c r="O79" t="str">
        <f t="shared" si="15"/>
        <v>MSIG Cost</v>
      </c>
      <c r="P79" s="2">
        <f t="shared" si="16"/>
        <v>25</v>
      </c>
      <c r="Q79" s="2">
        <f t="shared" si="17"/>
        <v>25</v>
      </c>
      <c r="R79" s="2">
        <f t="shared" si="18"/>
        <v>25</v>
      </c>
      <c r="S79" s="2">
        <f t="shared" si="19"/>
        <v>25</v>
      </c>
      <c r="T79" s="2">
        <f t="shared" si="20"/>
        <v>0</v>
      </c>
      <c r="U79" s="3" t="str">
        <f t="shared" si="21"/>
        <v/>
      </c>
      <c r="V79" s="3" t="str">
        <f t="shared" si="22"/>
        <v/>
      </c>
      <c r="W79" s="3" t="str">
        <f t="shared" si="23"/>
        <v/>
      </c>
      <c r="X79" s="3" t="str">
        <f t="shared" si="24"/>
        <v/>
      </c>
      <c r="Y79" s="3" t="str">
        <f t="shared" si="25"/>
        <v>YES</v>
      </c>
    </row>
    <row r="80" spans="1:25">
      <c r="A80" t="s">
        <v>149</v>
      </c>
      <c r="B80">
        <v>25</v>
      </c>
      <c r="C80">
        <v>10</v>
      </c>
      <c r="D80">
        <v>10000</v>
      </c>
      <c r="E80">
        <v>10</v>
      </c>
      <c r="F80" t="s">
        <v>69</v>
      </c>
      <c r="G80" t="s">
        <v>70</v>
      </c>
      <c r="H80" s="2">
        <v>99</v>
      </c>
      <c r="I80" s="2">
        <v>99</v>
      </c>
      <c r="J80" s="2">
        <v>100</v>
      </c>
      <c r="K80" s="2">
        <v>106</v>
      </c>
      <c r="L80" s="2">
        <v>95</v>
      </c>
      <c r="M80" s="2">
        <f t="shared" si="13"/>
        <v>95</v>
      </c>
      <c r="N80" t="e">
        <f t="shared" ca="1" si="14"/>
        <v>#NAME?</v>
      </c>
      <c r="O80" t="str">
        <f t="shared" si="15"/>
        <v>MSIG Cost</v>
      </c>
      <c r="P80" s="2">
        <f t="shared" si="16"/>
        <v>4.2105263157894735</v>
      </c>
      <c r="Q80" s="2">
        <f t="shared" si="17"/>
        <v>4.2105263157894735</v>
      </c>
      <c r="R80" s="2">
        <f t="shared" si="18"/>
        <v>5.2631578947368416</v>
      </c>
      <c r="S80" s="2">
        <f t="shared" si="19"/>
        <v>11.578947368421053</v>
      </c>
      <c r="T80" s="2">
        <f t="shared" si="20"/>
        <v>0</v>
      </c>
      <c r="U80" s="3" t="str">
        <f t="shared" si="21"/>
        <v/>
      </c>
      <c r="V80" s="3" t="str">
        <f t="shared" si="22"/>
        <v/>
      </c>
      <c r="W80" s="3" t="str">
        <f t="shared" si="23"/>
        <v/>
      </c>
      <c r="X80" s="3" t="str">
        <f t="shared" si="24"/>
        <v/>
      </c>
      <c r="Y80" s="3" t="str">
        <f t="shared" si="25"/>
        <v>YES</v>
      </c>
    </row>
    <row r="81" spans="1:25">
      <c r="A81" t="s">
        <v>150</v>
      </c>
      <c r="B81">
        <v>25</v>
      </c>
      <c r="C81">
        <v>10</v>
      </c>
      <c r="D81">
        <v>10000</v>
      </c>
      <c r="E81">
        <v>10</v>
      </c>
      <c r="F81" t="s">
        <v>69</v>
      </c>
      <c r="G81" t="s">
        <v>70</v>
      </c>
      <c r="H81" s="2">
        <v>110</v>
      </c>
      <c r="I81" s="2">
        <v>118</v>
      </c>
      <c r="J81" s="2">
        <v>108</v>
      </c>
      <c r="K81" s="2">
        <v>106</v>
      </c>
      <c r="L81" s="2">
        <v>93</v>
      </c>
      <c r="M81" s="2">
        <f t="shared" si="13"/>
        <v>93</v>
      </c>
      <c r="N81" t="e">
        <f t="shared" ca="1" si="14"/>
        <v>#NAME?</v>
      </c>
      <c r="O81" t="str">
        <f t="shared" si="15"/>
        <v>MSIG Cost</v>
      </c>
      <c r="P81" s="2">
        <f t="shared" si="16"/>
        <v>18.27956989247312</v>
      </c>
      <c r="Q81" s="2">
        <f t="shared" si="17"/>
        <v>26.881720430107524</v>
      </c>
      <c r="R81" s="2">
        <f t="shared" si="18"/>
        <v>16.129032258064516</v>
      </c>
      <c r="S81" s="2">
        <f t="shared" si="19"/>
        <v>13.978494623655912</v>
      </c>
      <c r="T81" s="2">
        <f t="shared" si="20"/>
        <v>0</v>
      </c>
      <c r="U81" s="3" t="str">
        <f t="shared" si="21"/>
        <v/>
      </c>
      <c r="V81" s="3" t="str">
        <f t="shared" si="22"/>
        <v/>
      </c>
      <c r="W81" s="3" t="str">
        <f t="shared" si="23"/>
        <v/>
      </c>
      <c r="X81" s="3" t="str">
        <f t="shared" si="24"/>
        <v/>
      </c>
      <c r="Y81" s="3" t="str">
        <f t="shared" si="25"/>
        <v>YES</v>
      </c>
    </row>
    <row r="82" spans="1:25">
      <c r="A82" t="s">
        <v>151</v>
      </c>
      <c r="B82">
        <v>25</v>
      </c>
      <c r="C82">
        <v>5</v>
      </c>
      <c r="D82">
        <v>10000</v>
      </c>
      <c r="E82">
        <v>1</v>
      </c>
      <c r="F82" t="s">
        <v>69</v>
      </c>
      <c r="G82" t="s">
        <v>70</v>
      </c>
      <c r="H82" s="2">
        <v>9</v>
      </c>
      <c r="I82" s="2">
        <v>9</v>
      </c>
      <c r="J82" s="2">
        <v>9</v>
      </c>
      <c r="K82" s="2">
        <v>9</v>
      </c>
      <c r="L82" s="2">
        <v>8</v>
      </c>
      <c r="M82" s="2">
        <f t="shared" si="13"/>
        <v>8</v>
      </c>
      <c r="N82" t="e">
        <f t="shared" ca="1" si="14"/>
        <v>#NAME?</v>
      </c>
      <c r="O82" t="str">
        <f t="shared" si="15"/>
        <v>MSIG Cost</v>
      </c>
      <c r="P82" s="2">
        <f t="shared" si="16"/>
        <v>12.5</v>
      </c>
      <c r="Q82" s="2">
        <f t="shared" si="17"/>
        <v>12.5</v>
      </c>
      <c r="R82" s="2">
        <f t="shared" si="18"/>
        <v>12.5</v>
      </c>
      <c r="S82" s="2">
        <f t="shared" si="19"/>
        <v>12.5</v>
      </c>
      <c r="T82" s="2">
        <f t="shared" si="20"/>
        <v>0</v>
      </c>
      <c r="U82" s="3" t="str">
        <f t="shared" si="21"/>
        <v/>
      </c>
      <c r="V82" s="3" t="str">
        <f t="shared" si="22"/>
        <v/>
      </c>
      <c r="W82" s="3" t="str">
        <f t="shared" si="23"/>
        <v/>
      </c>
      <c r="X82" s="3" t="str">
        <f t="shared" si="24"/>
        <v/>
      </c>
      <c r="Y82" s="3" t="str">
        <f t="shared" si="25"/>
        <v>YES</v>
      </c>
    </row>
    <row r="83" spans="1:25">
      <c r="A83" t="s">
        <v>152</v>
      </c>
      <c r="B83">
        <v>25</v>
      </c>
      <c r="C83">
        <v>5</v>
      </c>
      <c r="D83">
        <v>10000</v>
      </c>
      <c r="E83">
        <v>1</v>
      </c>
      <c r="F83" t="s">
        <v>69</v>
      </c>
      <c r="G83" t="s">
        <v>70</v>
      </c>
      <c r="H83" s="2">
        <v>8</v>
      </c>
      <c r="I83" s="2">
        <v>9</v>
      </c>
      <c r="J83" s="2">
        <v>9</v>
      </c>
      <c r="K83" s="2">
        <v>9</v>
      </c>
      <c r="L83" s="2">
        <v>8</v>
      </c>
      <c r="M83" s="2">
        <f t="shared" si="13"/>
        <v>8</v>
      </c>
      <c r="N83" t="e">
        <f t="shared" ca="1" si="14"/>
        <v>#NAME?</v>
      </c>
      <c r="O83" t="str">
        <f t="shared" si="15"/>
        <v/>
      </c>
      <c r="P83" s="2">
        <f t="shared" si="16"/>
        <v>0</v>
      </c>
      <c r="Q83" s="2">
        <f t="shared" si="17"/>
        <v>12.5</v>
      </c>
      <c r="R83" s="2">
        <f t="shared" si="18"/>
        <v>12.5</v>
      </c>
      <c r="S83" s="2">
        <f t="shared" si="19"/>
        <v>12.5</v>
      </c>
      <c r="T83" s="2">
        <f t="shared" si="20"/>
        <v>0</v>
      </c>
      <c r="U83" s="3" t="str">
        <f t="shared" si="21"/>
        <v>YES</v>
      </c>
      <c r="V83" s="3" t="str">
        <f t="shared" si="22"/>
        <v/>
      </c>
      <c r="W83" s="3" t="str">
        <f t="shared" si="23"/>
        <v/>
      </c>
      <c r="X83" s="3" t="str">
        <f t="shared" si="24"/>
        <v/>
      </c>
      <c r="Y83" s="3" t="str">
        <f t="shared" si="25"/>
        <v>YES</v>
      </c>
    </row>
    <row r="84" spans="1:25">
      <c r="A84" t="s">
        <v>153</v>
      </c>
      <c r="B84">
        <v>25</v>
      </c>
      <c r="C84">
        <v>5</v>
      </c>
      <c r="D84">
        <v>10000</v>
      </c>
      <c r="E84">
        <v>10</v>
      </c>
      <c r="F84" t="s">
        <v>69</v>
      </c>
      <c r="G84" t="s">
        <v>70</v>
      </c>
      <c r="H84" s="2">
        <v>153</v>
      </c>
      <c r="I84" s="2">
        <v>153</v>
      </c>
      <c r="J84" s="2">
        <v>157</v>
      </c>
      <c r="K84" s="2">
        <v>140</v>
      </c>
      <c r="L84" s="2">
        <v>125</v>
      </c>
      <c r="M84" s="2">
        <f t="shared" si="13"/>
        <v>125</v>
      </c>
      <c r="N84" t="e">
        <f t="shared" ca="1" si="14"/>
        <v>#NAME?</v>
      </c>
      <c r="O84" t="str">
        <f t="shared" si="15"/>
        <v>MSIG Cost</v>
      </c>
      <c r="P84" s="2">
        <f t="shared" si="16"/>
        <v>22.400000000000002</v>
      </c>
      <c r="Q84" s="2">
        <f t="shared" si="17"/>
        <v>22.400000000000002</v>
      </c>
      <c r="R84" s="2">
        <f t="shared" si="18"/>
        <v>25.6</v>
      </c>
      <c r="S84" s="2">
        <f t="shared" si="19"/>
        <v>12</v>
      </c>
      <c r="T84" s="2">
        <f t="shared" si="20"/>
        <v>0</v>
      </c>
      <c r="U84" s="3" t="str">
        <f t="shared" si="21"/>
        <v/>
      </c>
      <c r="V84" s="3" t="str">
        <f t="shared" si="22"/>
        <v/>
      </c>
      <c r="W84" s="3" t="str">
        <f t="shared" si="23"/>
        <v/>
      </c>
      <c r="X84" s="3" t="str">
        <f t="shared" si="24"/>
        <v/>
      </c>
      <c r="Y84" s="3" t="str">
        <f t="shared" si="25"/>
        <v>YES</v>
      </c>
    </row>
    <row r="85" spans="1:25">
      <c r="A85" t="s">
        <v>154</v>
      </c>
      <c r="B85">
        <v>25</v>
      </c>
      <c r="C85">
        <v>5</v>
      </c>
      <c r="D85">
        <v>10000</v>
      </c>
      <c r="E85">
        <v>10</v>
      </c>
      <c r="F85" t="s">
        <v>69</v>
      </c>
      <c r="G85" t="s">
        <v>70</v>
      </c>
      <c r="H85" s="2">
        <v>124</v>
      </c>
      <c r="I85" s="2">
        <v>124</v>
      </c>
      <c r="J85" s="2">
        <v>121</v>
      </c>
      <c r="K85" s="2">
        <v>125</v>
      </c>
      <c r="L85" s="2">
        <v>98</v>
      </c>
      <c r="M85" s="2">
        <f t="shared" si="13"/>
        <v>98</v>
      </c>
      <c r="N85" t="e">
        <f t="shared" ca="1" si="14"/>
        <v>#NAME?</v>
      </c>
      <c r="O85" t="str">
        <f t="shared" si="15"/>
        <v>MSIG Cost</v>
      </c>
      <c r="P85" s="2">
        <f t="shared" si="16"/>
        <v>26.530612244897959</v>
      </c>
      <c r="Q85" s="2">
        <f t="shared" si="17"/>
        <v>26.530612244897959</v>
      </c>
      <c r="R85" s="2">
        <f t="shared" si="18"/>
        <v>23.469387755102041</v>
      </c>
      <c r="S85" s="2">
        <f t="shared" si="19"/>
        <v>27.551020408163261</v>
      </c>
      <c r="T85" s="2">
        <f t="shared" si="20"/>
        <v>0</v>
      </c>
      <c r="U85" s="3" t="str">
        <f t="shared" si="21"/>
        <v/>
      </c>
      <c r="V85" s="3" t="str">
        <f t="shared" si="22"/>
        <v/>
      </c>
      <c r="W85" s="3" t="str">
        <f t="shared" si="23"/>
        <v/>
      </c>
      <c r="X85" s="3" t="str">
        <f t="shared" si="24"/>
        <v/>
      </c>
      <c r="Y85" s="3" t="str">
        <f t="shared" si="25"/>
        <v>YES</v>
      </c>
    </row>
    <row r="86" spans="1:25">
      <c r="A86" t="s">
        <v>155</v>
      </c>
      <c r="B86">
        <v>25</v>
      </c>
      <c r="C86">
        <v>5</v>
      </c>
      <c r="D86">
        <v>10000</v>
      </c>
      <c r="E86">
        <v>1</v>
      </c>
      <c r="F86" t="s">
        <v>69</v>
      </c>
      <c r="G86" t="s">
        <v>70</v>
      </c>
      <c r="H86" s="2">
        <v>7</v>
      </c>
      <c r="I86" s="2">
        <v>7</v>
      </c>
      <c r="J86" s="2">
        <v>8</v>
      </c>
      <c r="K86" s="2">
        <v>8</v>
      </c>
      <c r="L86" s="2">
        <v>7</v>
      </c>
      <c r="M86" s="2">
        <f t="shared" si="13"/>
        <v>7</v>
      </c>
      <c r="N86" t="e">
        <f t="shared" ca="1" si="14"/>
        <v>#NAME?</v>
      </c>
      <c r="O86" t="str">
        <f t="shared" si="15"/>
        <v/>
      </c>
      <c r="P86" s="2">
        <f t="shared" si="16"/>
        <v>0</v>
      </c>
      <c r="Q86" s="2">
        <f t="shared" si="17"/>
        <v>0</v>
      </c>
      <c r="R86" s="2">
        <f t="shared" si="18"/>
        <v>14.285714285714285</v>
      </c>
      <c r="S86" s="2">
        <f t="shared" si="19"/>
        <v>14.285714285714285</v>
      </c>
      <c r="T86" s="2">
        <f t="shared" si="20"/>
        <v>0</v>
      </c>
      <c r="U86" s="3" t="str">
        <f t="shared" si="21"/>
        <v>YES</v>
      </c>
      <c r="V86" s="3" t="str">
        <f t="shared" si="22"/>
        <v>YES</v>
      </c>
      <c r="W86" s="3" t="str">
        <f t="shared" si="23"/>
        <v/>
      </c>
      <c r="X86" s="3" t="str">
        <f t="shared" si="24"/>
        <v/>
      </c>
      <c r="Y86" s="3" t="str">
        <f t="shared" si="25"/>
        <v>YES</v>
      </c>
    </row>
    <row r="87" spans="1:25">
      <c r="A87" t="s">
        <v>156</v>
      </c>
      <c r="B87">
        <v>25</v>
      </c>
      <c r="C87">
        <v>5</v>
      </c>
      <c r="D87">
        <v>10000</v>
      </c>
      <c r="E87">
        <v>1</v>
      </c>
      <c r="F87" t="s">
        <v>69</v>
      </c>
      <c r="G87" t="s">
        <v>70</v>
      </c>
      <c r="H87" s="2">
        <v>7</v>
      </c>
      <c r="I87" s="2">
        <v>7</v>
      </c>
      <c r="J87" s="2">
        <v>7</v>
      </c>
      <c r="K87" s="2">
        <v>8</v>
      </c>
      <c r="L87" s="2">
        <v>7</v>
      </c>
      <c r="M87" s="2">
        <f t="shared" si="13"/>
        <v>7</v>
      </c>
      <c r="N87" t="e">
        <f t="shared" ca="1" si="14"/>
        <v>#NAME?</v>
      </c>
      <c r="O87" t="str">
        <f t="shared" si="15"/>
        <v/>
      </c>
      <c r="P87" s="2">
        <f t="shared" si="16"/>
        <v>0</v>
      </c>
      <c r="Q87" s="2">
        <f t="shared" si="17"/>
        <v>0</v>
      </c>
      <c r="R87" s="2">
        <f t="shared" si="18"/>
        <v>0</v>
      </c>
      <c r="S87" s="2">
        <f t="shared" si="19"/>
        <v>14.285714285714285</v>
      </c>
      <c r="T87" s="2">
        <f t="shared" si="20"/>
        <v>0</v>
      </c>
      <c r="U87" s="3" t="str">
        <f t="shared" si="21"/>
        <v>YES</v>
      </c>
      <c r="V87" s="3" t="str">
        <f t="shared" si="22"/>
        <v>YES</v>
      </c>
      <c r="W87" s="3" t="str">
        <f t="shared" si="23"/>
        <v>YES</v>
      </c>
      <c r="X87" s="3" t="str">
        <f t="shared" si="24"/>
        <v/>
      </c>
      <c r="Y87" s="3" t="str">
        <f t="shared" si="25"/>
        <v>YES</v>
      </c>
    </row>
    <row r="88" spans="1:25">
      <c r="A88" t="s">
        <v>157</v>
      </c>
      <c r="B88">
        <v>25</v>
      </c>
      <c r="C88">
        <v>5</v>
      </c>
      <c r="D88">
        <v>10000</v>
      </c>
      <c r="E88">
        <v>10</v>
      </c>
      <c r="F88" t="s">
        <v>69</v>
      </c>
      <c r="G88" t="s">
        <v>70</v>
      </c>
      <c r="H88" s="2">
        <v>132</v>
      </c>
      <c r="I88" s="2">
        <v>127</v>
      </c>
      <c r="J88" s="2">
        <v>133</v>
      </c>
      <c r="K88" s="2">
        <v>114</v>
      </c>
      <c r="L88" s="2">
        <v>105</v>
      </c>
      <c r="M88" s="2">
        <f t="shared" si="13"/>
        <v>105</v>
      </c>
      <c r="N88" t="e">
        <f t="shared" ca="1" si="14"/>
        <v>#NAME?</v>
      </c>
      <c r="O88" t="str">
        <f t="shared" si="15"/>
        <v>MSIG Cost</v>
      </c>
      <c r="P88" s="2">
        <f t="shared" si="16"/>
        <v>25.714285714285712</v>
      </c>
      <c r="Q88" s="2">
        <f t="shared" si="17"/>
        <v>20.952380952380953</v>
      </c>
      <c r="R88" s="2">
        <f t="shared" si="18"/>
        <v>26.666666666666668</v>
      </c>
      <c r="S88" s="2">
        <f t="shared" si="19"/>
        <v>8.5714285714285712</v>
      </c>
      <c r="T88" s="2">
        <f t="shared" si="20"/>
        <v>0</v>
      </c>
      <c r="U88" s="3" t="str">
        <f t="shared" si="21"/>
        <v/>
      </c>
      <c r="V88" s="3" t="str">
        <f t="shared" si="22"/>
        <v/>
      </c>
      <c r="W88" s="3" t="str">
        <f t="shared" si="23"/>
        <v/>
      </c>
      <c r="X88" s="3" t="str">
        <f t="shared" si="24"/>
        <v/>
      </c>
      <c r="Y88" s="3" t="str">
        <f t="shared" si="25"/>
        <v>YES</v>
      </c>
    </row>
    <row r="89" spans="1:25">
      <c r="A89" t="s">
        <v>158</v>
      </c>
      <c r="B89">
        <v>25</v>
      </c>
      <c r="C89">
        <v>5</v>
      </c>
      <c r="D89">
        <v>10000</v>
      </c>
      <c r="E89">
        <v>10</v>
      </c>
      <c r="F89" t="s">
        <v>69</v>
      </c>
      <c r="G89" t="s">
        <v>70</v>
      </c>
      <c r="H89" s="2">
        <v>111</v>
      </c>
      <c r="I89" s="2">
        <v>114</v>
      </c>
      <c r="J89" s="2">
        <v>111</v>
      </c>
      <c r="K89" s="2">
        <v>115</v>
      </c>
      <c r="L89" s="2">
        <v>89</v>
      </c>
      <c r="M89" s="2">
        <f t="shared" si="13"/>
        <v>89</v>
      </c>
      <c r="N89" t="e">
        <f t="shared" ca="1" si="14"/>
        <v>#NAME?</v>
      </c>
      <c r="O89" t="str">
        <f t="shared" si="15"/>
        <v>MSIG Cost</v>
      </c>
      <c r="P89" s="2">
        <f t="shared" si="16"/>
        <v>24.719101123595504</v>
      </c>
      <c r="Q89" s="2">
        <f t="shared" si="17"/>
        <v>28.08988764044944</v>
      </c>
      <c r="R89" s="2">
        <f t="shared" si="18"/>
        <v>24.719101123595504</v>
      </c>
      <c r="S89" s="2">
        <f t="shared" si="19"/>
        <v>29.213483146067414</v>
      </c>
      <c r="T89" s="2">
        <f t="shared" si="20"/>
        <v>0</v>
      </c>
      <c r="U89" s="3" t="str">
        <f t="shared" si="21"/>
        <v/>
      </c>
      <c r="V89" s="3" t="str">
        <f t="shared" si="22"/>
        <v/>
      </c>
      <c r="W89" s="3" t="str">
        <f t="shared" si="23"/>
        <v/>
      </c>
      <c r="X89" s="3" t="str">
        <f t="shared" si="24"/>
        <v/>
      </c>
      <c r="Y89" s="3" t="str">
        <f t="shared" si="25"/>
        <v>YES</v>
      </c>
    </row>
    <row r="90" spans="1:25">
      <c r="A90" t="s">
        <v>159</v>
      </c>
      <c r="B90">
        <v>25</v>
      </c>
      <c r="C90">
        <v>5</v>
      </c>
      <c r="D90">
        <v>10000</v>
      </c>
      <c r="E90">
        <v>1</v>
      </c>
      <c r="F90" t="s">
        <v>69</v>
      </c>
      <c r="G90" t="s">
        <v>70</v>
      </c>
      <c r="H90" s="2">
        <v>6</v>
      </c>
      <c r="I90" s="2">
        <v>6</v>
      </c>
      <c r="J90" s="2">
        <v>6</v>
      </c>
      <c r="K90" s="2">
        <v>6</v>
      </c>
      <c r="L90" s="2">
        <v>6</v>
      </c>
      <c r="M90" s="2">
        <f t="shared" si="13"/>
        <v>6</v>
      </c>
      <c r="N90" t="e">
        <f t="shared" ca="1" si="14"/>
        <v>#NAME?</v>
      </c>
      <c r="O90" t="str">
        <f t="shared" si="15"/>
        <v/>
      </c>
      <c r="P90" s="2">
        <f t="shared" si="16"/>
        <v>0</v>
      </c>
      <c r="Q90" s="2">
        <f t="shared" si="17"/>
        <v>0</v>
      </c>
      <c r="R90" s="2">
        <f t="shared" si="18"/>
        <v>0</v>
      </c>
      <c r="S90" s="2">
        <f t="shared" si="19"/>
        <v>0</v>
      </c>
      <c r="T90" s="2">
        <f t="shared" si="20"/>
        <v>0</v>
      </c>
      <c r="U90" s="3" t="str">
        <f t="shared" si="21"/>
        <v>YES</v>
      </c>
      <c r="V90" s="3" t="str">
        <f t="shared" si="22"/>
        <v>YES</v>
      </c>
      <c r="W90" s="3" t="str">
        <f t="shared" si="23"/>
        <v>YES</v>
      </c>
      <c r="X90" s="3" t="str">
        <f t="shared" si="24"/>
        <v>YES</v>
      </c>
      <c r="Y90" s="3" t="str">
        <f t="shared" si="25"/>
        <v>YES</v>
      </c>
    </row>
    <row r="91" spans="1:25">
      <c r="A91" t="s">
        <v>160</v>
      </c>
      <c r="B91">
        <v>25</v>
      </c>
      <c r="C91">
        <v>5</v>
      </c>
      <c r="D91">
        <v>10000</v>
      </c>
      <c r="E91">
        <v>1</v>
      </c>
      <c r="F91" t="s">
        <v>69</v>
      </c>
      <c r="G91" t="s">
        <v>70</v>
      </c>
      <c r="H91" s="2">
        <v>5</v>
      </c>
      <c r="I91" s="2">
        <v>5</v>
      </c>
      <c r="J91" s="2">
        <v>5</v>
      </c>
      <c r="K91" s="2">
        <v>7</v>
      </c>
      <c r="L91" s="2">
        <v>5</v>
      </c>
      <c r="M91" s="2">
        <f t="shared" si="13"/>
        <v>5</v>
      </c>
      <c r="N91" t="e">
        <f t="shared" ca="1" si="14"/>
        <v>#NAME?</v>
      </c>
      <c r="O91" t="str">
        <f t="shared" si="15"/>
        <v/>
      </c>
      <c r="P91" s="2">
        <f t="shared" si="16"/>
        <v>0</v>
      </c>
      <c r="Q91" s="2">
        <f t="shared" si="17"/>
        <v>0</v>
      </c>
      <c r="R91" s="2">
        <f t="shared" si="18"/>
        <v>0</v>
      </c>
      <c r="S91" s="2">
        <f t="shared" si="19"/>
        <v>40</v>
      </c>
      <c r="T91" s="2">
        <f t="shared" si="20"/>
        <v>0</v>
      </c>
      <c r="U91" s="3" t="str">
        <f t="shared" si="21"/>
        <v>YES</v>
      </c>
      <c r="V91" s="3" t="str">
        <f t="shared" si="22"/>
        <v>YES</v>
      </c>
      <c r="W91" s="3" t="str">
        <f t="shared" si="23"/>
        <v>YES</v>
      </c>
      <c r="X91" s="3" t="str">
        <f t="shared" si="24"/>
        <v/>
      </c>
      <c r="Y91" s="3" t="str">
        <f t="shared" si="25"/>
        <v>YES</v>
      </c>
    </row>
    <row r="92" spans="1:25">
      <c r="A92" t="s">
        <v>161</v>
      </c>
      <c r="B92">
        <v>25</v>
      </c>
      <c r="C92">
        <v>5</v>
      </c>
      <c r="D92">
        <v>10000</v>
      </c>
      <c r="E92">
        <v>10</v>
      </c>
      <c r="F92" t="s">
        <v>69</v>
      </c>
      <c r="G92" t="s">
        <v>70</v>
      </c>
      <c r="H92" s="2">
        <v>124</v>
      </c>
      <c r="I92" s="2">
        <v>110</v>
      </c>
      <c r="J92" s="2">
        <v>99</v>
      </c>
      <c r="K92" s="2">
        <v>98</v>
      </c>
      <c r="L92" s="2">
        <v>84</v>
      </c>
      <c r="M92" s="2">
        <f t="shared" si="13"/>
        <v>84</v>
      </c>
      <c r="N92" t="e">
        <f t="shared" ca="1" si="14"/>
        <v>#NAME?</v>
      </c>
      <c r="O92" t="str">
        <f t="shared" si="15"/>
        <v>MSIG Cost</v>
      </c>
      <c r="P92" s="2">
        <f t="shared" si="16"/>
        <v>47.619047619047613</v>
      </c>
      <c r="Q92" s="2">
        <f t="shared" si="17"/>
        <v>30.952380952380953</v>
      </c>
      <c r="R92" s="2">
        <f t="shared" si="18"/>
        <v>17.857142857142858</v>
      </c>
      <c r="S92" s="2">
        <f t="shared" si="19"/>
        <v>16.666666666666664</v>
      </c>
      <c r="T92" s="2">
        <f t="shared" si="20"/>
        <v>0</v>
      </c>
      <c r="U92" s="3" t="str">
        <f t="shared" si="21"/>
        <v/>
      </c>
      <c r="V92" s="3" t="str">
        <f t="shared" si="22"/>
        <v/>
      </c>
      <c r="W92" s="3" t="str">
        <f t="shared" si="23"/>
        <v/>
      </c>
      <c r="X92" s="3" t="str">
        <f t="shared" si="24"/>
        <v/>
      </c>
      <c r="Y92" s="3" t="str">
        <f t="shared" si="25"/>
        <v>YES</v>
      </c>
    </row>
    <row r="93" spans="1:25">
      <c r="A93" t="s">
        <v>162</v>
      </c>
      <c r="B93">
        <v>25</v>
      </c>
      <c r="C93">
        <v>5</v>
      </c>
      <c r="D93">
        <v>10000</v>
      </c>
      <c r="E93">
        <v>10</v>
      </c>
      <c r="F93" t="s">
        <v>69</v>
      </c>
      <c r="G93" t="s">
        <v>70</v>
      </c>
      <c r="H93" s="2">
        <v>89</v>
      </c>
      <c r="I93" s="2">
        <v>81</v>
      </c>
      <c r="J93" s="2">
        <v>82</v>
      </c>
      <c r="K93" s="2">
        <v>90</v>
      </c>
      <c r="L93" s="2">
        <v>63</v>
      </c>
      <c r="M93" s="2">
        <f t="shared" si="13"/>
        <v>63</v>
      </c>
      <c r="N93" t="e">
        <f t="shared" ca="1" si="14"/>
        <v>#NAME?</v>
      </c>
      <c r="O93" t="str">
        <f t="shared" si="15"/>
        <v>MSIG Cost</v>
      </c>
      <c r="P93" s="2">
        <f t="shared" si="16"/>
        <v>41.269841269841265</v>
      </c>
      <c r="Q93" s="2">
        <f t="shared" si="17"/>
        <v>28.571428571428569</v>
      </c>
      <c r="R93" s="2">
        <f t="shared" si="18"/>
        <v>30.158730158730158</v>
      </c>
      <c r="S93" s="2">
        <f t="shared" si="19"/>
        <v>42.857142857142854</v>
      </c>
      <c r="T93" s="2">
        <f t="shared" si="20"/>
        <v>0</v>
      </c>
      <c r="U93" s="3" t="str">
        <f t="shared" si="21"/>
        <v/>
      </c>
      <c r="V93" s="3" t="str">
        <f t="shared" si="22"/>
        <v/>
      </c>
      <c r="W93" s="3" t="str">
        <f t="shared" si="23"/>
        <v/>
      </c>
      <c r="X93" s="3" t="str">
        <f t="shared" si="24"/>
        <v/>
      </c>
      <c r="Y93" s="3" t="str">
        <f t="shared" si="25"/>
        <v>YES</v>
      </c>
    </row>
    <row r="94" spans="1:25">
      <c r="A94" t="s">
        <v>163</v>
      </c>
      <c r="B94">
        <v>25</v>
      </c>
      <c r="C94">
        <v>5</v>
      </c>
      <c r="D94">
        <v>10000</v>
      </c>
      <c r="E94">
        <v>1</v>
      </c>
      <c r="F94" t="s">
        <v>69</v>
      </c>
      <c r="G94" t="s">
        <v>70</v>
      </c>
      <c r="H94" s="2">
        <v>4</v>
      </c>
      <c r="I94" s="2">
        <v>4</v>
      </c>
      <c r="J94" s="2">
        <v>5</v>
      </c>
      <c r="K94" s="2">
        <v>6</v>
      </c>
      <c r="L94" s="2">
        <v>4</v>
      </c>
      <c r="M94" s="2">
        <f t="shared" si="13"/>
        <v>4</v>
      </c>
      <c r="N94" t="e">
        <f t="shared" ca="1" si="14"/>
        <v>#NAME?</v>
      </c>
      <c r="O94" t="str">
        <f t="shared" si="15"/>
        <v/>
      </c>
      <c r="P94" s="2">
        <f t="shared" si="16"/>
        <v>0</v>
      </c>
      <c r="Q94" s="2">
        <f t="shared" si="17"/>
        <v>0</v>
      </c>
      <c r="R94" s="2">
        <f t="shared" si="18"/>
        <v>25</v>
      </c>
      <c r="S94" s="2">
        <f t="shared" si="19"/>
        <v>50</v>
      </c>
      <c r="T94" s="2">
        <f t="shared" si="20"/>
        <v>0</v>
      </c>
      <c r="U94" s="3" t="str">
        <f t="shared" si="21"/>
        <v>YES</v>
      </c>
      <c r="V94" s="3" t="str">
        <f t="shared" si="22"/>
        <v>YES</v>
      </c>
      <c r="W94" s="3" t="str">
        <f t="shared" si="23"/>
        <v/>
      </c>
      <c r="X94" s="3" t="str">
        <f t="shared" si="24"/>
        <v/>
      </c>
      <c r="Y94" s="3" t="str">
        <f t="shared" si="25"/>
        <v>YES</v>
      </c>
    </row>
    <row r="95" spans="1:25">
      <c r="A95" t="s">
        <v>164</v>
      </c>
      <c r="B95">
        <v>25</v>
      </c>
      <c r="C95">
        <v>5</v>
      </c>
      <c r="D95">
        <v>10000</v>
      </c>
      <c r="E95">
        <v>1</v>
      </c>
      <c r="F95" t="s">
        <v>69</v>
      </c>
      <c r="G95" t="s">
        <v>70</v>
      </c>
      <c r="H95" s="2">
        <v>4</v>
      </c>
      <c r="I95" s="2">
        <v>4</v>
      </c>
      <c r="J95" s="2">
        <v>4</v>
      </c>
      <c r="K95" s="2">
        <v>7</v>
      </c>
      <c r="L95" s="2">
        <v>4</v>
      </c>
      <c r="M95" s="2">
        <f t="shared" si="13"/>
        <v>4</v>
      </c>
      <c r="N95" t="e">
        <f t="shared" ca="1" si="14"/>
        <v>#NAME?</v>
      </c>
      <c r="O95" t="str">
        <f t="shared" si="15"/>
        <v/>
      </c>
      <c r="P95" s="2">
        <f t="shared" si="16"/>
        <v>0</v>
      </c>
      <c r="Q95" s="2">
        <f t="shared" si="17"/>
        <v>0</v>
      </c>
      <c r="R95" s="2">
        <f t="shared" si="18"/>
        <v>0</v>
      </c>
      <c r="S95" s="2">
        <f t="shared" si="19"/>
        <v>75</v>
      </c>
      <c r="T95" s="2">
        <f t="shared" si="20"/>
        <v>0</v>
      </c>
      <c r="U95" s="3" t="str">
        <f t="shared" si="21"/>
        <v>YES</v>
      </c>
      <c r="V95" s="3" t="str">
        <f t="shared" si="22"/>
        <v>YES</v>
      </c>
      <c r="W95" s="3" t="str">
        <f t="shared" si="23"/>
        <v>YES</v>
      </c>
      <c r="X95" s="3" t="str">
        <f t="shared" si="24"/>
        <v/>
      </c>
      <c r="Y95" s="3" t="str">
        <f t="shared" si="25"/>
        <v>YES</v>
      </c>
    </row>
    <row r="96" spans="1:25">
      <c r="A96" t="s">
        <v>165</v>
      </c>
      <c r="B96">
        <v>25</v>
      </c>
      <c r="C96">
        <v>5</v>
      </c>
      <c r="D96">
        <v>10000</v>
      </c>
      <c r="E96">
        <v>10</v>
      </c>
      <c r="F96" t="s">
        <v>69</v>
      </c>
      <c r="G96" t="s">
        <v>70</v>
      </c>
      <c r="H96" s="2">
        <v>102</v>
      </c>
      <c r="I96" s="2">
        <v>106</v>
      </c>
      <c r="J96" s="2">
        <v>107</v>
      </c>
      <c r="K96" s="2">
        <v>98</v>
      </c>
      <c r="L96" s="2">
        <v>83</v>
      </c>
      <c r="M96" s="2">
        <f t="shared" si="13"/>
        <v>83</v>
      </c>
      <c r="N96" t="e">
        <f t="shared" ca="1" si="14"/>
        <v>#NAME?</v>
      </c>
      <c r="O96" t="str">
        <f t="shared" si="15"/>
        <v>MSIG Cost</v>
      </c>
      <c r="P96" s="2">
        <f t="shared" si="16"/>
        <v>22.891566265060241</v>
      </c>
      <c r="Q96" s="2">
        <f t="shared" si="17"/>
        <v>27.710843373493976</v>
      </c>
      <c r="R96" s="2">
        <f t="shared" si="18"/>
        <v>28.915662650602407</v>
      </c>
      <c r="S96" s="2">
        <f t="shared" si="19"/>
        <v>18.072289156626507</v>
      </c>
      <c r="T96" s="2">
        <f t="shared" si="20"/>
        <v>0</v>
      </c>
      <c r="U96" s="3" t="str">
        <f t="shared" si="21"/>
        <v/>
      </c>
      <c r="V96" s="3" t="str">
        <f t="shared" si="22"/>
        <v/>
      </c>
      <c r="W96" s="3" t="str">
        <f t="shared" si="23"/>
        <v/>
      </c>
      <c r="X96" s="3" t="str">
        <f t="shared" si="24"/>
        <v/>
      </c>
      <c r="Y96" s="3" t="str">
        <f t="shared" si="25"/>
        <v>YES</v>
      </c>
    </row>
    <row r="97" spans="1:25">
      <c r="A97" t="s">
        <v>166</v>
      </c>
      <c r="B97">
        <v>25</v>
      </c>
      <c r="C97">
        <v>5</v>
      </c>
      <c r="D97">
        <v>10000</v>
      </c>
      <c r="E97">
        <v>10</v>
      </c>
      <c r="F97" t="s">
        <v>69</v>
      </c>
      <c r="G97" t="s">
        <v>70</v>
      </c>
      <c r="H97" s="2">
        <v>71</v>
      </c>
      <c r="I97" s="2">
        <v>71</v>
      </c>
      <c r="J97" s="2">
        <v>68</v>
      </c>
      <c r="K97" s="2">
        <v>90</v>
      </c>
      <c r="L97" s="2">
        <v>64</v>
      </c>
      <c r="M97" s="2">
        <f t="shared" si="13"/>
        <v>64</v>
      </c>
      <c r="N97" t="e">
        <f t="shared" ca="1" si="14"/>
        <v>#NAME?</v>
      </c>
      <c r="O97" t="str">
        <f t="shared" si="15"/>
        <v>MSIG Cost</v>
      </c>
      <c r="P97" s="2">
        <f t="shared" si="16"/>
        <v>10.9375</v>
      </c>
      <c r="Q97" s="2">
        <f t="shared" si="17"/>
        <v>10.9375</v>
      </c>
      <c r="R97" s="2">
        <f t="shared" si="18"/>
        <v>6.25</v>
      </c>
      <c r="S97" s="2">
        <f t="shared" si="19"/>
        <v>40.625</v>
      </c>
      <c r="T97" s="2">
        <f t="shared" si="20"/>
        <v>0</v>
      </c>
      <c r="U97" s="3" t="str">
        <f t="shared" si="21"/>
        <v/>
      </c>
      <c r="V97" s="3" t="str">
        <f t="shared" si="22"/>
        <v/>
      </c>
      <c r="W97" s="3" t="str">
        <f t="shared" si="23"/>
        <v/>
      </c>
      <c r="X97" s="3" t="str">
        <f t="shared" si="24"/>
        <v/>
      </c>
      <c r="Y97" s="3" t="str">
        <f t="shared" si="25"/>
        <v>YES</v>
      </c>
    </row>
    <row r="98" spans="1:25">
      <c r="A98" t="s">
        <v>167</v>
      </c>
      <c r="B98">
        <v>50</v>
      </c>
      <c r="C98">
        <v>10</v>
      </c>
      <c r="D98">
        <v>10000</v>
      </c>
      <c r="E98">
        <v>1</v>
      </c>
      <c r="F98" t="s">
        <v>69</v>
      </c>
      <c r="G98" t="s">
        <v>70</v>
      </c>
      <c r="H98" s="2">
        <v>20</v>
      </c>
      <c r="I98" s="2">
        <v>20</v>
      </c>
      <c r="J98" s="2">
        <v>20</v>
      </c>
      <c r="K98" s="2">
        <v>18</v>
      </c>
      <c r="L98" s="2">
        <v>17</v>
      </c>
      <c r="M98" s="2">
        <f t="shared" si="13"/>
        <v>17</v>
      </c>
      <c r="N98" t="e">
        <f t="shared" ca="1" si="14"/>
        <v>#NAME?</v>
      </c>
      <c r="O98" t="str">
        <f t="shared" si="15"/>
        <v>MSIG Cost</v>
      </c>
      <c r="P98" s="2">
        <f t="shared" si="16"/>
        <v>17.647058823529413</v>
      </c>
      <c r="Q98" s="2">
        <f t="shared" si="17"/>
        <v>17.647058823529413</v>
      </c>
      <c r="R98" s="2">
        <f t="shared" si="18"/>
        <v>17.647058823529413</v>
      </c>
      <c r="S98" s="2">
        <f t="shared" si="19"/>
        <v>5.8823529411764701</v>
      </c>
      <c r="T98" s="2">
        <f t="shared" si="20"/>
        <v>0</v>
      </c>
      <c r="U98" s="3" t="str">
        <f t="shared" si="21"/>
        <v/>
      </c>
      <c r="V98" s="3" t="str">
        <f t="shared" si="22"/>
        <v/>
      </c>
      <c r="W98" s="3" t="str">
        <f t="shared" si="23"/>
        <v/>
      </c>
      <c r="X98" s="3" t="str">
        <f t="shared" si="24"/>
        <v/>
      </c>
      <c r="Y98" s="3" t="str">
        <f t="shared" si="25"/>
        <v>YES</v>
      </c>
    </row>
    <row r="99" spans="1:25">
      <c r="A99" t="s">
        <v>168</v>
      </c>
      <c r="B99">
        <v>50</v>
      </c>
      <c r="C99">
        <v>10</v>
      </c>
      <c r="D99">
        <v>10000</v>
      </c>
      <c r="E99">
        <v>1</v>
      </c>
      <c r="F99" t="s">
        <v>69</v>
      </c>
      <c r="G99" t="s">
        <v>70</v>
      </c>
      <c r="H99" s="2">
        <v>19</v>
      </c>
      <c r="I99" s="2">
        <v>19</v>
      </c>
      <c r="J99" s="2">
        <v>19</v>
      </c>
      <c r="K99" s="2">
        <v>18</v>
      </c>
      <c r="L99" s="2">
        <v>18</v>
      </c>
      <c r="M99" s="2">
        <f t="shared" si="13"/>
        <v>18</v>
      </c>
      <c r="N99" t="e">
        <f t="shared" ca="1" si="14"/>
        <v>#NAME?</v>
      </c>
      <c r="O99" t="str">
        <f t="shared" si="15"/>
        <v/>
      </c>
      <c r="P99" s="2">
        <f t="shared" si="16"/>
        <v>5.5555555555555554</v>
      </c>
      <c r="Q99" s="2">
        <f t="shared" si="17"/>
        <v>5.5555555555555554</v>
      </c>
      <c r="R99" s="2">
        <f t="shared" si="18"/>
        <v>5.5555555555555554</v>
      </c>
      <c r="S99" s="2">
        <f t="shared" si="19"/>
        <v>0</v>
      </c>
      <c r="T99" s="2">
        <f t="shared" si="20"/>
        <v>0</v>
      </c>
      <c r="U99" s="3" t="str">
        <f t="shared" si="21"/>
        <v/>
      </c>
      <c r="V99" s="3" t="str">
        <f t="shared" si="22"/>
        <v/>
      </c>
      <c r="W99" s="3" t="str">
        <f t="shared" si="23"/>
        <v/>
      </c>
      <c r="X99" s="3" t="str">
        <f t="shared" si="24"/>
        <v>YES</v>
      </c>
      <c r="Y99" s="3" t="str">
        <f t="shared" si="25"/>
        <v>YES</v>
      </c>
    </row>
    <row r="100" spans="1:25">
      <c r="A100" t="s">
        <v>169</v>
      </c>
      <c r="B100">
        <v>50</v>
      </c>
      <c r="C100">
        <v>10</v>
      </c>
      <c r="D100">
        <v>10000</v>
      </c>
      <c r="E100">
        <v>10</v>
      </c>
      <c r="F100" t="s">
        <v>69</v>
      </c>
      <c r="G100" t="s">
        <v>70</v>
      </c>
      <c r="H100" s="2">
        <v>340</v>
      </c>
      <c r="I100" s="2">
        <v>350</v>
      </c>
      <c r="J100" s="2">
        <v>345</v>
      </c>
      <c r="K100" s="2">
        <v>239</v>
      </c>
      <c r="L100" s="2">
        <v>247</v>
      </c>
      <c r="M100" s="2">
        <f t="shared" si="13"/>
        <v>239</v>
      </c>
      <c r="N100" t="e">
        <f t="shared" ca="1" si="14"/>
        <v>#NAME?</v>
      </c>
      <c r="O100" t="str">
        <f t="shared" si="15"/>
        <v>Best C-TP Cost</v>
      </c>
      <c r="P100" s="2">
        <f t="shared" si="16"/>
        <v>42.25941422594142</v>
      </c>
      <c r="Q100" s="2">
        <f t="shared" si="17"/>
        <v>46.443514644351467</v>
      </c>
      <c r="R100" s="2">
        <f t="shared" si="18"/>
        <v>44.35146443514644</v>
      </c>
      <c r="S100" s="2">
        <f t="shared" si="19"/>
        <v>0</v>
      </c>
      <c r="T100" s="2">
        <f t="shared" si="20"/>
        <v>3.3472803347280333</v>
      </c>
      <c r="U100" s="3" t="str">
        <f t="shared" si="21"/>
        <v/>
      </c>
      <c r="V100" s="3" t="str">
        <f t="shared" si="22"/>
        <v/>
      </c>
      <c r="W100" s="3" t="str">
        <f t="shared" si="23"/>
        <v/>
      </c>
      <c r="X100" s="3" t="str">
        <f t="shared" si="24"/>
        <v>YES</v>
      </c>
      <c r="Y100" s="3" t="str">
        <f t="shared" si="25"/>
        <v/>
      </c>
    </row>
    <row r="101" spans="1:25">
      <c r="A101" t="s">
        <v>170</v>
      </c>
      <c r="B101">
        <v>50</v>
      </c>
      <c r="C101">
        <v>10</v>
      </c>
      <c r="D101">
        <v>10000</v>
      </c>
      <c r="E101">
        <v>10</v>
      </c>
      <c r="F101" t="s">
        <v>69</v>
      </c>
      <c r="G101" t="s">
        <v>70</v>
      </c>
      <c r="H101" s="2">
        <v>329</v>
      </c>
      <c r="I101" s="2">
        <v>337</v>
      </c>
      <c r="J101" s="2">
        <v>342</v>
      </c>
      <c r="K101" s="2">
        <v>239</v>
      </c>
      <c r="L101" s="2">
        <v>257</v>
      </c>
      <c r="M101" s="2">
        <f t="shared" si="13"/>
        <v>239</v>
      </c>
      <c r="N101" t="e">
        <f t="shared" ca="1" si="14"/>
        <v>#NAME?</v>
      </c>
      <c r="O101" t="str">
        <f t="shared" si="15"/>
        <v>Best C-TP Cost</v>
      </c>
      <c r="P101" s="2">
        <f t="shared" si="16"/>
        <v>37.656903765690373</v>
      </c>
      <c r="Q101" s="2">
        <f t="shared" si="17"/>
        <v>41.004184100418414</v>
      </c>
      <c r="R101" s="2">
        <f t="shared" si="18"/>
        <v>43.096234309623433</v>
      </c>
      <c r="S101" s="2">
        <f t="shared" si="19"/>
        <v>0</v>
      </c>
      <c r="T101" s="2">
        <f t="shared" si="20"/>
        <v>7.5313807531380759</v>
      </c>
      <c r="U101" s="3" t="str">
        <f t="shared" si="21"/>
        <v/>
      </c>
      <c r="V101" s="3" t="str">
        <f t="shared" si="22"/>
        <v/>
      </c>
      <c r="W101" s="3" t="str">
        <f t="shared" si="23"/>
        <v/>
      </c>
      <c r="X101" s="3" t="str">
        <f t="shared" si="24"/>
        <v>YES</v>
      </c>
      <c r="Y101" s="3" t="str">
        <f t="shared" si="25"/>
        <v/>
      </c>
    </row>
    <row r="102" spans="1:25">
      <c r="A102" t="s">
        <v>171</v>
      </c>
      <c r="B102">
        <v>50</v>
      </c>
      <c r="C102">
        <v>10</v>
      </c>
      <c r="D102">
        <v>10000</v>
      </c>
      <c r="E102">
        <v>1</v>
      </c>
      <c r="F102" t="s">
        <v>69</v>
      </c>
      <c r="G102" t="s">
        <v>70</v>
      </c>
      <c r="H102" s="2">
        <v>15</v>
      </c>
      <c r="I102" s="2">
        <v>15</v>
      </c>
      <c r="J102" s="2">
        <v>15</v>
      </c>
      <c r="K102" s="2">
        <v>16</v>
      </c>
      <c r="L102" s="2">
        <v>15</v>
      </c>
      <c r="M102" s="2">
        <f t="shared" si="13"/>
        <v>15</v>
      </c>
      <c r="N102" t="e">
        <f t="shared" ca="1" si="14"/>
        <v>#NAME?</v>
      </c>
      <c r="O102" t="str">
        <f t="shared" si="15"/>
        <v/>
      </c>
      <c r="P102" s="2">
        <f t="shared" si="16"/>
        <v>0</v>
      </c>
      <c r="Q102" s="2">
        <f t="shared" si="17"/>
        <v>0</v>
      </c>
      <c r="R102" s="2">
        <f t="shared" si="18"/>
        <v>0</v>
      </c>
      <c r="S102" s="2">
        <f t="shared" si="19"/>
        <v>6.666666666666667</v>
      </c>
      <c r="T102" s="2">
        <f t="shared" si="20"/>
        <v>0</v>
      </c>
      <c r="U102" s="3" t="str">
        <f t="shared" si="21"/>
        <v>YES</v>
      </c>
      <c r="V102" s="3" t="str">
        <f t="shared" si="22"/>
        <v>YES</v>
      </c>
      <c r="W102" s="3" t="str">
        <f t="shared" si="23"/>
        <v>YES</v>
      </c>
      <c r="X102" s="3" t="str">
        <f t="shared" si="24"/>
        <v/>
      </c>
      <c r="Y102" s="3" t="str">
        <f t="shared" si="25"/>
        <v>YES</v>
      </c>
    </row>
    <row r="103" spans="1:25">
      <c r="A103" t="s">
        <v>172</v>
      </c>
      <c r="B103">
        <v>50</v>
      </c>
      <c r="C103">
        <v>10</v>
      </c>
      <c r="D103">
        <v>10000</v>
      </c>
      <c r="E103">
        <v>1</v>
      </c>
      <c r="F103" t="s">
        <v>69</v>
      </c>
      <c r="G103" t="s">
        <v>70</v>
      </c>
      <c r="H103" s="2">
        <v>15</v>
      </c>
      <c r="I103" s="2">
        <v>15</v>
      </c>
      <c r="J103" s="2">
        <v>15</v>
      </c>
      <c r="K103" s="2">
        <v>16</v>
      </c>
      <c r="L103" s="2">
        <v>14</v>
      </c>
      <c r="M103" s="2">
        <f t="shared" si="13"/>
        <v>14</v>
      </c>
      <c r="N103" t="e">
        <f t="shared" ca="1" si="14"/>
        <v>#NAME?</v>
      </c>
      <c r="O103" t="str">
        <f t="shared" si="15"/>
        <v>MSIG Cost</v>
      </c>
      <c r="P103" s="2">
        <f t="shared" si="16"/>
        <v>7.1428571428571423</v>
      </c>
      <c r="Q103" s="2">
        <f t="shared" si="17"/>
        <v>7.1428571428571423</v>
      </c>
      <c r="R103" s="2">
        <f t="shared" si="18"/>
        <v>7.1428571428571423</v>
      </c>
      <c r="S103" s="2">
        <f t="shared" si="19"/>
        <v>14.285714285714285</v>
      </c>
      <c r="T103" s="2">
        <f t="shared" si="20"/>
        <v>0</v>
      </c>
      <c r="U103" s="3" t="str">
        <f t="shared" si="21"/>
        <v/>
      </c>
      <c r="V103" s="3" t="str">
        <f t="shared" si="22"/>
        <v/>
      </c>
      <c r="W103" s="3" t="str">
        <f t="shared" si="23"/>
        <v/>
      </c>
      <c r="X103" s="3" t="str">
        <f t="shared" si="24"/>
        <v/>
      </c>
      <c r="Y103" s="3" t="str">
        <f t="shared" si="25"/>
        <v>YES</v>
      </c>
    </row>
    <row r="104" spans="1:25">
      <c r="A104" t="s">
        <v>173</v>
      </c>
      <c r="B104">
        <v>50</v>
      </c>
      <c r="C104">
        <v>10</v>
      </c>
      <c r="D104">
        <v>10000</v>
      </c>
      <c r="E104">
        <v>10</v>
      </c>
      <c r="F104" t="s">
        <v>69</v>
      </c>
      <c r="G104" t="s">
        <v>70</v>
      </c>
      <c r="H104" s="2">
        <v>307</v>
      </c>
      <c r="I104" s="2">
        <v>300</v>
      </c>
      <c r="J104" s="2">
        <v>302</v>
      </c>
      <c r="K104" s="2">
        <v>219</v>
      </c>
      <c r="L104" s="2">
        <v>224</v>
      </c>
      <c r="M104" s="2">
        <f t="shared" si="13"/>
        <v>219</v>
      </c>
      <c r="N104" t="e">
        <f t="shared" ca="1" si="14"/>
        <v>#NAME?</v>
      </c>
      <c r="O104" t="str">
        <f t="shared" si="15"/>
        <v>Best C-TP Cost</v>
      </c>
      <c r="P104" s="2">
        <f t="shared" si="16"/>
        <v>40.182648401826484</v>
      </c>
      <c r="Q104" s="2">
        <f t="shared" si="17"/>
        <v>36.986301369863014</v>
      </c>
      <c r="R104" s="2">
        <f t="shared" si="18"/>
        <v>37.899543378995432</v>
      </c>
      <c r="S104" s="2">
        <f t="shared" si="19"/>
        <v>0</v>
      </c>
      <c r="T104" s="2">
        <f t="shared" si="20"/>
        <v>2.2831050228310499</v>
      </c>
      <c r="U104" s="3" t="str">
        <f t="shared" si="21"/>
        <v/>
      </c>
      <c r="V104" s="3" t="str">
        <f t="shared" si="22"/>
        <v/>
      </c>
      <c r="W104" s="3" t="str">
        <f t="shared" si="23"/>
        <v/>
      </c>
      <c r="X104" s="3" t="str">
        <f t="shared" si="24"/>
        <v>YES</v>
      </c>
      <c r="Y104" s="3" t="str">
        <f t="shared" si="25"/>
        <v/>
      </c>
    </row>
    <row r="105" spans="1:25">
      <c r="A105" t="s">
        <v>174</v>
      </c>
      <c r="B105">
        <v>50</v>
      </c>
      <c r="C105">
        <v>10</v>
      </c>
      <c r="D105">
        <v>10000</v>
      </c>
      <c r="E105">
        <v>10</v>
      </c>
      <c r="F105" t="s">
        <v>69</v>
      </c>
      <c r="G105" t="s">
        <v>70</v>
      </c>
      <c r="H105" s="2">
        <v>307</v>
      </c>
      <c r="I105" s="2">
        <v>307</v>
      </c>
      <c r="J105" s="2">
        <v>309</v>
      </c>
      <c r="K105" s="2">
        <v>219</v>
      </c>
      <c r="L105" s="2">
        <v>226</v>
      </c>
      <c r="M105" s="2">
        <f t="shared" si="13"/>
        <v>219</v>
      </c>
      <c r="N105" t="e">
        <f t="shared" ca="1" si="14"/>
        <v>#NAME?</v>
      </c>
      <c r="O105" t="str">
        <f t="shared" si="15"/>
        <v>Best C-TP Cost</v>
      </c>
      <c r="P105" s="2">
        <f t="shared" si="16"/>
        <v>40.182648401826484</v>
      </c>
      <c r="Q105" s="2">
        <f t="shared" si="17"/>
        <v>40.182648401826484</v>
      </c>
      <c r="R105" s="2">
        <f t="shared" si="18"/>
        <v>41.095890410958901</v>
      </c>
      <c r="S105" s="2">
        <f t="shared" si="19"/>
        <v>0</v>
      </c>
      <c r="T105" s="2">
        <f t="shared" si="20"/>
        <v>3.1963470319634704</v>
      </c>
      <c r="U105" s="3" t="str">
        <f t="shared" si="21"/>
        <v/>
      </c>
      <c r="V105" s="3" t="str">
        <f t="shared" si="22"/>
        <v/>
      </c>
      <c r="W105" s="3" t="str">
        <f t="shared" si="23"/>
        <v/>
      </c>
      <c r="X105" s="3" t="str">
        <f t="shared" si="24"/>
        <v>YES</v>
      </c>
      <c r="Y105" s="3" t="str">
        <f t="shared" si="25"/>
        <v/>
      </c>
    </row>
    <row r="106" spans="1:25">
      <c r="A106" t="s">
        <v>175</v>
      </c>
      <c r="B106">
        <v>50</v>
      </c>
      <c r="C106">
        <v>10</v>
      </c>
      <c r="D106">
        <v>10000</v>
      </c>
      <c r="E106">
        <v>1</v>
      </c>
      <c r="F106" t="s">
        <v>69</v>
      </c>
      <c r="G106" t="s">
        <v>70</v>
      </c>
      <c r="H106" s="2">
        <v>11</v>
      </c>
      <c r="I106" s="2">
        <v>11</v>
      </c>
      <c r="J106" s="2">
        <v>11</v>
      </c>
      <c r="K106" s="2">
        <v>11</v>
      </c>
      <c r="L106" s="2">
        <v>10</v>
      </c>
      <c r="M106" s="2">
        <f t="shared" si="13"/>
        <v>10</v>
      </c>
      <c r="N106" t="e">
        <f t="shared" ca="1" si="14"/>
        <v>#NAME?</v>
      </c>
      <c r="O106" t="str">
        <f t="shared" si="15"/>
        <v>MSIG Cost</v>
      </c>
      <c r="P106" s="2">
        <f t="shared" si="16"/>
        <v>10</v>
      </c>
      <c r="Q106" s="2">
        <f t="shared" si="17"/>
        <v>10</v>
      </c>
      <c r="R106" s="2">
        <f t="shared" si="18"/>
        <v>10</v>
      </c>
      <c r="S106" s="2">
        <f t="shared" si="19"/>
        <v>10</v>
      </c>
      <c r="T106" s="2">
        <f t="shared" si="20"/>
        <v>0</v>
      </c>
      <c r="U106" s="3" t="str">
        <f t="shared" si="21"/>
        <v/>
      </c>
      <c r="V106" s="3" t="str">
        <f t="shared" si="22"/>
        <v/>
      </c>
      <c r="W106" s="3" t="str">
        <f t="shared" si="23"/>
        <v/>
      </c>
      <c r="X106" s="3" t="str">
        <f t="shared" si="24"/>
        <v/>
      </c>
      <c r="Y106" s="3" t="str">
        <f t="shared" si="25"/>
        <v>YES</v>
      </c>
    </row>
    <row r="107" spans="1:25">
      <c r="A107" t="s">
        <v>176</v>
      </c>
      <c r="B107">
        <v>50</v>
      </c>
      <c r="C107">
        <v>10</v>
      </c>
      <c r="D107">
        <v>10000</v>
      </c>
      <c r="E107">
        <v>1</v>
      </c>
      <c r="F107" t="s">
        <v>69</v>
      </c>
      <c r="G107" t="s">
        <v>70</v>
      </c>
      <c r="H107" s="2">
        <v>11</v>
      </c>
      <c r="I107" s="2">
        <v>11</v>
      </c>
      <c r="J107" s="2">
        <v>11</v>
      </c>
      <c r="K107" s="2">
        <v>11</v>
      </c>
      <c r="L107" s="2">
        <v>10</v>
      </c>
      <c r="M107" s="2">
        <f t="shared" si="13"/>
        <v>10</v>
      </c>
      <c r="N107" t="e">
        <f t="shared" ca="1" si="14"/>
        <v>#NAME?</v>
      </c>
      <c r="O107" t="str">
        <f t="shared" si="15"/>
        <v>MSIG Cost</v>
      </c>
      <c r="P107" s="2">
        <f t="shared" si="16"/>
        <v>10</v>
      </c>
      <c r="Q107" s="2">
        <f t="shared" si="17"/>
        <v>10</v>
      </c>
      <c r="R107" s="2">
        <f t="shared" si="18"/>
        <v>10</v>
      </c>
      <c r="S107" s="2">
        <f t="shared" si="19"/>
        <v>10</v>
      </c>
      <c r="T107" s="2">
        <f t="shared" si="20"/>
        <v>0</v>
      </c>
      <c r="U107" s="3" t="str">
        <f t="shared" si="21"/>
        <v/>
      </c>
      <c r="V107" s="3" t="str">
        <f t="shared" si="22"/>
        <v/>
      </c>
      <c r="W107" s="3" t="str">
        <f t="shared" si="23"/>
        <v/>
      </c>
      <c r="X107" s="3" t="str">
        <f t="shared" si="24"/>
        <v/>
      </c>
      <c r="Y107" s="3" t="str">
        <f t="shared" si="25"/>
        <v>YES</v>
      </c>
    </row>
    <row r="108" spans="1:25">
      <c r="A108" t="s">
        <v>177</v>
      </c>
      <c r="B108">
        <v>50</v>
      </c>
      <c r="C108">
        <v>10</v>
      </c>
      <c r="D108">
        <v>10000</v>
      </c>
      <c r="E108">
        <v>10</v>
      </c>
      <c r="F108" t="s">
        <v>69</v>
      </c>
      <c r="G108" t="s">
        <v>70</v>
      </c>
      <c r="H108" s="2">
        <v>185</v>
      </c>
      <c r="I108" s="2">
        <v>201</v>
      </c>
      <c r="J108" s="2">
        <v>189</v>
      </c>
      <c r="K108" s="2">
        <v>183</v>
      </c>
      <c r="L108" s="2">
        <v>128</v>
      </c>
      <c r="M108" s="2">
        <f t="shared" si="13"/>
        <v>128</v>
      </c>
      <c r="N108" t="e">
        <f t="shared" ca="1" si="14"/>
        <v>#NAME?</v>
      </c>
      <c r="O108" t="str">
        <f t="shared" si="15"/>
        <v>MSIG Cost</v>
      </c>
      <c r="P108" s="2">
        <f t="shared" si="16"/>
        <v>44.53125</v>
      </c>
      <c r="Q108" s="2">
        <f t="shared" si="17"/>
        <v>57.03125</v>
      </c>
      <c r="R108" s="2">
        <f t="shared" si="18"/>
        <v>47.65625</v>
      </c>
      <c r="S108" s="2">
        <f t="shared" si="19"/>
        <v>42.96875</v>
      </c>
      <c r="T108" s="2">
        <f t="shared" si="20"/>
        <v>0</v>
      </c>
      <c r="U108" s="3" t="str">
        <f t="shared" si="21"/>
        <v/>
      </c>
      <c r="V108" s="3" t="str">
        <f t="shared" si="22"/>
        <v/>
      </c>
      <c r="W108" s="3" t="str">
        <f t="shared" si="23"/>
        <v/>
      </c>
      <c r="X108" s="3" t="str">
        <f t="shared" si="24"/>
        <v/>
      </c>
      <c r="Y108" s="3" t="str">
        <f t="shared" si="25"/>
        <v>YES</v>
      </c>
    </row>
    <row r="109" spans="1:25">
      <c r="A109" t="s">
        <v>178</v>
      </c>
      <c r="B109">
        <v>50</v>
      </c>
      <c r="C109">
        <v>10</v>
      </c>
      <c r="D109">
        <v>10000</v>
      </c>
      <c r="E109">
        <v>10</v>
      </c>
      <c r="F109" t="s">
        <v>69</v>
      </c>
      <c r="G109" t="s">
        <v>70</v>
      </c>
      <c r="H109" s="2">
        <v>204</v>
      </c>
      <c r="I109" s="2">
        <v>203</v>
      </c>
      <c r="J109" s="2">
        <v>210</v>
      </c>
      <c r="K109" s="2">
        <v>168</v>
      </c>
      <c r="L109" s="2">
        <v>150</v>
      </c>
      <c r="M109" s="2">
        <f t="shared" si="13"/>
        <v>150</v>
      </c>
      <c r="N109" t="e">
        <f t="shared" ca="1" si="14"/>
        <v>#NAME?</v>
      </c>
      <c r="O109" t="str">
        <f t="shared" si="15"/>
        <v>MSIG Cost</v>
      </c>
      <c r="P109" s="2">
        <f t="shared" si="16"/>
        <v>36</v>
      </c>
      <c r="Q109" s="2">
        <f t="shared" si="17"/>
        <v>35.333333333333336</v>
      </c>
      <c r="R109" s="2">
        <f t="shared" si="18"/>
        <v>40</v>
      </c>
      <c r="S109" s="2">
        <f t="shared" si="19"/>
        <v>12</v>
      </c>
      <c r="T109" s="2">
        <f t="shared" si="20"/>
        <v>0</v>
      </c>
      <c r="U109" s="3" t="str">
        <f t="shared" si="21"/>
        <v/>
      </c>
      <c r="V109" s="3" t="str">
        <f t="shared" si="22"/>
        <v/>
      </c>
      <c r="W109" s="3" t="str">
        <f t="shared" si="23"/>
        <v/>
      </c>
      <c r="X109" s="3" t="str">
        <f t="shared" si="24"/>
        <v/>
      </c>
      <c r="Y109" s="3" t="str">
        <f t="shared" si="25"/>
        <v>YES</v>
      </c>
    </row>
    <row r="110" spans="1:25">
      <c r="A110" t="s">
        <v>179</v>
      </c>
      <c r="B110">
        <v>50</v>
      </c>
      <c r="C110">
        <v>10</v>
      </c>
      <c r="D110">
        <v>10000</v>
      </c>
      <c r="E110">
        <v>1</v>
      </c>
      <c r="F110" t="s">
        <v>69</v>
      </c>
      <c r="G110" t="s">
        <v>70</v>
      </c>
      <c r="H110" s="2">
        <v>8</v>
      </c>
      <c r="I110" s="2">
        <v>8</v>
      </c>
      <c r="J110" s="2">
        <v>8</v>
      </c>
      <c r="K110" s="2">
        <v>11</v>
      </c>
      <c r="L110" s="2">
        <v>8</v>
      </c>
      <c r="M110" s="2">
        <f t="shared" si="13"/>
        <v>8</v>
      </c>
      <c r="N110" t="e">
        <f t="shared" ca="1" si="14"/>
        <v>#NAME?</v>
      </c>
      <c r="O110" t="str">
        <f t="shared" si="15"/>
        <v/>
      </c>
      <c r="P110" s="2">
        <f t="shared" si="16"/>
        <v>0</v>
      </c>
      <c r="Q110" s="2">
        <f t="shared" si="17"/>
        <v>0</v>
      </c>
      <c r="R110" s="2">
        <f t="shared" si="18"/>
        <v>0</v>
      </c>
      <c r="S110" s="2">
        <f t="shared" si="19"/>
        <v>37.5</v>
      </c>
      <c r="T110" s="2">
        <f t="shared" si="20"/>
        <v>0</v>
      </c>
      <c r="U110" s="3" t="str">
        <f t="shared" si="21"/>
        <v>YES</v>
      </c>
      <c r="V110" s="3" t="str">
        <f t="shared" si="22"/>
        <v>YES</v>
      </c>
      <c r="W110" s="3" t="str">
        <f t="shared" si="23"/>
        <v>YES</v>
      </c>
      <c r="X110" s="3" t="str">
        <f t="shared" si="24"/>
        <v/>
      </c>
      <c r="Y110" s="3" t="str">
        <f t="shared" si="25"/>
        <v>YES</v>
      </c>
    </row>
    <row r="111" spans="1:25">
      <c r="A111" t="s">
        <v>180</v>
      </c>
      <c r="B111">
        <v>50</v>
      </c>
      <c r="C111">
        <v>10</v>
      </c>
      <c r="D111">
        <v>10000</v>
      </c>
      <c r="E111">
        <v>1</v>
      </c>
      <c r="F111" t="s">
        <v>91</v>
      </c>
      <c r="G111" t="s">
        <v>70</v>
      </c>
      <c r="H111" s="2">
        <v>8</v>
      </c>
      <c r="I111" s="2">
        <v>8</v>
      </c>
      <c r="J111" s="2">
        <v>8</v>
      </c>
      <c r="K111" s="2">
        <v>9</v>
      </c>
      <c r="L111" s="2">
        <v>8</v>
      </c>
      <c r="M111" s="2">
        <f t="shared" si="13"/>
        <v>8</v>
      </c>
      <c r="N111" t="e">
        <f t="shared" ca="1" si="14"/>
        <v>#NAME?</v>
      </c>
      <c r="O111" t="str">
        <f t="shared" si="15"/>
        <v/>
      </c>
      <c r="P111" s="2">
        <f t="shared" si="16"/>
        <v>0</v>
      </c>
      <c r="Q111" s="2">
        <f t="shared" si="17"/>
        <v>0</v>
      </c>
      <c r="R111" s="2">
        <f t="shared" si="18"/>
        <v>0</v>
      </c>
      <c r="S111" s="2">
        <f t="shared" si="19"/>
        <v>12.5</v>
      </c>
      <c r="T111" s="2">
        <f t="shared" si="20"/>
        <v>0</v>
      </c>
      <c r="U111" s="3" t="str">
        <f t="shared" si="21"/>
        <v>YES</v>
      </c>
      <c r="V111" s="3" t="str">
        <f t="shared" si="22"/>
        <v>YES</v>
      </c>
      <c r="W111" s="3" t="str">
        <f t="shared" si="23"/>
        <v>YES</v>
      </c>
      <c r="X111" s="3" t="str">
        <f t="shared" si="24"/>
        <v/>
      </c>
      <c r="Y111" s="3" t="str">
        <f t="shared" si="25"/>
        <v>YES</v>
      </c>
    </row>
    <row r="112" spans="1:25">
      <c r="A112" t="s">
        <v>181</v>
      </c>
      <c r="B112">
        <v>50</v>
      </c>
      <c r="C112">
        <v>10</v>
      </c>
      <c r="D112">
        <v>10000</v>
      </c>
      <c r="E112">
        <v>10</v>
      </c>
      <c r="F112" t="s">
        <v>69</v>
      </c>
      <c r="G112" t="s">
        <v>70</v>
      </c>
      <c r="H112" s="2">
        <v>174</v>
      </c>
      <c r="I112" s="2">
        <v>177</v>
      </c>
      <c r="J112" s="2">
        <v>158</v>
      </c>
      <c r="K112" s="2">
        <v>173</v>
      </c>
      <c r="L112" s="2">
        <v>134</v>
      </c>
      <c r="M112" s="2">
        <f t="shared" si="13"/>
        <v>134</v>
      </c>
      <c r="N112" t="e">
        <f t="shared" ca="1" si="14"/>
        <v>#NAME?</v>
      </c>
      <c r="O112" t="str">
        <f t="shared" si="15"/>
        <v>MSIG Cost</v>
      </c>
      <c r="P112" s="2">
        <f t="shared" si="16"/>
        <v>29.850746268656714</v>
      </c>
      <c r="Q112" s="2">
        <f t="shared" si="17"/>
        <v>32.089552238805972</v>
      </c>
      <c r="R112" s="2">
        <f t="shared" si="18"/>
        <v>17.910447761194028</v>
      </c>
      <c r="S112" s="2">
        <f t="shared" si="19"/>
        <v>29.1044776119403</v>
      </c>
      <c r="T112" s="2">
        <f t="shared" si="20"/>
        <v>0</v>
      </c>
      <c r="U112" s="3" t="str">
        <f t="shared" si="21"/>
        <v/>
      </c>
      <c r="V112" s="3" t="str">
        <f t="shared" si="22"/>
        <v/>
      </c>
      <c r="W112" s="3" t="str">
        <f t="shared" si="23"/>
        <v/>
      </c>
      <c r="X112" s="3" t="str">
        <f t="shared" si="24"/>
        <v/>
      </c>
      <c r="Y112" s="3" t="str">
        <f t="shared" si="25"/>
        <v>YES</v>
      </c>
    </row>
    <row r="113" spans="1:25">
      <c r="A113" t="s">
        <v>182</v>
      </c>
      <c r="B113">
        <v>50</v>
      </c>
      <c r="C113">
        <v>10</v>
      </c>
      <c r="D113">
        <v>10000</v>
      </c>
      <c r="E113">
        <v>10</v>
      </c>
      <c r="F113" t="s">
        <v>69</v>
      </c>
      <c r="G113" t="s">
        <v>70</v>
      </c>
      <c r="H113" s="2">
        <v>175</v>
      </c>
      <c r="I113" s="2">
        <v>175</v>
      </c>
      <c r="J113" s="2">
        <v>175</v>
      </c>
      <c r="K113" s="2">
        <v>168</v>
      </c>
      <c r="L113" s="2">
        <v>126</v>
      </c>
      <c r="M113" s="2">
        <f t="shared" si="13"/>
        <v>126</v>
      </c>
      <c r="N113" t="e">
        <f t="shared" ca="1" si="14"/>
        <v>#NAME?</v>
      </c>
      <c r="O113" t="str">
        <f t="shared" si="15"/>
        <v>MSIG Cost</v>
      </c>
      <c r="P113" s="2">
        <f t="shared" si="16"/>
        <v>38.888888888888893</v>
      </c>
      <c r="Q113" s="2">
        <f t="shared" si="17"/>
        <v>38.888888888888893</v>
      </c>
      <c r="R113" s="2">
        <f t="shared" si="18"/>
        <v>38.888888888888893</v>
      </c>
      <c r="S113" s="2">
        <f t="shared" si="19"/>
        <v>33.333333333333329</v>
      </c>
      <c r="T113" s="2">
        <f t="shared" si="20"/>
        <v>0</v>
      </c>
      <c r="U113" s="3" t="str">
        <f t="shared" si="21"/>
        <v/>
      </c>
      <c r="V113" s="3" t="str">
        <f t="shared" si="22"/>
        <v/>
      </c>
      <c r="W113" s="3" t="str">
        <f t="shared" si="23"/>
        <v/>
      </c>
      <c r="X113" s="3" t="str">
        <f t="shared" si="24"/>
        <v/>
      </c>
      <c r="Y113" s="3" t="str">
        <f t="shared" si="25"/>
        <v>YES</v>
      </c>
    </row>
    <row r="114" spans="1:25">
      <c r="A114" t="s">
        <v>183</v>
      </c>
      <c r="B114">
        <v>50</v>
      </c>
      <c r="C114">
        <v>5</v>
      </c>
      <c r="D114">
        <v>10000</v>
      </c>
      <c r="E114">
        <v>1</v>
      </c>
      <c r="F114" t="s">
        <v>69</v>
      </c>
      <c r="G114" t="s">
        <v>70</v>
      </c>
      <c r="H114" s="2">
        <v>19</v>
      </c>
      <c r="I114" s="2">
        <v>18</v>
      </c>
      <c r="J114" s="2">
        <v>19</v>
      </c>
      <c r="K114" s="2">
        <v>16</v>
      </c>
      <c r="L114" s="2">
        <v>16</v>
      </c>
      <c r="M114" s="2">
        <f t="shared" si="13"/>
        <v>16</v>
      </c>
      <c r="N114" t="e">
        <f t="shared" ca="1" si="14"/>
        <v>#NAME?</v>
      </c>
      <c r="O114" t="str">
        <f t="shared" si="15"/>
        <v/>
      </c>
      <c r="P114" s="2">
        <f t="shared" si="16"/>
        <v>18.75</v>
      </c>
      <c r="Q114" s="2">
        <f t="shared" si="17"/>
        <v>12.5</v>
      </c>
      <c r="R114" s="2">
        <f t="shared" si="18"/>
        <v>18.75</v>
      </c>
      <c r="S114" s="2">
        <f t="shared" si="19"/>
        <v>0</v>
      </c>
      <c r="T114" s="2">
        <f t="shared" si="20"/>
        <v>0</v>
      </c>
      <c r="U114" s="3" t="str">
        <f t="shared" si="21"/>
        <v/>
      </c>
      <c r="V114" s="3" t="str">
        <f t="shared" si="22"/>
        <v/>
      </c>
      <c r="W114" s="3" t="str">
        <f t="shared" si="23"/>
        <v/>
      </c>
      <c r="X114" s="3" t="str">
        <f t="shared" si="24"/>
        <v>YES</v>
      </c>
      <c r="Y114" s="3" t="str">
        <f t="shared" si="25"/>
        <v>YES</v>
      </c>
    </row>
    <row r="115" spans="1:25">
      <c r="A115" t="s">
        <v>184</v>
      </c>
      <c r="B115">
        <v>50</v>
      </c>
      <c r="C115">
        <v>5</v>
      </c>
      <c r="D115">
        <v>10000</v>
      </c>
      <c r="E115">
        <v>1</v>
      </c>
      <c r="F115" t="s">
        <v>69</v>
      </c>
      <c r="G115" t="s">
        <v>70</v>
      </c>
      <c r="H115" s="2">
        <v>18</v>
      </c>
      <c r="I115" s="2">
        <v>18</v>
      </c>
      <c r="J115" s="2">
        <v>17</v>
      </c>
      <c r="K115" s="2">
        <v>17</v>
      </c>
      <c r="L115" s="2">
        <v>16</v>
      </c>
      <c r="M115" s="2">
        <f t="shared" si="13"/>
        <v>16</v>
      </c>
      <c r="N115" t="e">
        <f t="shared" ca="1" si="14"/>
        <v>#NAME?</v>
      </c>
      <c r="O115" t="str">
        <f t="shared" si="15"/>
        <v>MSIG Cost</v>
      </c>
      <c r="P115" s="2">
        <f t="shared" si="16"/>
        <v>12.5</v>
      </c>
      <c r="Q115" s="2">
        <f t="shared" si="17"/>
        <v>12.5</v>
      </c>
      <c r="R115" s="2">
        <f t="shared" si="18"/>
        <v>6.25</v>
      </c>
      <c r="S115" s="2">
        <f t="shared" si="19"/>
        <v>6.25</v>
      </c>
      <c r="T115" s="2">
        <f t="shared" si="20"/>
        <v>0</v>
      </c>
      <c r="U115" s="3" t="str">
        <f t="shared" si="21"/>
        <v/>
      </c>
      <c r="V115" s="3" t="str">
        <f t="shared" si="22"/>
        <v/>
      </c>
      <c r="W115" s="3" t="str">
        <f t="shared" si="23"/>
        <v/>
      </c>
      <c r="X115" s="3" t="str">
        <f t="shared" si="24"/>
        <v/>
      </c>
      <c r="Y115" s="3" t="str">
        <f t="shared" si="25"/>
        <v>YES</v>
      </c>
    </row>
    <row r="116" spans="1:25">
      <c r="A116" t="s">
        <v>185</v>
      </c>
      <c r="B116">
        <v>50</v>
      </c>
      <c r="C116">
        <v>5</v>
      </c>
      <c r="D116">
        <v>10000</v>
      </c>
      <c r="E116">
        <v>10</v>
      </c>
      <c r="F116" t="s">
        <v>69</v>
      </c>
      <c r="G116" t="s">
        <v>70</v>
      </c>
      <c r="H116" s="2">
        <v>298</v>
      </c>
      <c r="I116" s="2">
        <v>313</v>
      </c>
      <c r="J116" s="2">
        <v>313</v>
      </c>
      <c r="K116" s="2">
        <v>232</v>
      </c>
      <c r="L116" s="2">
        <v>226</v>
      </c>
      <c r="M116" s="2">
        <f t="shared" si="13"/>
        <v>226</v>
      </c>
      <c r="N116" t="e">
        <f t="shared" ca="1" si="14"/>
        <v>#NAME?</v>
      </c>
      <c r="O116" t="str">
        <f t="shared" si="15"/>
        <v>MSIG Cost</v>
      </c>
      <c r="P116" s="2">
        <f t="shared" si="16"/>
        <v>31.858407079646017</v>
      </c>
      <c r="Q116" s="2">
        <f t="shared" si="17"/>
        <v>38.495575221238937</v>
      </c>
      <c r="R116" s="2">
        <f t="shared" si="18"/>
        <v>38.495575221238937</v>
      </c>
      <c r="S116" s="2">
        <f t="shared" si="19"/>
        <v>2.6548672566371683</v>
      </c>
      <c r="T116" s="2">
        <f t="shared" si="20"/>
        <v>0</v>
      </c>
      <c r="U116" s="3" t="str">
        <f t="shared" si="21"/>
        <v/>
      </c>
      <c r="V116" s="3" t="str">
        <f t="shared" si="22"/>
        <v/>
      </c>
      <c r="W116" s="3" t="str">
        <f t="shared" si="23"/>
        <v/>
      </c>
      <c r="X116" s="3" t="str">
        <f t="shared" si="24"/>
        <v/>
      </c>
      <c r="Y116" s="3" t="str">
        <f t="shared" si="25"/>
        <v>YES</v>
      </c>
    </row>
    <row r="117" spans="1:25">
      <c r="A117" t="s">
        <v>186</v>
      </c>
      <c r="B117">
        <v>50</v>
      </c>
      <c r="C117">
        <v>5</v>
      </c>
      <c r="D117">
        <v>10000</v>
      </c>
      <c r="E117">
        <v>10</v>
      </c>
      <c r="F117" t="s">
        <v>69</v>
      </c>
      <c r="G117" t="s">
        <v>70</v>
      </c>
      <c r="H117" s="2">
        <v>275</v>
      </c>
      <c r="I117" s="2">
        <v>291</v>
      </c>
      <c r="J117" s="2">
        <v>288</v>
      </c>
      <c r="K117" s="2">
        <v>228</v>
      </c>
      <c r="L117" s="2">
        <v>215</v>
      </c>
      <c r="M117" s="2">
        <f t="shared" si="13"/>
        <v>215</v>
      </c>
      <c r="N117" t="e">
        <f t="shared" ca="1" si="14"/>
        <v>#NAME?</v>
      </c>
      <c r="O117" t="str">
        <f t="shared" si="15"/>
        <v>MSIG Cost</v>
      </c>
      <c r="P117" s="2">
        <f t="shared" si="16"/>
        <v>27.906976744186046</v>
      </c>
      <c r="Q117" s="2">
        <f t="shared" si="17"/>
        <v>35.348837209302324</v>
      </c>
      <c r="R117" s="2">
        <f t="shared" si="18"/>
        <v>33.95348837209302</v>
      </c>
      <c r="S117" s="2">
        <f t="shared" si="19"/>
        <v>6.0465116279069768</v>
      </c>
      <c r="T117" s="2">
        <f t="shared" si="20"/>
        <v>0</v>
      </c>
      <c r="U117" s="3" t="str">
        <f t="shared" si="21"/>
        <v/>
      </c>
      <c r="V117" s="3" t="str">
        <f t="shared" si="22"/>
        <v/>
      </c>
      <c r="W117" s="3" t="str">
        <f t="shared" si="23"/>
        <v/>
      </c>
      <c r="X117" s="3" t="str">
        <f t="shared" si="24"/>
        <v/>
      </c>
      <c r="Y117" s="3" t="str">
        <f t="shared" si="25"/>
        <v>YES</v>
      </c>
    </row>
    <row r="118" spans="1:25">
      <c r="A118" t="s">
        <v>187</v>
      </c>
      <c r="B118">
        <v>50</v>
      </c>
      <c r="C118">
        <v>5</v>
      </c>
      <c r="D118">
        <v>10000</v>
      </c>
      <c r="E118">
        <v>1</v>
      </c>
      <c r="F118" t="s">
        <v>69</v>
      </c>
      <c r="G118" t="s">
        <v>70</v>
      </c>
      <c r="H118" s="2">
        <v>15</v>
      </c>
      <c r="I118" s="2">
        <v>15</v>
      </c>
      <c r="J118" s="2">
        <v>15</v>
      </c>
      <c r="K118" s="2">
        <v>15</v>
      </c>
      <c r="L118" s="2">
        <v>14</v>
      </c>
      <c r="M118" s="2">
        <f t="shared" si="13"/>
        <v>14</v>
      </c>
      <c r="N118" t="e">
        <f t="shared" ca="1" si="14"/>
        <v>#NAME?</v>
      </c>
      <c r="O118" t="str">
        <f t="shared" si="15"/>
        <v>MSIG Cost</v>
      </c>
      <c r="P118" s="2">
        <f t="shared" si="16"/>
        <v>7.1428571428571423</v>
      </c>
      <c r="Q118" s="2">
        <f t="shared" si="17"/>
        <v>7.1428571428571423</v>
      </c>
      <c r="R118" s="2">
        <f t="shared" si="18"/>
        <v>7.1428571428571423</v>
      </c>
      <c r="S118" s="2">
        <f t="shared" si="19"/>
        <v>7.1428571428571423</v>
      </c>
      <c r="T118" s="2">
        <f t="shared" si="20"/>
        <v>0</v>
      </c>
      <c r="U118" s="3" t="str">
        <f t="shared" si="21"/>
        <v/>
      </c>
      <c r="V118" s="3" t="str">
        <f t="shared" si="22"/>
        <v/>
      </c>
      <c r="W118" s="3" t="str">
        <f t="shared" si="23"/>
        <v/>
      </c>
      <c r="X118" s="3" t="str">
        <f t="shared" si="24"/>
        <v/>
      </c>
      <c r="Y118" s="3" t="str">
        <f t="shared" si="25"/>
        <v>YES</v>
      </c>
    </row>
    <row r="119" spans="1:25">
      <c r="A119" t="s">
        <v>188</v>
      </c>
      <c r="B119">
        <v>50</v>
      </c>
      <c r="C119">
        <v>5</v>
      </c>
      <c r="D119">
        <v>10000</v>
      </c>
      <c r="E119">
        <v>1</v>
      </c>
      <c r="F119" t="s">
        <v>69</v>
      </c>
      <c r="G119" t="s">
        <v>70</v>
      </c>
      <c r="H119" s="2">
        <v>15</v>
      </c>
      <c r="I119" s="2">
        <v>15</v>
      </c>
      <c r="J119" s="2">
        <v>15</v>
      </c>
      <c r="K119" s="2">
        <v>16</v>
      </c>
      <c r="L119" s="2">
        <v>14</v>
      </c>
      <c r="M119" s="2">
        <f t="shared" si="13"/>
        <v>14</v>
      </c>
      <c r="N119" t="e">
        <f t="shared" ca="1" si="14"/>
        <v>#NAME?</v>
      </c>
      <c r="O119" t="str">
        <f t="shared" si="15"/>
        <v>MSIG Cost</v>
      </c>
      <c r="P119" s="2">
        <f t="shared" si="16"/>
        <v>7.1428571428571423</v>
      </c>
      <c r="Q119" s="2">
        <f t="shared" si="17"/>
        <v>7.1428571428571423</v>
      </c>
      <c r="R119" s="2">
        <f t="shared" si="18"/>
        <v>7.1428571428571423</v>
      </c>
      <c r="S119" s="2">
        <f t="shared" si="19"/>
        <v>14.285714285714285</v>
      </c>
      <c r="T119" s="2">
        <f t="shared" si="20"/>
        <v>0</v>
      </c>
      <c r="U119" s="3" t="str">
        <f t="shared" si="21"/>
        <v/>
      </c>
      <c r="V119" s="3" t="str">
        <f t="shared" si="22"/>
        <v/>
      </c>
      <c r="W119" s="3" t="str">
        <f t="shared" si="23"/>
        <v/>
      </c>
      <c r="X119" s="3" t="str">
        <f t="shared" si="24"/>
        <v/>
      </c>
      <c r="Y119" s="3" t="str">
        <f t="shared" si="25"/>
        <v>YES</v>
      </c>
    </row>
    <row r="120" spans="1:25">
      <c r="A120" t="s">
        <v>189</v>
      </c>
      <c r="B120">
        <v>50</v>
      </c>
      <c r="C120">
        <v>5</v>
      </c>
      <c r="D120">
        <v>10000</v>
      </c>
      <c r="E120">
        <v>10</v>
      </c>
      <c r="F120" t="s">
        <v>69</v>
      </c>
      <c r="G120" t="s">
        <v>70</v>
      </c>
      <c r="H120" s="2">
        <v>315</v>
      </c>
      <c r="I120" s="2">
        <v>324</v>
      </c>
      <c r="J120" s="2">
        <v>311</v>
      </c>
      <c r="K120" s="2">
        <v>204</v>
      </c>
      <c r="L120" s="2">
        <v>205</v>
      </c>
      <c r="M120" s="2">
        <f t="shared" si="13"/>
        <v>204</v>
      </c>
      <c r="N120" t="e">
        <f t="shared" ca="1" si="14"/>
        <v>#NAME?</v>
      </c>
      <c r="O120" t="str">
        <f t="shared" si="15"/>
        <v>Best C-TP Cost</v>
      </c>
      <c r="P120" s="2">
        <f t="shared" si="16"/>
        <v>54.411764705882348</v>
      </c>
      <c r="Q120" s="2">
        <f t="shared" si="17"/>
        <v>58.82352941176471</v>
      </c>
      <c r="R120" s="2">
        <f t="shared" si="18"/>
        <v>52.450980392156865</v>
      </c>
      <c r="S120" s="2">
        <f t="shared" si="19"/>
        <v>0</v>
      </c>
      <c r="T120" s="2">
        <f t="shared" si="20"/>
        <v>0.49019607843137253</v>
      </c>
      <c r="U120" s="3" t="str">
        <f t="shared" si="21"/>
        <v/>
      </c>
      <c r="V120" s="3" t="str">
        <f t="shared" si="22"/>
        <v/>
      </c>
      <c r="W120" s="3" t="str">
        <f t="shared" si="23"/>
        <v/>
      </c>
      <c r="X120" s="3" t="str">
        <f t="shared" si="24"/>
        <v>YES</v>
      </c>
      <c r="Y120" s="3" t="str">
        <f t="shared" si="25"/>
        <v/>
      </c>
    </row>
    <row r="121" spans="1:25">
      <c r="A121" t="s">
        <v>190</v>
      </c>
      <c r="B121">
        <v>50</v>
      </c>
      <c r="C121">
        <v>5</v>
      </c>
      <c r="D121">
        <v>10000</v>
      </c>
      <c r="E121">
        <v>10</v>
      </c>
      <c r="F121" t="s">
        <v>69</v>
      </c>
      <c r="G121" t="s">
        <v>70</v>
      </c>
      <c r="H121" s="2">
        <v>250</v>
      </c>
      <c r="I121" s="2">
        <v>260</v>
      </c>
      <c r="J121" s="2">
        <v>263</v>
      </c>
      <c r="K121" s="2">
        <v>208</v>
      </c>
      <c r="L121" s="2">
        <v>190</v>
      </c>
      <c r="M121" s="2">
        <f t="shared" si="13"/>
        <v>190</v>
      </c>
      <c r="N121" t="e">
        <f t="shared" ca="1" si="14"/>
        <v>#NAME?</v>
      </c>
      <c r="O121" t="str">
        <f t="shared" si="15"/>
        <v>MSIG Cost</v>
      </c>
      <c r="P121" s="2">
        <f t="shared" si="16"/>
        <v>31.578947368421051</v>
      </c>
      <c r="Q121" s="2">
        <f t="shared" si="17"/>
        <v>36.84210526315789</v>
      </c>
      <c r="R121" s="2">
        <f t="shared" si="18"/>
        <v>38.421052631578945</v>
      </c>
      <c r="S121" s="2">
        <f t="shared" si="19"/>
        <v>9.4736842105263168</v>
      </c>
      <c r="T121" s="2">
        <f t="shared" si="20"/>
        <v>0</v>
      </c>
      <c r="U121" s="3" t="str">
        <f t="shared" si="21"/>
        <v/>
      </c>
      <c r="V121" s="3" t="str">
        <f t="shared" si="22"/>
        <v/>
      </c>
      <c r="W121" s="3" t="str">
        <f t="shared" si="23"/>
        <v/>
      </c>
      <c r="X121" s="3" t="str">
        <f t="shared" si="24"/>
        <v/>
      </c>
      <c r="Y121" s="3" t="str">
        <f t="shared" si="25"/>
        <v>YES</v>
      </c>
    </row>
    <row r="122" spans="1:25">
      <c r="A122" t="s">
        <v>191</v>
      </c>
      <c r="B122">
        <v>50</v>
      </c>
      <c r="C122">
        <v>5</v>
      </c>
      <c r="D122">
        <v>10000</v>
      </c>
      <c r="E122">
        <v>1</v>
      </c>
      <c r="F122" t="s">
        <v>69</v>
      </c>
      <c r="G122" t="s">
        <v>70</v>
      </c>
      <c r="H122" s="2">
        <v>10</v>
      </c>
      <c r="I122" s="2">
        <v>11</v>
      </c>
      <c r="J122" s="2">
        <v>10</v>
      </c>
      <c r="K122" s="2">
        <v>10</v>
      </c>
      <c r="L122" s="2">
        <v>9</v>
      </c>
      <c r="M122" s="2">
        <f t="shared" si="13"/>
        <v>9</v>
      </c>
      <c r="N122" t="e">
        <f t="shared" ca="1" si="14"/>
        <v>#NAME?</v>
      </c>
      <c r="O122" t="str">
        <f t="shared" si="15"/>
        <v>MSIG Cost</v>
      </c>
      <c r="P122" s="2">
        <f t="shared" si="16"/>
        <v>11.111111111111111</v>
      </c>
      <c r="Q122" s="2">
        <f t="shared" si="17"/>
        <v>22.222222222222221</v>
      </c>
      <c r="R122" s="2">
        <f t="shared" si="18"/>
        <v>11.111111111111111</v>
      </c>
      <c r="S122" s="2">
        <f t="shared" si="19"/>
        <v>11.111111111111111</v>
      </c>
      <c r="T122" s="2">
        <f t="shared" si="20"/>
        <v>0</v>
      </c>
      <c r="U122" s="3" t="str">
        <f t="shared" si="21"/>
        <v/>
      </c>
      <c r="V122" s="3" t="str">
        <f t="shared" si="22"/>
        <v/>
      </c>
      <c r="W122" s="3" t="str">
        <f t="shared" si="23"/>
        <v/>
      </c>
      <c r="X122" s="3" t="str">
        <f t="shared" si="24"/>
        <v/>
      </c>
      <c r="Y122" s="3" t="str">
        <f t="shared" si="25"/>
        <v>YES</v>
      </c>
    </row>
    <row r="123" spans="1:25">
      <c r="A123" t="s">
        <v>192</v>
      </c>
      <c r="B123">
        <v>50</v>
      </c>
      <c r="C123">
        <v>5</v>
      </c>
      <c r="D123">
        <v>10000</v>
      </c>
      <c r="E123">
        <v>1</v>
      </c>
      <c r="F123" t="s">
        <v>69</v>
      </c>
      <c r="G123" t="s">
        <v>70</v>
      </c>
      <c r="H123" s="2">
        <v>10</v>
      </c>
      <c r="I123" s="2">
        <v>10</v>
      </c>
      <c r="J123" s="2">
        <v>10</v>
      </c>
      <c r="K123" s="2">
        <v>10</v>
      </c>
      <c r="L123" s="2">
        <v>9</v>
      </c>
      <c r="M123" s="2">
        <f t="shared" si="13"/>
        <v>9</v>
      </c>
      <c r="N123" t="e">
        <f t="shared" ca="1" si="14"/>
        <v>#NAME?</v>
      </c>
      <c r="O123" t="str">
        <f t="shared" si="15"/>
        <v>MSIG Cost</v>
      </c>
      <c r="P123" s="2">
        <f t="shared" si="16"/>
        <v>11.111111111111111</v>
      </c>
      <c r="Q123" s="2">
        <f t="shared" si="17"/>
        <v>11.111111111111111</v>
      </c>
      <c r="R123" s="2">
        <f t="shared" si="18"/>
        <v>11.111111111111111</v>
      </c>
      <c r="S123" s="2">
        <f t="shared" si="19"/>
        <v>11.111111111111111</v>
      </c>
      <c r="T123" s="2">
        <f t="shared" si="20"/>
        <v>0</v>
      </c>
      <c r="U123" s="3" t="str">
        <f t="shared" si="21"/>
        <v/>
      </c>
      <c r="V123" s="3" t="str">
        <f t="shared" si="22"/>
        <v/>
      </c>
      <c r="W123" s="3" t="str">
        <f t="shared" si="23"/>
        <v/>
      </c>
      <c r="X123" s="3" t="str">
        <f t="shared" si="24"/>
        <v/>
      </c>
      <c r="Y123" s="3" t="str">
        <f t="shared" si="25"/>
        <v>YES</v>
      </c>
    </row>
    <row r="124" spans="1:25">
      <c r="A124" t="s">
        <v>193</v>
      </c>
      <c r="B124">
        <v>50</v>
      </c>
      <c r="C124">
        <v>5</v>
      </c>
      <c r="D124">
        <v>10000</v>
      </c>
      <c r="E124">
        <v>10</v>
      </c>
      <c r="F124" t="s">
        <v>69</v>
      </c>
      <c r="G124" t="s">
        <v>70</v>
      </c>
      <c r="H124" s="2">
        <v>196</v>
      </c>
      <c r="I124" s="2">
        <v>196</v>
      </c>
      <c r="J124" s="2">
        <v>187</v>
      </c>
      <c r="K124" s="2">
        <v>130</v>
      </c>
      <c r="L124" s="2">
        <v>126</v>
      </c>
      <c r="M124" s="2">
        <f t="shared" si="13"/>
        <v>126</v>
      </c>
      <c r="N124" t="e">
        <f t="shared" ca="1" si="14"/>
        <v>#NAME?</v>
      </c>
      <c r="O124" t="str">
        <f t="shared" si="15"/>
        <v>MSIG Cost</v>
      </c>
      <c r="P124" s="2">
        <f t="shared" si="16"/>
        <v>55.555555555555557</v>
      </c>
      <c r="Q124" s="2">
        <f t="shared" si="17"/>
        <v>55.555555555555557</v>
      </c>
      <c r="R124" s="2">
        <f t="shared" si="18"/>
        <v>48.412698412698411</v>
      </c>
      <c r="S124" s="2">
        <f t="shared" si="19"/>
        <v>3.1746031746031744</v>
      </c>
      <c r="T124" s="2">
        <f t="shared" si="20"/>
        <v>0</v>
      </c>
      <c r="U124" s="3" t="str">
        <f t="shared" si="21"/>
        <v/>
      </c>
      <c r="V124" s="3" t="str">
        <f t="shared" si="22"/>
        <v/>
      </c>
      <c r="W124" s="3" t="str">
        <f t="shared" si="23"/>
        <v/>
      </c>
      <c r="X124" s="3" t="str">
        <f t="shared" si="24"/>
        <v/>
      </c>
      <c r="Y124" s="3" t="str">
        <f t="shared" si="25"/>
        <v>YES</v>
      </c>
    </row>
    <row r="125" spans="1:25">
      <c r="A125" t="s">
        <v>194</v>
      </c>
      <c r="B125">
        <v>50</v>
      </c>
      <c r="C125">
        <v>5</v>
      </c>
      <c r="D125">
        <v>10000</v>
      </c>
      <c r="E125">
        <v>10</v>
      </c>
      <c r="F125" t="s">
        <v>69</v>
      </c>
      <c r="G125" t="s">
        <v>70</v>
      </c>
      <c r="H125" s="2">
        <v>209</v>
      </c>
      <c r="I125" s="2">
        <v>207</v>
      </c>
      <c r="J125" s="2">
        <v>194</v>
      </c>
      <c r="K125" s="2">
        <v>148</v>
      </c>
      <c r="L125" s="2">
        <v>127</v>
      </c>
      <c r="M125" s="2">
        <f t="shared" si="13"/>
        <v>127</v>
      </c>
      <c r="N125" t="e">
        <f t="shared" ca="1" si="14"/>
        <v>#NAME?</v>
      </c>
      <c r="O125" t="str">
        <f t="shared" si="15"/>
        <v>MSIG Cost</v>
      </c>
      <c r="P125" s="2">
        <f t="shared" si="16"/>
        <v>64.566929133858267</v>
      </c>
      <c r="Q125" s="2">
        <f t="shared" si="17"/>
        <v>62.99212598425197</v>
      </c>
      <c r="R125" s="2">
        <f t="shared" si="18"/>
        <v>52.755905511811022</v>
      </c>
      <c r="S125" s="2">
        <f t="shared" si="19"/>
        <v>16.535433070866144</v>
      </c>
      <c r="T125" s="2">
        <f t="shared" si="20"/>
        <v>0</v>
      </c>
      <c r="U125" s="3" t="str">
        <f t="shared" si="21"/>
        <v/>
      </c>
      <c r="V125" s="3" t="str">
        <f t="shared" si="22"/>
        <v/>
      </c>
      <c r="W125" s="3" t="str">
        <f t="shared" si="23"/>
        <v/>
      </c>
      <c r="X125" s="3" t="str">
        <f t="shared" si="24"/>
        <v/>
      </c>
      <c r="Y125" s="3" t="str">
        <f t="shared" si="25"/>
        <v>YES</v>
      </c>
    </row>
    <row r="126" spans="1:25">
      <c r="A126" t="s">
        <v>195</v>
      </c>
      <c r="B126">
        <v>50</v>
      </c>
      <c r="C126">
        <v>5</v>
      </c>
      <c r="D126">
        <v>10000</v>
      </c>
      <c r="E126">
        <v>1</v>
      </c>
      <c r="F126" t="s">
        <v>69</v>
      </c>
      <c r="G126" t="s">
        <v>70</v>
      </c>
      <c r="H126" s="2">
        <v>8</v>
      </c>
      <c r="I126" s="2">
        <v>8</v>
      </c>
      <c r="J126" s="2">
        <v>8</v>
      </c>
      <c r="K126" s="2">
        <v>10</v>
      </c>
      <c r="L126" s="2">
        <v>8</v>
      </c>
      <c r="M126" s="2">
        <f t="shared" si="13"/>
        <v>8</v>
      </c>
      <c r="N126" t="e">
        <f t="shared" ca="1" si="14"/>
        <v>#NAME?</v>
      </c>
      <c r="O126" t="str">
        <f t="shared" si="15"/>
        <v/>
      </c>
      <c r="P126" s="2">
        <f t="shared" si="16"/>
        <v>0</v>
      </c>
      <c r="Q126" s="2">
        <f t="shared" si="17"/>
        <v>0</v>
      </c>
      <c r="R126" s="2">
        <f t="shared" si="18"/>
        <v>0</v>
      </c>
      <c r="S126" s="2">
        <f t="shared" si="19"/>
        <v>25</v>
      </c>
      <c r="T126" s="2">
        <f t="shared" si="20"/>
        <v>0</v>
      </c>
      <c r="U126" s="3" t="str">
        <f t="shared" si="21"/>
        <v>YES</v>
      </c>
      <c r="V126" s="3" t="str">
        <f t="shared" si="22"/>
        <v>YES</v>
      </c>
      <c r="W126" s="3" t="str">
        <f t="shared" si="23"/>
        <v>YES</v>
      </c>
      <c r="X126" s="3" t="str">
        <f t="shared" si="24"/>
        <v/>
      </c>
      <c r="Y126" s="3" t="str">
        <f t="shared" si="25"/>
        <v>YES</v>
      </c>
    </row>
    <row r="127" spans="1:25">
      <c r="A127" t="s">
        <v>196</v>
      </c>
      <c r="B127">
        <v>50</v>
      </c>
      <c r="C127">
        <v>5</v>
      </c>
      <c r="D127">
        <v>10000</v>
      </c>
      <c r="E127">
        <v>1</v>
      </c>
      <c r="F127" t="s">
        <v>69</v>
      </c>
      <c r="G127" t="s">
        <v>70</v>
      </c>
      <c r="H127" s="2">
        <v>8</v>
      </c>
      <c r="I127" s="2">
        <v>8</v>
      </c>
      <c r="J127" s="2">
        <v>8</v>
      </c>
      <c r="K127" s="2">
        <v>10</v>
      </c>
      <c r="L127" s="2">
        <v>7</v>
      </c>
      <c r="M127" s="2">
        <f t="shared" si="13"/>
        <v>7</v>
      </c>
      <c r="N127" t="e">
        <f t="shared" ca="1" si="14"/>
        <v>#NAME?</v>
      </c>
      <c r="O127" t="str">
        <f t="shared" si="15"/>
        <v>MSIG Cost</v>
      </c>
      <c r="P127" s="2">
        <f t="shared" si="16"/>
        <v>14.285714285714285</v>
      </c>
      <c r="Q127" s="2">
        <f t="shared" si="17"/>
        <v>14.285714285714285</v>
      </c>
      <c r="R127" s="2">
        <f t="shared" si="18"/>
        <v>14.285714285714285</v>
      </c>
      <c r="S127" s="2">
        <f t="shared" si="19"/>
        <v>42.857142857142854</v>
      </c>
      <c r="T127" s="2">
        <f t="shared" si="20"/>
        <v>0</v>
      </c>
      <c r="U127" s="3" t="str">
        <f t="shared" si="21"/>
        <v/>
      </c>
      <c r="V127" s="3" t="str">
        <f t="shared" si="22"/>
        <v/>
      </c>
      <c r="W127" s="3" t="str">
        <f t="shared" si="23"/>
        <v/>
      </c>
      <c r="X127" s="3" t="str">
        <f t="shared" si="24"/>
        <v/>
      </c>
      <c r="Y127" s="3" t="str">
        <f t="shared" si="25"/>
        <v>YES</v>
      </c>
    </row>
    <row r="128" spans="1:25">
      <c r="A128" t="s">
        <v>197</v>
      </c>
      <c r="B128">
        <v>50</v>
      </c>
      <c r="C128">
        <v>5</v>
      </c>
      <c r="D128">
        <v>10000</v>
      </c>
      <c r="E128">
        <v>10</v>
      </c>
      <c r="F128" t="s">
        <v>69</v>
      </c>
      <c r="G128" t="s">
        <v>70</v>
      </c>
      <c r="H128" s="2">
        <v>177</v>
      </c>
      <c r="I128" s="2">
        <v>171</v>
      </c>
      <c r="J128" s="2">
        <v>172</v>
      </c>
      <c r="K128" s="2">
        <v>130</v>
      </c>
      <c r="L128" s="2">
        <v>126</v>
      </c>
      <c r="M128" s="2">
        <f t="shared" si="13"/>
        <v>126</v>
      </c>
      <c r="N128" t="e">
        <f t="shared" ca="1" si="14"/>
        <v>#NAME?</v>
      </c>
      <c r="O128" t="str">
        <f t="shared" si="15"/>
        <v>MSIG Cost</v>
      </c>
      <c r="P128" s="2">
        <f t="shared" si="16"/>
        <v>40.476190476190474</v>
      </c>
      <c r="Q128" s="2">
        <f t="shared" si="17"/>
        <v>35.714285714285715</v>
      </c>
      <c r="R128" s="2">
        <f t="shared" si="18"/>
        <v>36.507936507936506</v>
      </c>
      <c r="S128" s="2">
        <f t="shared" si="19"/>
        <v>3.1746031746031744</v>
      </c>
      <c r="T128" s="2">
        <f t="shared" si="20"/>
        <v>0</v>
      </c>
      <c r="U128" s="3" t="str">
        <f t="shared" si="21"/>
        <v/>
      </c>
      <c r="V128" s="3" t="str">
        <f t="shared" si="22"/>
        <v/>
      </c>
      <c r="W128" s="3" t="str">
        <f t="shared" si="23"/>
        <v/>
      </c>
      <c r="X128" s="3" t="str">
        <f t="shared" si="24"/>
        <v/>
      </c>
      <c r="Y128" s="3" t="str">
        <f t="shared" si="25"/>
        <v>YES</v>
      </c>
    </row>
    <row r="129" spans="1:25">
      <c r="A129" t="s">
        <v>198</v>
      </c>
      <c r="B129">
        <v>50</v>
      </c>
      <c r="C129">
        <v>5</v>
      </c>
      <c r="D129">
        <v>10000</v>
      </c>
      <c r="E129">
        <v>10</v>
      </c>
      <c r="F129" t="s">
        <v>69</v>
      </c>
      <c r="G129" t="s">
        <v>70</v>
      </c>
      <c r="H129" s="2">
        <v>165</v>
      </c>
      <c r="I129" s="2">
        <v>169</v>
      </c>
      <c r="J129" s="2">
        <v>156</v>
      </c>
      <c r="K129" s="2">
        <v>138</v>
      </c>
      <c r="L129" s="2">
        <v>127</v>
      </c>
      <c r="M129" s="2">
        <f t="shared" si="13"/>
        <v>127</v>
      </c>
      <c r="N129" t="e">
        <f t="shared" ca="1" si="14"/>
        <v>#NAME?</v>
      </c>
      <c r="O129" t="str">
        <f t="shared" si="15"/>
        <v>MSIG Cost</v>
      </c>
      <c r="P129" s="2">
        <f t="shared" si="16"/>
        <v>29.921259842519689</v>
      </c>
      <c r="Q129" s="2">
        <f t="shared" si="17"/>
        <v>33.070866141732289</v>
      </c>
      <c r="R129" s="2">
        <f t="shared" si="18"/>
        <v>22.834645669291341</v>
      </c>
      <c r="S129" s="2">
        <f t="shared" si="19"/>
        <v>8.6614173228346463</v>
      </c>
      <c r="T129" s="2">
        <f t="shared" si="20"/>
        <v>0</v>
      </c>
      <c r="U129" s="3" t="str">
        <f t="shared" si="21"/>
        <v/>
      </c>
      <c r="V129" s="3" t="str">
        <f t="shared" si="22"/>
        <v/>
      </c>
      <c r="W129" s="3" t="str">
        <f t="shared" si="23"/>
        <v/>
      </c>
      <c r="X129" s="3" t="str">
        <f t="shared" si="24"/>
        <v/>
      </c>
      <c r="Y129" s="3" t="str">
        <f t="shared" si="25"/>
        <v>YES</v>
      </c>
    </row>
    <row r="130" spans="1:25">
      <c r="A130" t="s">
        <v>199</v>
      </c>
      <c r="B130">
        <v>75</v>
      </c>
      <c r="C130">
        <v>10</v>
      </c>
      <c r="D130">
        <v>10000</v>
      </c>
      <c r="E130">
        <v>1</v>
      </c>
      <c r="F130" t="s">
        <v>69</v>
      </c>
      <c r="G130" t="s">
        <v>70</v>
      </c>
      <c r="H130" s="2">
        <v>27</v>
      </c>
      <c r="I130" s="2">
        <v>26</v>
      </c>
      <c r="J130" s="2">
        <v>27</v>
      </c>
      <c r="K130" s="2">
        <v>26</v>
      </c>
      <c r="L130" s="2">
        <v>24</v>
      </c>
      <c r="M130" s="2">
        <f t="shared" ref="M130:M193" si="26">MIN(H130:L130)</f>
        <v>24</v>
      </c>
      <c r="N130" t="e">
        <f t="shared" ref="N130:N193" ca="1" si="27">_xludf.TEXTJOIN(", ",TRUE,IF(H130=M130,"S-FFD",""),IF(I130=M130,"S-BFD",""),IF(J130=M130,"S-WFD",""),IF(K130=M130,"Best C-TP",""),IF(L130=M130,"MSIG",""))</f>
        <v>#NAME?</v>
      </c>
      <c r="O130" t="str">
        <f t="shared" ref="O130:O193" si="28">IF(COUNTIF(H130:L130,M130)=1,INDEX($H$1:$L$1,1,MATCH(M130,H130:L130,0)),"")</f>
        <v>MSIG Cost</v>
      </c>
      <c r="P130" s="2">
        <f t="shared" ref="P130:P193" si="29">(H130-$M130)/$M130*100</f>
        <v>12.5</v>
      </c>
      <c r="Q130" s="2">
        <f t="shared" ref="Q130:Q193" si="30">(I130-$M130)/$M130*100</f>
        <v>8.3333333333333321</v>
      </c>
      <c r="R130" s="2">
        <f t="shared" ref="R130:R193" si="31">(J130-$M130)/$M130*100</f>
        <v>12.5</v>
      </c>
      <c r="S130" s="2">
        <f t="shared" ref="S130:S193" si="32">(K130-$M130)/$M130*100</f>
        <v>8.3333333333333321</v>
      </c>
      <c r="T130" s="2">
        <f t="shared" ref="T130:T193" si="33">(L130-$M130)/$M130*100</f>
        <v>0</v>
      </c>
      <c r="U130" s="3" t="str">
        <f t="shared" ref="U130:U193" si="34">IF(H130=$M130,"YES","")</f>
        <v/>
      </c>
      <c r="V130" s="3" t="str">
        <f t="shared" ref="V130:V193" si="35">IF(I130=$M130,"YES","")</f>
        <v/>
      </c>
      <c r="W130" s="3" t="str">
        <f t="shared" ref="W130:W193" si="36">IF(J130=$M130,"YES","")</f>
        <v/>
      </c>
      <c r="X130" s="3" t="str">
        <f t="shared" ref="X130:X193" si="37">IF(K130=$M130,"YES","")</f>
        <v/>
      </c>
      <c r="Y130" s="3" t="str">
        <f t="shared" ref="Y130:Y193" si="38">IF(L130=$M130,"YES","")</f>
        <v>YES</v>
      </c>
    </row>
    <row r="131" spans="1:25">
      <c r="A131" t="s">
        <v>200</v>
      </c>
      <c r="B131">
        <v>75</v>
      </c>
      <c r="C131">
        <v>10</v>
      </c>
      <c r="D131">
        <v>10000</v>
      </c>
      <c r="E131">
        <v>1</v>
      </c>
      <c r="F131" t="s">
        <v>69</v>
      </c>
      <c r="G131" t="s">
        <v>70</v>
      </c>
      <c r="H131" s="2">
        <v>30</v>
      </c>
      <c r="I131" s="2">
        <v>30</v>
      </c>
      <c r="J131" s="2">
        <v>31</v>
      </c>
      <c r="K131" s="2">
        <v>25</v>
      </c>
      <c r="L131" s="2">
        <v>26</v>
      </c>
      <c r="M131" s="2">
        <f t="shared" si="26"/>
        <v>25</v>
      </c>
      <c r="N131" t="e">
        <f t="shared" ca="1" si="27"/>
        <v>#NAME?</v>
      </c>
      <c r="O131" t="str">
        <f t="shared" si="28"/>
        <v>Best C-TP Cost</v>
      </c>
      <c r="P131" s="2">
        <f t="shared" si="29"/>
        <v>20</v>
      </c>
      <c r="Q131" s="2">
        <f t="shared" si="30"/>
        <v>20</v>
      </c>
      <c r="R131" s="2">
        <f t="shared" si="31"/>
        <v>24</v>
      </c>
      <c r="S131" s="2">
        <f t="shared" si="32"/>
        <v>0</v>
      </c>
      <c r="T131" s="2">
        <f t="shared" si="33"/>
        <v>4</v>
      </c>
      <c r="U131" s="3" t="str">
        <f t="shared" si="34"/>
        <v/>
      </c>
      <c r="V131" s="3" t="str">
        <f t="shared" si="35"/>
        <v/>
      </c>
      <c r="W131" s="3" t="str">
        <f t="shared" si="36"/>
        <v/>
      </c>
      <c r="X131" s="3" t="str">
        <f t="shared" si="37"/>
        <v>YES</v>
      </c>
      <c r="Y131" s="3" t="str">
        <f t="shared" si="38"/>
        <v/>
      </c>
    </row>
    <row r="132" spans="1:25">
      <c r="A132" t="s">
        <v>201</v>
      </c>
      <c r="B132">
        <v>75</v>
      </c>
      <c r="C132">
        <v>10</v>
      </c>
      <c r="D132">
        <v>10000</v>
      </c>
      <c r="E132">
        <v>10</v>
      </c>
      <c r="F132" t="s">
        <v>69</v>
      </c>
      <c r="G132" t="s">
        <v>70</v>
      </c>
      <c r="H132" s="2">
        <v>473</v>
      </c>
      <c r="I132" s="2">
        <v>474</v>
      </c>
      <c r="J132" s="2">
        <v>476</v>
      </c>
      <c r="K132" s="2">
        <v>344</v>
      </c>
      <c r="L132" s="2">
        <v>336</v>
      </c>
      <c r="M132" s="2">
        <f t="shared" si="26"/>
        <v>336</v>
      </c>
      <c r="N132" t="e">
        <f t="shared" ca="1" si="27"/>
        <v>#NAME?</v>
      </c>
      <c r="O132" t="str">
        <f t="shared" si="28"/>
        <v>MSIG Cost</v>
      </c>
      <c r="P132" s="2">
        <f t="shared" si="29"/>
        <v>40.773809523809526</v>
      </c>
      <c r="Q132" s="2">
        <f t="shared" si="30"/>
        <v>41.071428571428569</v>
      </c>
      <c r="R132" s="2">
        <f t="shared" si="31"/>
        <v>41.666666666666671</v>
      </c>
      <c r="S132" s="2">
        <f t="shared" si="32"/>
        <v>2.3809523809523809</v>
      </c>
      <c r="T132" s="2">
        <f t="shared" si="33"/>
        <v>0</v>
      </c>
      <c r="U132" s="3" t="str">
        <f t="shared" si="34"/>
        <v/>
      </c>
      <c r="V132" s="3" t="str">
        <f t="shared" si="35"/>
        <v/>
      </c>
      <c r="W132" s="3" t="str">
        <f t="shared" si="36"/>
        <v/>
      </c>
      <c r="X132" s="3" t="str">
        <f t="shared" si="37"/>
        <v/>
      </c>
      <c r="Y132" s="3" t="str">
        <f t="shared" si="38"/>
        <v>YES</v>
      </c>
    </row>
    <row r="133" spans="1:25">
      <c r="A133" t="s">
        <v>202</v>
      </c>
      <c r="B133">
        <v>75</v>
      </c>
      <c r="C133">
        <v>10</v>
      </c>
      <c r="D133">
        <v>10000</v>
      </c>
      <c r="E133">
        <v>10</v>
      </c>
      <c r="F133" t="s">
        <v>69</v>
      </c>
      <c r="G133" t="s">
        <v>70</v>
      </c>
      <c r="H133" s="2">
        <v>410</v>
      </c>
      <c r="I133" s="2">
        <v>415</v>
      </c>
      <c r="J133" s="2">
        <v>430</v>
      </c>
      <c r="K133" s="2">
        <v>343</v>
      </c>
      <c r="L133" s="2">
        <v>323</v>
      </c>
      <c r="M133" s="2">
        <f t="shared" si="26"/>
        <v>323</v>
      </c>
      <c r="N133" t="e">
        <f t="shared" ca="1" si="27"/>
        <v>#NAME?</v>
      </c>
      <c r="O133" t="str">
        <f t="shared" si="28"/>
        <v>MSIG Cost</v>
      </c>
      <c r="P133" s="2">
        <f t="shared" si="29"/>
        <v>26.934984520123841</v>
      </c>
      <c r="Q133" s="2">
        <f t="shared" si="30"/>
        <v>28.482972136222912</v>
      </c>
      <c r="R133" s="2">
        <f t="shared" si="31"/>
        <v>33.126934984520126</v>
      </c>
      <c r="S133" s="2">
        <f t="shared" si="32"/>
        <v>6.1919504643962853</v>
      </c>
      <c r="T133" s="2">
        <f t="shared" si="33"/>
        <v>0</v>
      </c>
      <c r="U133" s="3" t="str">
        <f t="shared" si="34"/>
        <v/>
      </c>
      <c r="V133" s="3" t="str">
        <f t="shared" si="35"/>
        <v/>
      </c>
      <c r="W133" s="3" t="str">
        <f t="shared" si="36"/>
        <v/>
      </c>
      <c r="X133" s="3" t="str">
        <f t="shared" si="37"/>
        <v/>
      </c>
      <c r="Y133" s="3" t="str">
        <f t="shared" si="38"/>
        <v>YES</v>
      </c>
    </row>
    <row r="134" spans="1:25">
      <c r="A134" t="s">
        <v>203</v>
      </c>
      <c r="B134">
        <v>75</v>
      </c>
      <c r="C134">
        <v>10</v>
      </c>
      <c r="D134">
        <v>10000</v>
      </c>
      <c r="E134">
        <v>1</v>
      </c>
      <c r="F134" t="s">
        <v>69</v>
      </c>
      <c r="G134" t="s">
        <v>70</v>
      </c>
      <c r="H134" s="2">
        <v>22</v>
      </c>
      <c r="I134" s="2">
        <v>22</v>
      </c>
      <c r="J134" s="2">
        <v>22</v>
      </c>
      <c r="K134" s="2">
        <v>21</v>
      </c>
      <c r="L134" s="2">
        <v>20</v>
      </c>
      <c r="M134" s="2">
        <f t="shared" si="26"/>
        <v>20</v>
      </c>
      <c r="N134" t="e">
        <f t="shared" ca="1" si="27"/>
        <v>#NAME?</v>
      </c>
      <c r="O134" t="str">
        <f t="shared" si="28"/>
        <v>MSIG Cost</v>
      </c>
      <c r="P134" s="2">
        <f t="shared" si="29"/>
        <v>10</v>
      </c>
      <c r="Q134" s="2">
        <f t="shared" si="30"/>
        <v>10</v>
      </c>
      <c r="R134" s="2">
        <f t="shared" si="31"/>
        <v>10</v>
      </c>
      <c r="S134" s="2">
        <f t="shared" si="32"/>
        <v>5</v>
      </c>
      <c r="T134" s="2">
        <f t="shared" si="33"/>
        <v>0</v>
      </c>
      <c r="U134" s="3" t="str">
        <f t="shared" si="34"/>
        <v/>
      </c>
      <c r="V134" s="3" t="str">
        <f t="shared" si="35"/>
        <v/>
      </c>
      <c r="W134" s="3" t="str">
        <f t="shared" si="36"/>
        <v/>
      </c>
      <c r="X134" s="3" t="str">
        <f t="shared" si="37"/>
        <v/>
      </c>
      <c r="Y134" s="3" t="str">
        <f t="shared" si="38"/>
        <v>YES</v>
      </c>
    </row>
    <row r="135" spans="1:25">
      <c r="A135" t="s">
        <v>204</v>
      </c>
      <c r="B135">
        <v>75</v>
      </c>
      <c r="C135">
        <v>10</v>
      </c>
      <c r="D135">
        <v>10000</v>
      </c>
      <c r="E135">
        <v>1</v>
      </c>
      <c r="F135" t="s">
        <v>69</v>
      </c>
      <c r="G135" t="s">
        <v>70</v>
      </c>
      <c r="H135" s="2">
        <v>24</v>
      </c>
      <c r="I135" s="2">
        <v>23</v>
      </c>
      <c r="J135" s="2">
        <v>24</v>
      </c>
      <c r="K135" s="2">
        <v>24</v>
      </c>
      <c r="L135" s="2">
        <v>22</v>
      </c>
      <c r="M135" s="2">
        <f t="shared" si="26"/>
        <v>22</v>
      </c>
      <c r="N135" t="e">
        <f t="shared" ca="1" si="27"/>
        <v>#NAME?</v>
      </c>
      <c r="O135" t="str">
        <f t="shared" si="28"/>
        <v>MSIG Cost</v>
      </c>
      <c r="P135" s="2">
        <f t="shared" si="29"/>
        <v>9.0909090909090917</v>
      </c>
      <c r="Q135" s="2">
        <f t="shared" si="30"/>
        <v>4.5454545454545459</v>
      </c>
      <c r="R135" s="2">
        <f t="shared" si="31"/>
        <v>9.0909090909090917</v>
      </c>
      <c r="S135" s="2">
        <f t="shared" si="32"/>
        <v>9.0909090909090917</v>
      </c>
      <c r="T135" s="2">
        <f t="shared" si="33"/>
        <v>0</v>
      </c>
      <c r="U135" s="3" t="str">
        <f t="shared" si="34"/>
        <v/>
      </c>
      <c r="V135" s="3" t="str">
        <f t="shared" si="35"/>
        <v/>
      </c>
      <c r="W135" s="3" t="str">
        <f t="shared" si="36"/>
        <v/>
      </c>
      <c r="X135" s="3" t="str">
        <f t="shared" si="37"/>
        <v/>
      </c>
      <c r="Y135" s="3" t="str">
        <f t="shared" si="38"/>
        <v>YES</v>
      </c>
    </row>
    <row r="136" spans="1:25">
      <c r="A136" t="s">
        <v>205</v>
      </c>
      <c r="B136">
        <v>75</v>
      </c>
      <c r="C136">
        <v>10</v>
      </c>
      <c r="D136">
        <v>10000</v>
      </c>
      <c r="E136">
        <v>10</v>
      </c>
      <c r="F136" t="s">
        <v>91</v>
      </c>
      <c r="G136" t="s">
        <v>70</v>
      </c>
      <c r="H136" s="2">
        <v>428</v>
      </c>
      <c r="I136" s="2">
        <v>438</v>
      </c>
      <c r="J136" s="2">
        <v>440</v>
      </c>
      <c r="K136" s="2">
        <v>311</v>
      </c>
      <c r="L136" s="2">
        <v>293</v>
      </c>
      <c r="M136" s="2">
        <f t="shared" si="26"/>
        <v>293</v>
      </c>
      <c r="N136" t="e">
        <f t="shared" ca="1" si="27"/>
        <v>#NAME?</v>
      </c>
      <c r="O136" t="str">
        <f t="shared" si="28"/>
        <v>MSIG Cost</v>
      </c>
      <c r="P136" s="2">
        <f t="shared" si="29"/>
        <v>46.075085324232084</v>
      </c>
      <c r="Q136" s="2">
        <f t="shared" si="30"/>
        <v>49.488054607508531</v>
      </c>
      <c r="R136" s="2">
        <f t="shared" si="31"/>
        <v>50.170648464163826</v>
      </c>
      <c r="S136" s="2">
        <f t="shared" si="32"/>
        <v>6.1433447098976108</v>
      </c>
      <c r="T136" s="2">
        <f t="shared" si="33"/>
        <v>0</v>
      </c>
      <c r="U136" s="3" t="str">
        <f t="shared" si="34"/>
        <v/>
      </c>
      <c r="V136" s="3" t="str">
        <f t="shared" si="35"/>
        <v/>
      </c>
      <c r="W136" s="3" t="str">
        <f t="shared" si="36"/>
        <v/>
      </c>
      <c r="X136" s="3" t="str">
        <f t="shared" si="37"/>
        <v/>
      </c>
      <c r="Y136" s="3" t="str">
        <f t="shared" si="38"/>
        <v>YES</v>
      </c>
    </row>
    <row r="137" spans="1:25">
      <c r="A137" t="s">
        <v>206</v>
      </c>
      <c r="B137">
        <v>75</v>
      </c>
      <c r="C137">
        <v>10</v>
      </c>
      <c r="D137">
        <v>10000</v>
      </c>
      <c r="E137">
        <v>10</v>
      </c>
      <c r="F137" t="s">
        <v>69</v>
      </c>
      <c r="G137" t="s">
        <v>70</v>
      </c>
      <c r="H137" s="2">
        <v>408</v>
      </c>
      <c r="I137" s="2">
        <v>397</v>
      </c>
      <c r="J137" s="2">
        <v>418</v>
      </c>
      <c r="K137" s="2">
        <v>308</v>
      </c>
      <c r="L137" s="2">
        <v>282</v>
      </c>
      <c r="M137" s="2">
        <f t="shared" si="26"/>
        <v>282</v>
      </c>
      <c r="N137" t="e">
        <f t="shared" ca="1" si="27"/>
        <v>#NAME?</v>
      </c>
      <c r="O137" t="str">
        <f t="shared" si="28"/>
        <v>MSIG Cost</v>
      </c>
      <c r="P137" s="2">
        <f t="shared" si="29"/>
        <v>44.680851063829785</v>
      </c>
      <c r="Q137" s="2">
        <f t="shared" si="30"/>
        <v>40.780141843971627</v>
      </c>
      <c r="R137" s="2">
        <f t="shared" si="31"/>
        <v>48.226950354609926</v>
      </c>
      <c r="S137" s="2">
        <f t="shared" si="32"/>
        <v>9.2198581560283674</v>
      </c>
      <c r="T137" s="2">
        <f t="shared" si="33"/>
        <v>0</v>
      </c>
      <c r="U137" s="3" t="str">
        <f t="shared" si="34"/>
        <v/>
      </c>
      <c r="V137" s="3" t="str">
        <f t="shared" si="35"/>
        <v/>
      </c>
      <c r="W137" s="3" t="str">
        <f t="shared" si="36"/>
        <v/>
      </c>
      <c r="X137" s="3" t="str">
        <f t="shared" si="37"/>
        <v/>
      </c>
      <c r="Y137" s="3" t="str">
        <f t="shared" si="38"/>
        <v>YES</v>
      </c>
    </row>
    <row r="138" spans="1:25">
      <c r="A138" t="s">
        <v>207</v>
      </c>
      <c r="B138">
        <v>75</v>
      </c>
      <c r="C138">
        <v>10</v>
      </c>
      <c r="D138">
        <v>10000</v>
      </c>
      <c r="E138">
        <v>1</v>
      </c>
      <c r="F138" t="s">
        <v>69</v>
      </c>
      <c r="G138" t="s">
        <v>70</v>
      </c>
      <c r="H138" s="2">
        <v>16</v>
      </c>
      <c r="I138" s="2">
        <v>16</v>
      </c>
      <c r="J138" s="2">
        <v>17</v>
      </c>
      <c r="K138" s="2">
        <v>15</v>
      </c>
      <c r="L138" s="2">
        <v>14</v>
      </c>
      <c r="M138" s="2">
        <f t="shared" si="26"/>
        <v>14</v>
      </c>
      <c r="N138" t="e">
        <f t="shared" ca="1" si="27"/>
        <v>#NAME?</v>
      </c>
      <c r="O138" t="str">
        <f t="shared" si="28"/>
        <v>MSIG Cost</v>
      </c>
      <c r="P138" s="2">
        <f t="shared" si="29"/>
        <v>14.285714285714285</v>
      </c>
      <c r="Q138" s="2">
        <f t="shared" si="30"/>
        <v>14.285714285714285</v>
      </c>
      <c r="R138" s="2">
        <f t="shared" si="31"/>
        <v>21.428571428571427</v>
      </c>
      <c r="S138" s="2">
        <f t="shared" si="32"/>
        <v>7.1428571428571423</v>
      </c>
      <c r="T138" s="2">
        <f t="shared" si="33"/>
        <v>0</v>
      </c>
      <c r="U138" s="3" t="str">
        <f t="shared" si="34"/>
        <v/>
      </c>
      <c r="V138" s="3" t="str">
        <f t="shared" si="35"/>
        <v/>
      </c>
      <c r="W138" s="3" t="str">
        <f t="shared" si="36"/>
        <v/>
      </c>
      <c r="X138" s="3" t="str">
        <f t="shared" si="37"/>
        <v/>
      </c>
      <c r="Y138" s="3" t="str">
        <f t="shared" si="38"/>
        <v>YES</v>
      </c>
    </row>
    <row r="139" spans="1:25">
      <c r="A139" t="s">
        <v>208</v>
      </c>
      <c r="B139">
        <v>75</v>
      </c>
      <c r="C139">
        <v>10</v>
      </c>
      <c r="D139">
        <v>10000</v>
      </c>
      <c r="E139">
        <v>1</v>
      </c>
      <c r="F139" t="s">
        <v>69</v>
      </c>
      <c r="G139" t="s">
        <v>70</v>
      </c>
      <c r="H139" s="2">
        <v>16</v>
      </c>
      <c r="I139" s="2">
        <v>16</v>
      </c>
      <c r="J139" s="2">
        <v>16</v>
      </c>
      <c r="K139" s="2">
        <v>16</v>
      </c>
      <c r="L139" s="2">
        <v>13</v>
      </c>
      <c r="M139" s="2">
        <f t="shared" si="26"/>
        <v>13</v>
      </c>
      <c r="N139" t="e">
        <f t="shared" ca="1" si="27"/>
        <v>#NAME?</v>
      </c>
      <c r="O139" t="str">
        <f t="shared" si="28"/>
        <v>MSIG Cost</v>
      </c>
      <c r="P139" s="2">
        <f t="shared" si="29"/>
        <v>23.076923076923077</v>
      </c>
      <c r="Q139" s="2">
        <f t="shared" si="30"/>
        <v>23.076923076923077</v>
      </c>
      <c r="R139" s="2">
        <f t="shared" si="31"/>
        <v>23.076923076923077</v>
      </c>
      <c r="S139" s="2">
        <f t="shared" si="32"/>
        <v>23.076923076923077</v>
      </c>
      <c r="T139" s="2">
        <f t="shared" si="33"/>
        <v>0</v>
      </c>
      <c r="U139" s="3" t="str">
        <f t="shared" si="34"/>
        <v/>
      </c>
      <c r="V139" s="3" t="str">
        <f t="shared" si="35"/>
        <v/>
      </c>
      <c r="W139" s="3" t="str">
        <f t="shared" si="36"/>
        <v/>
      </c>
      <c r="X139" s="3" t="str">
        <f t="shared" si="37"/>
        <v/>
      </c>
      <c r="Y139" s="3" t="str">
        <f t="shared" si="38"/>
        <v>YES</v>
      </c>
    </row>
    <row r="140" spans="1:25">
      <c r="A140" t="s">
        <v>209</v>
      </c>
      <c r="B140">
        <v>75</v>
      </c>
      <c r="C140">
        <v>10</v>
      </c>
      <c r="D140">
        <v>10000</v>
      </c>
      <c r="E140">
        <v>10</v>
      </c>
      <c r="F140" t="s">
        <v>69</v>
      </c>
      <c r="G140" t="s">
        <v>70</v>
      </c>
      <c r="H140" s="2">
        <v>337</v>
      </c>
      <c r="I140" s="2">
        <v>331</v>
      </c>
      <c r="J140" s="2">
        <v>326</v>
      </c>
      <c r="K140" s="2">
        <v>221</v>
      </c>
      <c r="L140" s="2">
        <v>207</v>
      </c>
      <c r="M140" s="2">
        <f t="shared" si="26"/>
        <v>207</v>
      </c>
      <c r="N140" t="e">
        <f t="shared" ca="1" si="27"/>
        <v>#NAME?</v>
      </c>
      <c r="O140" t="str">
        <f t="shared" si="28"/>
        <v>MSIG Cost</v>
      </c>
      <c r="P140" s="2">
        <f t="shared" si="29"/>
        <v>62.80193236714976</v>
      </c>
      <c r="Q140" s="2">
        <f t="shared" si="30"/>
        <v>59.903381642512073</v>
      </c>
      <c r="R140" s="2">
        <f t="shared" si="31"/>
        <v>57.487922705314013</v>
      </c>
      <c r="S140" s="2">
        <f t="shared" si="32"/>
        <v>6.7632850241545892</v>
      </c>
      <c r="T140" s="2">
        <f t="shared" si="33"/>
        <v>0</v>
      </c>
      <c r="U140" s="3" t="str">
        <f t="shared" si="34"/>
        <v/>
      </c>
      <c r="V140" s="3" t="str">
        <f t="shared" si="35"/>
        <v/>
      </c>
      <c r="W140" s="3" t="str">
        <f t="shared" si="36"/>
        <v/>
      </c>
      <c r="X140" s="3" t="str">
        <f t="shared" si="37"/>
        <v/>
      </c>
      <c r="Y140" s="3" t="str">
        <f t="shared" si="38"/>
        <v>YES</v>
      </c>
    </row>
    <row r="141" spans="1:25">
      <c r="A141" t="s">
        <v>210</v>
      </c>
      <c r="B141">
        <v>75</v>
      </c>
      <c r="C141">
        <v>10</v>
      </c>
      <c r="D141">
        <v>10000</v>
      </c>
      <c r="E141">
        <v>10</v>
      </c>
      <c r="F141" t="s">
        <v>91</v>
      </c>
      <c r="G141" t="s">
        <v>70</v>
      </c>
      <c r="H141" s="2">
        <v>314</v>
      </c>
      <c r="I141" s="2">
        <v>312</v>
      </c>
      <c r="J141" s="2">
        <v>305</v>
      </c>
      <c r="K141" s="2">
        <v>208</v>
      </c>
      <c r="L141" s="2">
        <v>189</v>
      </c>
      <c r="M141" s="2">
        <f t="shared" si="26"/>
        <v>189</v>
      </c>
      <c r="N141" t="e">
        <f t="shared" ca="1" si="27"/>
        <v>#NAME?</v>
      </c>
      <c r="O141" t="str">
        <f t="shared" si="28"/>
        <v>MSIG Cost</v>
      </c>
      <c r="P141" s="2">
        <f t="shared" si="29"/>
        <v>66.137566137566139</v>
      </c>
      <c r="Q141" s="2">
        <f t="shared" si="30"/>
        <v>65.079365079365076</v>
      </c>
      <c r="R141" s="2">
        <f t="shared" si="31"/>
        <v>61.375661375661373</v>
      </c>
      <c r="S141" s="2">
        <f t="shared" si="32"/>
        <v>10.052910052910052</v>
      </c>
      <c r="T141" s="2">
        <f t="shared" si="33"/>
        <v>0</v>
      </c>
      <c r="U141" s="3" t="str">
        <f t="shared" si="34"/>
        <v/>
      </c>
      <c r="V141" s="3" t="str">
        <f t="shared" si="35"/>
        <v/>
      </c>
      <c r="W141" s="3" t="str">
        <f t="shared" si="36"/>
        <v/>
      </c>
      <c r="X141" s="3" t="str">
        <f t="shared" si="37"/>
        <v/>
      </c>
      <c r="Y141" s="3" t="str">
        <f t="shared" si="38"/>
        <v>YES</v>
      </c>
    </row>
    <row r="142" spans="1:25">
      <c r="A142" t="s">
        <v>211</v>
      </c>
      <c r="B142">
        <v>75</v>
      </c>
      <c r="C142">
        <v>10</v>
      </c>
      <c r="D142">
        <v>10000</v>
      </c>
      <c r="E142">
        <v>1</v>
      </c>
      <c r="F142" t="s">
        <v>69</v>
      </c>
      <c r="G142" t="s">
        <v>70</v>
      </c>
      <c r="H142" s="2">
        <v>13</v>
      </c>
      <c r="I142" s="2">
        <v>12</v>
      </c>
      <c r="J142" s="2">
        <v>12</v>
      </c>
      <c r="K142" s="2">
        <v>14</v>
      </c>
      <c r="L142" s="2">
        <v>12</v>
      </c>
      <c r="M142" s="2">
        <f t="shared" si="26"/>
        <v>12</v>
      </c>
      <c r="N142" t="e">
        <f t="shared" ca="1" si="27"/>
        <v>#NAME?</v>
      </c>
      <c r="O142" t="str">
        <f t="shared" si="28"/>
        <v/>
      </c>
      <c r="P142" s="2">
        <f t="shared" si="29"/>
        <v>8.3333333333333321</v>
      </c>
      <c r="Q142" s="2">
        <f t="shared" si="30"/>
        <v>0</v>
      </c>
      <c r="R142" s="2">
        <f t="shared" si="31"/>
        <v>0</v>
      </c>
      <c r="S142" s="2">
        <f t="shared" si="32"/>
        <v>16.666666666666664</v>
      </c>
      <c r="T142" s="2">
        <f t="shared" si="33"/>
        <v>0</v>
      </c>
      <c r="U142" s="3" t="str">
        <f t="shared" si="34"/>
        <v/>
      </c>
      <c r="V142" s="3" t="str">
        <f t="shared" si="35"/>
        <v>YES</v>
      </c>
      <c r="W142" s="3" t="str">
        <f t="shared" si="36"/>
        <v>YES</v>
      </c>
      <c r="X142" s="3" t="str">
        <f t="shared" si="37"/>
        <v/>
      </c>
      <c r="Y142" s="3" t="str">
        <f t="shared" si="38"/>
        <v>YES</v>
      </c>
    </row>
    <row r="143" spans="1:25">
      <c r="A143" t="s">
        <v>212</v>
      </c>
      <c r="B143">
        <v>75</v>
      </c>
      <c r="C143">
        <v>10</v>
      </c>
      <c r="D143">
        <v>10000</v>
      </c>
      <c r="E143">
        <v>1</v>
      </c>
      <c r="F143" t="s">
        <v>69</v>
      </c>
      <c r="G143" t="s">
        <v>70</v>
      </c>
      <c r="H143" s="2">
        <v>12</v>
      </c>
      <c r="I143" s="2">
        <v>12</v>
      </c>
      <c r="J143" s="2">
        <v>12</v>
      </c>
      <c r="K143" s="2">
        <v>15</v>
      </c>
      <c r="L143" s="2">
        <v>10</v>
      </c>
      <c r="M143" s="2">
        <f t="shared" si="26"/>
        <v>10</v>
      </c>
      <c r="N143" t="e">
        <f t="shared" ca="1" si="27"/>
        <v>#NAME?</v>
      </c>
      <c r="O143" t="str">
        <f t="shared" si="28"/>
        <v>MSIG Cost</v>
      </c>
      <c r="P143" s="2">
        <f t="shared" si="29"/>
        <v>20</v>
      </c>
      <c r="Q143" s="2">
        <f t="shared" si="30"/>
        <v>20</v>
      </c>
      <c r="R143" s="2">
        <f t="shared" si="31"/>
        <v>20</v>
      </c>
      <c r="S143" s="2">
        <f t="shared" si="32"/>
        <v>50</v>
      </c>
      <c r="T143" s="2">
        <f t="shared" si="33"/>
        <v>0</v>
      </c>
      <c r="U143" s="3" t="str">
        <f t="shared" si="34"/>
        <v/>
      </c>
      <c r="V143" s="3" t="str">
        <f t="shared" si="35"/>
        <v/>
      </c>
      <c r="W143" s="3" t="str">
        <f t="shared" si="36"/>
        <v/>
      </c>
      <c r="X143" s="3" t="str">
        <f t="shared" si="37"/>
        <v/>
      </c>
      <c r="Y143" s="3" t="str">
        <f t="shared" si="38"/>
        <v>YES</v>
      </c>
    </row>
    <row r="144" spans="1:25">
      <c r="A144" t="s">
        <v>213</v>
      </c>
      <c r="B144">
        <v>75</v>
      </c>
      <c r="C144">
        <v>10</v>
      </c>
      <c r="D144">
        <v>10000</v>
      </c>
      <c r="E144">
        <v>10</v>
      </c>
      <c r="F144" t="s">
        <v>69</v>
      </c>
      <c r="G144" t="s">
        <v>70</v>
      </c>
      <c r="H144" s="2">
        <v>296</v>
      </c>
      <c r="I144" s="2">
        <v>293</v>
      </c>
      <c r="J144" s="2">
        <v>282</v>
      </c>
      <c r="K144" s="2">
        <v>221</v>
      </c>
      <c r="L144" s="2">
        <v>175</v>
      </c>
      <c r="M144" s="2">
        <f t="shared" si="26"/>
        <v>175</v>
      </c>
      <c r="N144" t="e">
        <f t="shared" ca="1" si="27"/>
        <v>#NAME?</v>
      </c>
      <c r="O144" t="str">
        <f t="shared" si="28"/>
        <v>MSIG Cost</v>
      </c>
      <c r="P144" s="2">
        <f t="shared" si="29"/>
        <v>69.142857142857139</v>
      </c>
      <c r="Q144" s="2">
        <f t="shared" si="30"/>
        <v>67.428571428571431</v>
      </c>
      <c r="R144" s="2">
        <f t="shared" si="31"/>
        <v>61.142857142857146</v>
      </c>
      <c r="S144" s="2">
        <f t="shared" si="32"/>
        <v>26.285714285714285</v>
      </c>
      <c r="T144" s="2">
        <f t="shared" si="33"/>
        <v>0</v>
      </c>
      <c r="U144" s="3" t="str">
        <f t="shared" si="34"/>
        <v/>
      </c>
      <c r="V144" s="3" t="str">
        <f t="shared" si="35"/>
        <v/>
      </c>
      <c r="W144" s="3" t="str">
        <f t="shared" si="36"/>
        <v/>
      </c>
      <c r="X144" s="3" t="str">
        <f t="shared" si="37"/>
        <v/>
      </c>
      <c r="Y144" s="3" t="str">
        <f t="shared" si="38"/>
        <v>YES</v>
      </c>
    </row>
    <row r="145" spans="1:25">
      <c r="A145" t="s">
        <v>214</v>
      </c>
      <c r="B145">
        <v>75</v>
      </c>
      <c r="C145">
        <v>10</v>
      </c>
      <c r="D145">
        <v>10000</v>
      </c>
      <c r="E145">
        <v>10</v>
      </c>
      <c r="F145" t="s">
        <v>69</v>
      </c>
      <c r="G145" t="s">
        <v>70</v>
      </c>
      <c r="H145" s="2">
        <v>278</v>
      </c>
      <c r="I145" s="2">
        <v>282</v>
      </c>
      <c r="J145" s="2">
        <v>268</v>
      </c>
      <c r="K145" s="2">
        <v>208</v>
      </c>
      <c r="L145" s="2">
        <v>176</v>
      </c>
      <c r="M145" s="2">
        <f t="shared" si="26"/>
        <v>176</v>
      </c>
      <c r="N145" t="e">
        <f t="shared" ca="1" si="27"/>
        <v>#NAME?</v>
      </c>
      <c r="O145" t="str">
        <f t="shared" si="28"/>
        <v>MSIG Cost</v>
      </c>
      <c r="P145" s="2">
        <f t="shared" si="29"/>
        <v>57.95454545454546</v>
      </c>
      <c r="Q145" s="2">
        <f t="shared" si="30"/>
        <v>60.227272727272727</v>
      </c>
      <c r="R145" s="2">
        <f t="shared" si="31"/>
        <v>52.272727272727273</v>
      </c>
      <c r="S145" s="2">
        <f t="shared" si="32"/>
        <v>18.181818181818183</v>
      </c>
      <c r="T145" s="2">
        <f t="shared" si="33"/>
        <v>0</v>
      </c>
      <c r="U145" s="3" t="str">
        <f t="shared" si="34"/>
        <v/>
      </c>
      <c r="V145" s="3" t="str">
        <f t="shared" si="35"/>
        <v/>
      </c>
      <c r="W145" s="3" t="str">
        <f t="shared" si="36"/>
        <v/>
      </c>
      <c r="X145" s="3" t="str">
        <f t="shared" si="37"/>
        <v/>
      </c>
      <c r="Y145" s="3" t="str">
        <f t="shared" si="38"/>
        <v>YES</v>
      </c>
    </row>
    <row r="146" spans="1:25">
      <c r="A146" t="s">
        <v>215</v>
      </c>
      <c r="B146">
        <v>75</v>
      </c>
      <c r="C146">
        <v>5</v>
      </c>
      <c r="D146">
        <v>10000</v>
      </c>
      <c r="E146">
        <v>1</v>
      </c>
      <c r="F146" t="s">
        <v>69</v>
      </c>
      <c r="G146" t="s">
        <v>70</v>
      </c>
      <c r="H146" s="2">
        <v>26</v>
      </c>
      <c r="I146" s="2">
        <v>26</v>
      </c>
      <c r="J146" s="2">
        <v>26</v>
      </c>
      <c r="K146" s="2">
        <v>23</v>
      </c>
      <c r="L146" s="2">
        <v>23</v>
      </c>
      <c r="M146" s="2">
        <f t="shared" si="26"/>
        <v>23</v>
      </c>
      <c r="N146" t="e">
        <f t="shared" ca="1" si="27"/>
        <v>#NAME?</v>
      </c>
      <c r="O146" t="str">
        <f t="shared" si="28"/>
        <v/>
      </c>
      <c r="P146" s="2">
        <f t="shared" si="29"/>
        <v>13.043478260869565</v>
      </c>
      <c r="Q146" s="2">
        <f t="shared" si="30"/>
        <v>13.043478260869565</v>
      </c>
      <c r="R146" s="2">
        <f t="shared" si="31"/>
        <v>13.043478260869565</v>
      </c>
      <c r="S146" s="2">
        <f t="shared" si="32"/>
        <v>0</v>
      </c>
      <c r="T146" s="2">
        <f t="shared" si="33"/>
        <v>0</v>
      </c>
      <c r="U146" s="3" t="str">
        <f t="shared" si="34"/>
        <v/>
      </c>
      <c r="V146" s="3" t="str">
        <f t="shared" si="35"/>
        <v/>
      </c>
      <c r="W146" s="3" t="str">
        <f t="shared" si="36"/>
        <v/>
      </c>
      <c r="X146" s="3" t="str">
        <f t="shared" si="37"/>
        <v>YES</v>
      </c>
      <c r="Y146" s="3" t="str">
        <f t="shared" si="38"/>
        <v>YES</v>
      </c>
    </row>
    <row r="147" spans="1:25">
      <c r="A147" t="s">
        <v>216</v>
      </c>
      <c r="B147">
        <v>75</v>
      </c>
      <c r="C147">
        <v>5</v>
      </c>
      <c r="D147">
        <v>10000</v>
      </c>
      <c r="E147">
        <v>1</v>
      </c>
      <c r="F147" t="s">
        <v>69</v>
      </c>
      <c r="G147" t="s">
        <v>70</v>
      </c>
      <c r="H147" s="2">
        <v>28</v>
      </c>
      <c r="I147" s="2">
        <v>28</v>
      </c>
      <c r="J147" s="2">
        <v>28</v>
      </c>
      <c r="K147" s="2">
        <v>25</v>
      </c>
      <c r="L147" s="2">
        <v>25</v>
      </c>
      <c r="M147" s="2">
        <f t="shared" si="26"/>
        <v>25</v>
      </c>
      <c r="N147" t="e">
        <f t="shared" ca="1" si="27"/>
        <v>#NAME?</v>
      </c>
      <c r="O147" t="str">
        <f t="shared" si="28"/>
        <v/>
      </c>
      <c r="P147" s="2">
        <f t="shared" si="29"/>
        <v>12</v>
      </c>
      <c r="Q147" s="2">
        <f t="shared" si="30"/>
        <v>12</v>
      </c>
      <c r="R147" s="2">
        <f t="shared" si="31"/>
        <v>12</v>
      </c>
      <c r="S147" s="2">
        <f t="shared" si="32"/>
        <v>0</v>
      </c>
      <c r="T147" s="2">
        <f t="shared" si="33"/>
        <v>0</v>
      </c>
      <c r="U147" s="3" t="str">
        <f t="shared" si="34"/>
        <v/>
      </c>
      <c r="V147" s="3" t="str">
        <f t="shared" si="35"/>
        <v/>
      </c>
      <c r="W147" s="3" t="str">
        <f t="shared" si="36"/>
        <v/>
      </c>
      <c r="X147" s="3" t="str">
        <f t="shared" si="37"/>
        <v>YES</v>
      </c>
      <c r="Y147" s="3" t="str">
        <f t="shared" si="38"/>
        <v>YES</v>
      </c>
    </row>
    <row r="148" spans="1:25">
      <c r="A148" t="s">
        <v>217</v>
      </c>
      <c r="B148">
        <v>75</v>
      </c>
      <c r="C148">
        <v>5</v>
      </c>
      <c r="D148">
        <v>10000</v>
      </c>
      <c r="E148">
        <v>10</v>
      </c>
      <c r="F148" t="s">
        <v>69</v>
      </c>
      <c r="G148" t="s">
        <v>70</v>
      </c>
      <c r="H148" s="2">
        <v>410</v>
      </c>
      <c r="I148" s="2">
        <v>410</v>
      </c>
      <c r="J148" s="2">
        <v>401</v>
      </c>
      <c r="K148" s="2">
        <v>311</v>
      </c>
      <c r="L148" s="2">
        <v>296</v>
      </c>
      <c r="M148" s="2">
        <f t="shared" si="26"/>
        <v>296</v>
      </c>
      <c r="N148" t="e">
        <f t="shared" ca="1" si="27"/>
        <v>#NAME?</v>
      </c>
      <c r="O148" t="str">
        <f t="shared" si="28"/>
        <v>MSIG Cost</v>
      </c>
      <c r="P148" s="2">
        <f t="shared" si="29"/>
        <v>38.513513513513516</v>
      </c>
      <c r="Q148" s="2">
        <f t="shared" si="30"/>
        <v>38.513513513513516</v>
      </c>
      <c r="R148" s="2">
        <f t="shared" si="31"/>
        <v>35.472972972972968</v>
      </c>
      <c r="S148" s="2">
        <f t="shared" si="32"/>
        <v>5.0675675675675675</v>
      </c>
      <c r="T148" s="2">
        <f t="shared" si="33"/>
        <v>0</v>
      </c>
      <c r="U148" s="3" t="str">
        <f t="shared" si="34"/>
        <v/>
      </c>
      <c r="V148" s="3" t="str">
        <f t="shared" si="35"/>
        <v/>
      </c>
      <c r="W148" s="3" t="str">
        <f t="shared" si="36"/>
        <v/>
      </c>
      <c r="X148" s="3" t="str">
        <f t="shared" si="37"/>
        <v/>
      </c>
      <c r="Y148" s="3" t="str">
        <f t="shared" si="38"/>
        <v>YES</v>
      </c>
    </row>
    <row r="149" spans="1:25">
      <c r="A149" t="s">
        <v>218</v>
      </c>
      <c r="B149">
        <v>75</v>
      </c>
      <c r="C149">
        <v>5</v>
      </c>
      <c r="D149">
        <v>10000</v>
      </c>
      <c r="E149">
        <v>10</v>
      </c>
      <c r="F149" t="s">
        <v>91</v>
      </c>
      <c r="G149" t="s">
        <v>70</v>
      </c>
      <c r="H149" s="2">
        <v>376</v>
      </c>
      <c r="I149" s="2">
        <v>399</v>
      </c>
      <c r="J149" s="2">
        <v>378</v>
      </c>
      <c r="K149" s="2">
        <v>303</v>
      </c>
      <c r="L149" s="2">
        <v>292</v>
      </c>
      <c r="M149" s="2">
        <f t="shared" si="26"/>
        <v>292</v>
      </c>
      <c r="N149" t="e">
        <f t="shared" ca="1" si="27"/>
        <v>#NAME?</v>
      </c>
      <c r="O149" t="str">
        <f t="shared" si="28"/>
        <v>MSIG Cost</v>
      </c>
      <c r="P149" s="2">
        <f t="shared" si="29"/>
        <v>28.767123287671232</v>
      </c>
      <c r="Q149" s="2">
        <f t="shared" si="30"/>
        <v>36.643835616438359</v>
      </c>
      <c r="R149" s="2">
        <f t="shared" si="31"/>
        <v>29.452054794520549</v>
      </c>
      <c r="S149" s="2">
        <f t="shared" si="32"/>
        <v>3.7671232876712328</v>
      </c>
      <c r="T149" s="2">
        <f t="shared" si="33"/>
        <v>0</v>
      </c>
      <c r="U149" s="3" t="str">
        <f t="shared" si="34"/>
        <v/>
      </c>
      <c r="V149" s="3" t="str">
        <f t="shared" si="35"/>
        <v/>
      </c>
      <c r="W149" s="3" t="str">
        <f t="shared" si="36"/>
        <v/>
      </c>
      <c r="X149" s="3" t="str">
        <f t="shared" si="37"/>
        <v/>
      </c>
      <c r="Y149" s="3" t="str">
        <f t="shared" si="38"/>
        <v>YES</v>
      </c>
    </row>
    <row r="150" spans="1:25">
      <c r="A150" t="s">
        <v>219</v>
      </c>
      <c r="B150">
        <v>75</v>
      </c>
      <c r="C150">
        <v>5</v>
      </c>
      <c r="D150">
        <v>10000</v>
      </c>
      <c r="E150">
        <v>1</v>
      </c>
      <c r="F150" t="s">
        <v>69</v>
      </c>
      <c r="G150" t="s">
        <v>70</v>
      </c>
      <c r="H150" s="2">
        <v>22</v>
      </c>
      <c r="I150" s="2">
        <v>21</v>
      </c>
      <c r="J150" s="2">
        <v>22</v>
      </c>
      <c r="K150" s="2">
        <v>22</v>
      </c>
      <c r="L150" s="2">
        <v>20</v>
      </c>
      <c r="M150" s="2">
        <f t="shared" si="26"/>
        <v>20</v>
      </c>
      <c r="N150" t="e">
        <f t="shared" ca="1" si="27"/>
        <v>#NAME?</v>
      </c>
      <c r="O150" t="str">
        <f t="shared" si="28"/>
        <v>MSIG Cost</v>
      </c>
      <c r="P150" s="2">
        <f t="shared" si="29"/>
        <v>10</v>
      </c>
      <c r="Q150" s="2">
        <f t="shared" si="30"/>
        <v>5</v>
      </c>
      <c r="R150" s="2">
        <f t="shared" si="31"/>
        <v>10</v>
      </c>
      <c r="S150" s="2">
        <f t="shared" si="32"/>
        <v>10</v>
      </c>
      <c r="T150" s="2">
        <f t="shared" si="33"/>
        <v>0</v>
      </c>
      <c r="U150" s="3" t="str">
        <f t="shared" si="34"/>
        <v/>
      </c>
      <c r="V150" s="3" t="str">
        <f t="shared" si="35"/>
        <v/>
      </c>
      <c r="W150" s="3" t="str">
        <f t="shared" si="36"/>
        <v/>
      </c>
      <c r="X150" s="3" t="str">
        <f t="shared" si="37"/>
        <v/>
      </c>
      <c r="Y150" s="3" t="str">
        <f t="shared" si="38"/>
        <v>YES</v>
      </c>
    </row>
    <row r="151" spans="1:25">
      <c r="A151" t="s">
        <v>220</v>
      </c>
      <c r="B151">
        <v>75</v>
      </c>
      <c r="C151">
        <v>5</v>
      </c>
      <c r="D151">
        <v>10000</v>
      </c>
      <c r="E151">
        <v>1</v>
      </c>
      <c r="F151" t="s">
        <v>69</v>
      </c>
      <c r="G151" t="s">
        <v>70</v>
      </c>
      <c r="H151" s="2">
        <v>23</v>
      </c>
      <c r="I151" s="2">
        <v>23</v>
      </c>
      <c r="J151" s="2">
        <v>24</v>
      </c>
      <c r="K151" s="2">
        <v>23</v>
      </c>
      <c r="L151" s="2">
        <v>22</v>
      </c>
      <c r="M151" s="2">
        <f t="shared" si="26"/>
        <v>22</v>
      </c>
      <c r="N151" t="e">
        <f t="shared" ca="1" si="27"/>
        <v>#NAME?</v>
      </c>
      <c r="O151" t="str">
        <f t="shared" si="28"/>
        <v>MSIG Cost</v>
      </c>
      <c r="P151" s="2">
        <f t="shared" si="29"/>
        <v>4.5454545454545459</v>
      </c>
      <c r="Q151" s="2">
        <f t="shared" si="30"/>
        <v>4.5454545454545459</v>
      </c>
      <c r="R151" s="2">
        <f t="shared" si="31"/>
        <v>9.0909090909090917</v>
      </c>
      <c r="S151" s="2">
        <f t="shared" si="32"/>
        <v>4.5454545454545459</v>
      </c>
      <c r="T151" s="2">
        <f t="shared" si="33"/>
        <v>0</v>
      </c>
      <c r="U151" s="3" t="str">
        <f t="shared" si="34"/>
        <v/>
      </c>
      <c r="V151" s="3" t="str">
        <f t="shared" si="35"/>
        <v/>
      </c>
      <c r="W151" s="3" t="str">
        <f t="shared" si="36"/>
        <v/>
      </c>
      <c r="X151" s="3" t="str">
        <f t="shared" si="37"/>
        <v/>
      </c>
      <c r="Y151" s="3" t="str">
        <f t="shared" si="38"/>
        <v>YES</v>
      </c>
    </row>
    <row r="152" spans="1:25">
      <c r="A152" t="s">
        <v>221</v>
      </c>
      <c r="B152">
        <v>75</v>
      </c>
      <c r="C152">
        <v>5</v>
      </c>
      <c r="D152">
        <v>10000</v>
      </c>
      <c r="E152">
        <v>10</v>
      </c>
      <c r="F152" t="s">
        <v>91</v>
      </c>
      <c r="G152" t="s">
        <v>70</v>
      </c>
      <c r="H152" s="2">
        <v>373</v>
      </c>
      <c r="I152" s="2">
        <v>368</v>
      </c>
      <c r="J152" s="2">
        <v>381</v>
      </c>
      <c r="K152" s="2">
        <v>297</v>
      </c>
      <c r="L152" s="2">
        <v>262</v>
      </c>
      <c r="M152" s="2">
        <f t="shared" si="26"/>
        <v>262</v>
      </c>
      <c r="N152" t="e">
        <f t="shared" ca="1" si="27"/>
        <v>#NAME?</v>
      </c>
      <c r="O152" t="str">
        <f t="shared" si="28"/>
        <v>MSIG Cost</v>
      </c>
      <c r="P152" s="2">
        <f t="shared" si="29"/>
        <v>42.366412213740453</v>
      </c>
      <c r="Q152" s="2">
        <f t="shared" si="30"/>
        <v>40.458015267175576</v>
      </c>
      <c r="R152" s="2">
        <f t="shared" si="31"/>
        <v>45.419847328244273</v>
      </c>
      <c r="S152" s="2">
        <f t="shared" si="32"/>
        <v>13.358778625954198</v>
      </c>
      <c r="T152" s="2">
        <f t="shared" si="33"/>
        <v>0</v>
      </c>
      <c r="U152" s="3" t="str">
        <f t="shared" si="34"/>
        <v/>
      </c>
      <c r="V152" s="3" t="str">
        <f t="shared" si="35"/>
        <v/>
      </c>
      <c r="W152" s="3" t="str">
        <f t="shared" si="36"/>
        <v/>
      </c>
      <c r="X152" s="3" t="str">
        <f t="shared" si="37"/>
        <v/>
      </c>
      <c r="Y152" s="3" t="str">
        <f t="shared" si="38"/>
        <v>YES</v>
      </c>
    </row>
    <row r="153" spans="1:25">
      <c r="A153" t="s">
        <v>222</v>
      </c>
      <c r="B153">
        <v>75</v>
      </c>
      <c r="C153">
        <v>5</v>
      </c>
      <c r="D153">
        <v>10000</v>
      </c>
      <c r="E153">
        <v>10</v>
      </c>
      <c r="F153" t="s">
        <v>69</v>
      </c>
      <c r="G153" t="s">
        <v>70</v>
      </c>
      <c r="H153" s="2">
        <v>363</v>
      </c>
      <c r="I153" s="2">
        <v>349</v>
      </c>
      <c r="J153" s="2">
        <v>359</v>
      </c>
      <c r="K153" s="2">
        <v>279</v>
      </c>
      <c r="L153" s="2">
        <v>253</v>
      </c>
      <c r="M153" s="2">
        <f t="shared" si="26"/>
        <v>253</v>
      </c>
      <c r="N153" t="e">
        <f t="shared" ca="1" si="27"/>
        <v>#NAME?</v>
      </c>
      <c r="O153" t="str">
        <f t="shared" si="28"/>
        <v>MSIG Cost</v>
      </c>
      <c r="P153" s="2">
        <f t="shared" si="29"/>
        <v>43.478260869565219</v>
      </c>
      <c r="Q153" s="2">
        <f t="shared" si="30"/>
        <v>37.944664031620547</v>
      </c>
      <c r="R153" s="2">
        <f t="shared" si="31"/>
        <v>41.897233201581031</v>
      </c>
      <c r="S153" s="2">
        <f t="shared" si="32"/>
        <v>10.276679841897234</v>
      </c>
      <c r="T153" s="2">
        <f t="shared" si="33"/>
        <v>0</v>
      </c>
      <c r="U153" s="3" t="str">
        <f t="shared" si="34"/>
        <v/>
      </c>
      <c r="V153" s="3" t="str">
        <f t="shared" si="35"/>
        <v/>
      </c>
      <c r="W153" s="3" t="str">
        <f t="shared" si="36"/>
        <v/>
      </c>
      <c r="X153" s="3" t="str">
        <f t="shared" si="37"/>
        <v/>
      </c>
      <c r="Y153" s="3" t="str">
        <f t="shared" si="38"/>
        <v>YES</v>
      </c>
    </row>
    <row r="154" spans="1:25">
      <c r="A154" t="s">
        <v>223</v>
      </c>
      <c r="B154">
        <v>75</v>
      </c>
      <c r="C154">
        <v>5</v>
      </c>
      <c r="D154">
        <v>10000</v>
      </c>
      <c r="E154">
        <v>1</v>
      </c>
      <c r="F154" t="s">
        <v>69</v>
      </c>
      <c r="G154" t="s">
        <v>70</v>
      </c>
      <c r="H154" s="2">
        <v>16</v>
      </c>
      <c r="I154" s="2">
        <v>15</v>
      </c>
      <c r="J154" s="2">
        <v>15</v>
      </c>
      <c r="K154" s="2">
        <v>14</v>
      </c>
      <c r="L154" s="2">
        <v>12</v>
      </c>
      <c r="M154" s="2">
        <f t="shared" si="26"/>
        <v>12</v>
      </c>
      <c r="N154" t="e">
        <f t="shared" ca="1" si="27"/>
        <v>#NAME?</v>
      </c>
      <c r="O154" t="str">
        <f t="shared" si="28"/>
        <v>MSIG Cost</v>
      </c>
      <c r="P154" s="2">
        <f t="shared" si="29"/>
        <v>33.333333333333329</v>
      </c>
      <c r="Q154" s="2">
        <f t="shared" si="30"/>
        <v>25</v>
      </c>
      <c r="R154" s="2">
        <f t="shared" si="31"/>
        <v>25</v>
      </c>
      <c r="S154" s="2">
        <f t="shared" si="32"/>
        <v>16.666666666666664</v>
      </c>
      <c r="T154" s="2">
        <f t="shared" si="33"/>
        <v>0</v>
      </c>
      <c r="U154" s="3" t="str">
        <f t="shared" si="34"/>
        <v/>
      </c>
      <c r="V154" s="3" t="str">
        <f t="shared" si="35"/>
        <v/>
      </c>
      <c r="W154" s="3" t="str">
        <f t="shared" si="36"/>
        <v/>
      </c>
      <c r="X154" s="3" t="str">
        <f t="shared" si="37"/>
        <v/>
      </c>
      <c r="Y154" s="3" t="str">
        <f t="shared" si="38"/>
        <v>YES</v>
      </c>
    </row>
    <row r="155" spans="1:25">
      <c r="A155" t="s">
        <v>224</v>
      </c>
      <c r="B155">
        <v>75</v>
      </c>
      <c r="C155">
        <v>5</v>
      </c>
      <c r="D155">
        <v>10000</v>
      </c>
      <c r="E155">
        <v>1</v>
      </c>
      <c r="F155" t="s">
        <v>69</v>
      </c>
      <c r="G155" t="s">
        <v>70</v>
      </c>
      <c r="H155" s="2">
        <v>14</v>
      </c>
      <c r="I155" s="2">
        <v>15</v>
      </c>
      <c r="J155" s="2">
        <v>15</v>
      </c>
      <c r="K155" s="2">
        <v>13</v>
      </c>
      <c r="L155" s="2">
        <v>12</v>
      </c>
      <c r="M155" s="2">
        <f t="shared" si="26"/>
        <v>12</v>
      </c>
      <c r="N155" t="e">
        <f t="shared" ca="1" si="27"/>
        <v>#NAME?</v>
      </c>
      <c r="O155" t="str">
        <f t="shared" si="28"/>
        <v>MSIG Cost</v>
      </c>
      <c r="P155" s="2">
        <f t="shared" si="29"/>
        <v>16.666666666666664</v>
      </c>
      <c r="Q155" s="2">
        <f t="shared" si="30"/>
        <v>25</v>
      </c>
      <c r="R155" s="2">
        <f t="shared" si="31"/>
        <v>25</v>
      </c>
      <c r="S155" s="2">
        <f t="shared" si="32"/>
        <v>8.3333333333333321</v>
      </c>
      <c r="T155" s="2">
        <f t="shared" si="33"/>
        <v>0</v>
      </c>
      <c r="U155" s="3" t="str">
        <f t="shared" si="34"/>
        <v/>
      </c>
      <c r="V155" s="3" t="str">
        <f t="shared" si="35"/>
        <v/>
      </c>
      <c r="W155" s="3" t="str">
        <f t="shared" si="36"/>
        <v/>
      </c>
      <c r="X155" s="3" t="str">
        <f t="shared" si="37"/>
        <v/>
      </c>
      <c r="Y155" s="3" t="str">
        <f t="shared" si="38"/>
        <v>YES</v>
      </c>
    </row>
    <row r="156" spans="1:25">
      <c r="A156" t="s">
        <v>225</v>
      </c>
      <c r="B156">
        <v>75</v>
      </c>
      <c r="C156">
        <v>5</v>
      </c>
      <c r="D156">
        <v>10000</v>
      </c>
      <c r="E156">
        <v>10</v>
      </c>
      <c r="F156" t="s">
        <v>91</v>
      </c>
      <c r="G156" t="s">
        <v>70</v>
      </c>
      <c r="H156" s="2">
        <v>295</v>
      </c>
      <c r="I156" s="2">
        <v>295</v>
      </c>
      <c r="J156" s="2">
        <v>290</v>
      </c>
      <c r="K156" s="2">
        <v>197</v>
      </c>
      <c r="L156" s="2">
        <v>166</v>
      </c>
      <c r="M156" s="2">
        <f t="shared" si="26"/>
        <v>166</v>
      </c>
      <c r="N156" t="e">
        <f t="shared" ca="1" si="27"/>
        <v>#NAME?</v>
      </c>
      <c r="O156" t="str">
        <f t="shared" si="28"/>
        <v>MSIG Cost</v>
      </c>
      <c r="P156" s="2">
        <f t="shared" si="29"/>
        <v>77.710843373493972</v>
      </c>
      <c r="Q156" s="2">
        <f t="shared" si="30"/>
        <v>77.710843373493972</v>
      </c>
      <c r="R156" s="2">
        <f t="shared" si="31"/>
        <v>74.698795180722882</v>
      </c>
      <c r="S156" s="2">
        <f t="shared" si="32"/>
        <v>18.674698795180721</v>
      </c>
      <c r="T156" s="2">
        <f t="shared" si="33"/>
        <v>0</v>
      </c>
      <c r="U156" s="3" t="str">
        <f t="shared" si="34"/>
        <v/>
      </c>
      <c r="V156" s="3" t="str">
        <f t="shared" si="35"/>
        <v/>
      </c>
      <c r="W156" s="3" t="str">
        <f t="shared" si="36"/>
        <v/>
      </c>
      <c r="X156" s="3" t="str">
        <f t="shared" si="37"/>
        <v/>
      </c>
      <c r="Y156" s="3" t="str">
        <f t="shared" si="38"/>
        <v>YES</v>
      </c>
    </row>
    <row r="157" spans="1:25">
      <c r="A157" t="s">
        <v>226</v>
      </c>
      <c r="B157">
        <v>75</v>
      </c>
      <c r="C157">
        <v>5</v>
      </c>
      <c r="D157">
        <v>10000</v>
      </c>
      <c r="E157">
        <v>10</v>
      </c>
      <c r="F157" t="s">
        <v>69</v>
      </c>
      <c r="G157" t="s">
        <v>70</v>
      </c>
      <c r="H157" s="2">
        <v>248</v>
      </c>
      <c r="I157" s="2">
        <v>242</v>
      </c>
      <c r="J157" s="2">
        <v>247</v>
      </c>
      <c r="K157" s="2">
        <v>177</v>
      </c>
      <c r="L157" s="2">
        <v>154</v>
      </c>
      <c r="M157" s="2">
        <f t="shared" si="26"/>
        <v>154</v>
      </c>
      <c r="N157" t="e">
        <f t="shared" ca="1" si="27"/>
        <v>#NAME?</v>
      </c>
      <c r="O157" t="str">
        <f t="shared" si="28"/>
        <v>MSIG Cost</v>
      </c>
      <c r="P157" s="2">
        <f t="shared" si="29"/>
        <v>61.038961038961034</v>
      </c>
      <c r="Q157" s="2">
        <f t="shared" si="30"/>
        <v>57.142857142857139</v>
      </c>
      <c r="R157" s="2">
        <f t="shared" si="31"/>
        <v>60.389610389610397</v>
      </c>
      <c r="S157" s="2">
        <f t="shared" si="32"/>
        <v>14.935064935064934</v>
      </c>
      <c r="T157" s="2">
        <f t="shared" si="33"/>
        <v>0</v>
      </c>
      <c r="U157" s="3" t="str">
        <f t="shared" si="34"/>
        <v/>
      </c>
      <c r="V157" s="3" t="str">
        <f t="shared" si="35"/>
        <v/>
      </c>
      <c r="W157" s="3" t="str">
        <f t="shared" si="36"/>
        <v/>
      </c>
      <c r="X157" s="3" t="str">
        <f t="shared" si="37"/>
        <v/>
      </c>
      <c r="Y157" s="3" t="str">
        <f t="shared" si="38"/>
        <v>YES</v>
      </c>
    </row>
    <row r="158" spans="1:25">
      <c r="A158" t="s">
        <v>227</v>
      </c>
      <c r="B158">
        <v>75</v>
      </c>
      <c r="C158">
        <v>5</v>
      </c>
      <c r="D158">
        <v>10000</v>
      </c>
      <c r="E158">
        <v>1</v>
      </c>
      <c r="F158" t="s">
        <v>69</v>
      </c>
      <c r="G158" t="s">
        <v>70</v>
      </c>
      <c r="H158" s="2">
        <v>11</v>
      </c>
      <c r="I158" s="2">
        <v>11</v>
      </c>
      <c r="J158" s="2">
        <v>11</v>
      </c>
      <c r="K158" s="2">
        <v>13</v>
      </c>
      <c r="L158" s="2">
        <v>11</v>
      </c>
      <c r="M158" s="2">
        <f t="shared" si="26"/>
        <v>11</v>
      </c>
      <c r="N158" t="e">
        <f t="shared" ca="1" si="27"/>
        <v>#NAME?</v>
      </c>
      <c r="O158" t="str">
        <f t="shared" si="28"/>
        <v/>
      </c>
      <c r="P158" s="2">
        <f t="shared" si="29"/>
        <v>0</v>
      </c>
      <c r="Q158" s="2">
        <f t="shared" si="30"/>
        <v>0</v>
      </c>
      <c r="R158" s="2">
        <f t="shared" si="31"/>
        <v>0</v>
      </c>
      <c r="S158" s="2">
        <f t="shared" si="32"/>
        <v>18.181818181818183</v>
      </c>
      <c r="T158" s="2">
        <f t="shared" si="33"/>
        <v>0</v>
      </c>
      <c r="U158" s="3" t="str">
        <f t="shared" si="34"/>
        <v>YES</v>
      </c>
      <c r="V158" s="3" t="str">
        <f t="shared" si="35"/>
        <v>YES</v>
      </c>
      <c r="W158" s="3" t="str">
        <f t="shared" si="36"/>
        <v>YES</v>
      </c>
      <c r="X158" s="3" t="str">
        <f t="shared" si="37"/>
        <v/>
      </c>
      <c r="Y158" s="3" t="str">
        <f t="shared" si="38"/>
        <v>YES</v>
      </c>
    </row>
    <row r="159" spans="1:25">
      <c r="A159" t="s">
        <v>228</v>
      </c>
      <c r="B159">
        <v>75</v>
      </c>
      <c r="C159">
        <v>5</v>
      </c>
      <c r="D159">
        <v>10000</v>
      </c>
      <c r="E159">
        <v>1</v>
      </c>
      <c r="F159" t="s">
        <v>69</v>
      </c>
      <c r="G159" t="s">
        <v>70</v>
      </c>
      <c r="H159" s="2">
        <v>11</v>
      </c>
      <c r="I159" s="2">
        <v>12</v>
      </c>
      <c r="J159" s="2">
        <v>12</v>
      </c>
      <c r="K159" s="2">
        <v>12</v>
      </c>
      <c r="L159" s="2">
        <v>11</v>
      </c>
      <c r="M159" s="2">
        <f t="shared" si="26"/>
        <v>11</v>
      </c>
      <c r="N159" t="e">
        <f t="shared" ca="1" si="27"/>
        <v>#NAME?</v>
      </c>
      <c r="O159" t="str">
        <f t="shared" si="28"/>
        <v/>
      </c>
      <c r="P159" s="2">
        <f t="shared" si="29"/>
        <v>0</v>
      </c>
      <c r="Q159" s="2">
        <f t="shared" si="30"/>
        <v>9.0909090909090917</v>
      </c>
      <c r="R159" s="2">
        <f t="shared" si="31"/>
        <v>9.0909090909090917</v>
      </c>
      <c r="S159" s="2">
        <f t="shared" si="32"/>
        <v>9.0909090909090917</v>
      </c>
      <c r="T159" s="2">
        <f t="shared" si="33"/>
        <v>0</v>
      </c>
      <c r="U159" s="3" t="str">
        <f t="shared" si="34"/>
        <v>YES</v>
      </c>
      <c r="V159" s="3" t="str">
        <f t="shared" si="35"/>
        <v/>
      </c>
      <c r="W159" s="3" t="str">
        <f t="shared" si="36"/>
        <v/>
      </c>
      <c r="X159" s="3" t="str">
        <f t="shared" si="37"/>
        <v/>
      </c>
      <c r="Y159" s="3" t="str">
        <f t="shared" si="38"/>
        <v>YES</v>
      </c>
    </row>
    <row r="160" spans="1:25">
      <c r="A160" t="s">
        <v>229</v>
      </c>
      <c r="B160">
        <v>75</v>
      </c>
      <c r="C160">
        <v>5</v>
      </c>
      <c r="D160">
        <v>10000</v>
      </c>
      <c r="E160">
        <v>10</v>
      </c>
      <c r="F160" t="s">
        <v>69</v>
      </c>
      <c r="G160" t="s">
        <v>70</v>
      </c>
      <c r="H160" s="2">
        <v>237</v>
      </c>
      <c r="I160" s="2">
        <v>237</v>
      </c>
      <c r="J160" s="2">
        <v>241</v>
      </c>
      <c r="K160" s="2">
        <v>187</v>
      </c>
      <c r="L160" s="2">
        <v>161</v>
      </c>
      <c r="M160" s="2">
        <f t="shared" si="26"/>
        <v>161</v>
      </c>
      <c r="N160" t="e">
        <f t="shared" ca="1" si="27"/>
        <v>#NAME?</v>
      </c>
      <c r="O160" t="str">
        <f t="shared" si="28"/>
        <v>MSIG Cost</v>
      </c>
      <c r="P160" s="2">
        <f t="shared" si="29"/>
        <v>47.204968944099377</v>
      </c>
      <c r="Q160" s="2">
        <f t="shared" si="30"/>
        <v>47.204968944099377</v>
      </c>
      <c r="R160" s="2">
        <f t="shared" si="31"/>
        <v>49.689440993788821</v>
      </c>
      <c r="S160" s="2">
        <f t="shared" si="32"/>
        <v>16.149068322981368</v>
      </c>
      <c r="T160" s="2">
        <f t="shared" si="33"/>
        <v>0</v>
      </c>
      <c r="U160" s="3" t="str">
        <f t="shared" si="34"/>
        <v/>
      </c>
      <c r="V160" s="3" t="str">
        <f t="shared" si="35"/>
        <v/>
      </c>
      <c r="W160" s="3" t="str">
        <f t="shared" si="36"/>
        <v/>
      </c>
      <c r="X160" s="3" t="str">
        <f t="shared" si="37"/>
        <v/>
      </c>
      <c r="Y160" s="3" t="str">
        <f t="shared" si="38"/>
        <v>YES</v>
      </c>
    </row>
    <row r="161" spans="1:25">
      <c r="A161" t="s">
        <v>230</v>
      </c>
      <c r="B161">
        <v>75</v>
      </c>
      <c r="C161">
        <v>5</v>
      </c>
      <c r="D161">
        <v>10000</v>
      </c>
      <c r="E161">
        <v>10</v>
      </c>
      <c r="F161" t="s">
        <v>69</v>
      </c>
      <c r="G161" t="s">
        <v>70</v>
      </c>
      <c r="H161" s="2">
        <v>185</v>
      </c>
      <c r="I161" s="2">
        <v>208</v>
      </c>
      <c r="J161" s="2">
        <v>211</v>
      </c>
      <c r="K161" s="2">
        <v>172</v>
      </c>
      <c r="L161" s="2">
        <v>142</v>
      </c>
      <c r="M161" s="2">
        <f t="shared" si="26"/>
        <v>142</v>
      </c>
      <c r="N161" t="e">
        <f t="shared" ca="1" si="27"/>
        <v>#NAME?</v>
      </c>
      <c r="O161" t="str">
        <f t="shared" si="28"/>
        <v>MSIG Cost</v>
      </c>
      <c r="P161" s="2">
        <f t="shared" si="29"/>
        <v>30.281690140845068</v>
      </c>
      <c r="Q161" s="2">
        <f t="shared" si="30"/>
        <v>46.478873239436616</v>
      </c>
      <c r="R161" s="2">
        <f t="shared" si="31"/>
        <v>48.591549295774648</v>
      </c>
      <c r="S161" s="2">
        <f t="shared" si="32"/>
        <v>21.12676056338028</v>
      </c>
      <c r="T161" s="2">
        <f t="shared" si="33"/>
        <v>0</v>
      </c>
      <c r="U161" s="3" t="str">
        <f t="shared" si="34"/>
        <v/>
      </c>
      <c r="V161" s="3" t="str">
        <f t="shared" si="35"/>
        <v/>
      </c>
      <c r="W161" s="3" t="str">
        <f t="shared" si="36"/>
        <v/>
      </c>
      <c r="X161" s="3" t="str">
        <f t="shared" si="37"/>
        <v/>
      </c>
      <c r="Y161" s="3" t="str">
        <f t="shared" si="38"/>
        <v>YES</v>
      </c>
    </row>
    <row r="162" spans="1:25">
      <c r="A162" t="s">
        <v>231</v>
      </c>
      <c r="B162">
        <v>100</v>
      </c>
      <c r="C162">
        <v>10</v>
      </c>
      <c r="D162">
        <v>1000</v>
      </c>
      <c r="E162">
        <v>1</v>
      </c>
      <c r="F162" t="s">
        <v>69</v>
      </c>
      <c r="G162" t="s">
        <v>70</v>
      </c>
      <c r="H162" s="2">
        <v>36</v>
      </c>
      <c r="I162" s="2">
        <v>37</v>
      </c>
      <c r="J162" s="2">
        <v>36</v>
      </c>
      <c r="K162" s="2">
        <v>31</v>
      </c>
      <c r="L162" s="2">
        <v>31</v>
      </c>
      <c r="M162" s="2">
        <f t="shared" si="26"/>
        <v>31</v>
      </c>
      <c r="N162" t="e">
        <f t="shared" ca="1" si="27"/>
        <v>#NAME?</v>
      </c>
      <c r="O162" t="str">
        <f t="shared" si="28"/>
        <v/>
      </c>
      <c r="P162" s="2">
        <f t="shared" si="29"/>
        <v>16.129032258064516</v>
      </c>
      <c r="Q162" s="2">
        <f t="shared" si="30"/>
        <v>19.35483870967742</v>
      </c>
      <c r="R162" s="2">
        <f t="shared" si="31"/>
        <v>16.129032258064516</v>
      </c>
      <c r="S162" s="2">
        <f t="shared" si="32"/>
        <v>0</v>
      </c>
      <c r="T162" s="2">
        <f t="shared" si="33"/>
        <v>0</v>
      </c>
      <c r="U162" s="3" t="str">
        <f t="shared" si="34"/>
        <v/>
      </c>
      <c r="V162" s="3" t="str">
        <f t="shared" si="35"/>
        <v/>
      </c>
      <c r="W162" s="3" t="str">
        <f t="shared" si="36"/>
        <v/>
      </c>
      <c r="X162" s="3" t="str">
        <f t="shared" si="37"/>
        <v>YES</v>
      </c>
      <c r="Y162" s="3" t="str">
        <f t="shared" si="38"/>
        <v>YES</v>
      </c>
    </row>
    <row r="163" spans="1:25">
      <c r="A163" t="s">
        <v>232</v>
      </c>
      <c r="B163">
        <v>100</v>
      </c>
      <c r="C163">
        <v>10</v>
      </c>
      <c r="D163">
        <v>1000</v>
      </c>
      <c r="E163">
        <v>1</v>
      </c>
      <c r="F163" t="s">
        <v>69</v>
      </c>
      <c r="G163" t="s">
        <v>70</v>
      </c>
      <c r="H163" s="2">
        <v>33</v>
      </c>
      <c r="I163" s="2">
        <v>33</v>
      </c>
      <c r="J163" s="2">
        <v>33</v>
      </c>
      <c r="K163" s="2">
        <v>31</v>
      </c>
      <c r="L163" s="2">
        <v>30</v>
      </c>
      <c r="M163" s="2">
        <f t="shared" si="26"/>
        <v>30</v>
      </c>
      <c r="N163" t="e">
        <f t="shared" ca="1" si="27"/>
        <v>#NAME?</v>
      </c>
      <c r="O163" t="str">
        <f t="shared" si="28"/>
        <v>MSIG Cost</v>
      </c>
      <c r="P163" s="2">
        <f t="shared" si="29"/>
        <v>10</v>
      </c>
      <c r="Q163" s="2">
        <f t="shared" si="30"/>
        <v>10</v>
      </c>
      <c r="R163" s="2">
        <f t="shared" si="31"/>
        <v>10</v>
      </c>
      <c r="S163" s="2">
        <f t="shared" si="32"/>
        <v>3.3333333333333335</v>
      </c>
      <c r="T163" s="2">
        <f t="shared" si="33"/>
        <v>0</v>
      </c>
      <c r="U163" s="3" t="str">
        <f t="shared" si="34"/>
        <v/>
      </c>
      <c r="V163" s="3" t="str">
        <f t="shared" si="35"/>
        <v/>
      </c>
      <c r="W163" s="3" t="str">
        <f t="shared" si="36"/>
        <v/>
      </c>
      <c r="X163" s="3" t="str">
        <f t="shared" si="37"/>
        <v/>
      </c>
      <c r="Y163" s="3" t="str">
        <f t="shared" si="38"/>
        <v>YES</v>
      </c>
    </row>
    <row r="164" spans="1:25">
      <c r="A164" t="s">
        <v>233</v>
      </c>
      <c r="B164">
        <v>100</v>
      </c>
      <c r="C164">
        <v>10</v>
      </c>
      <c r="D164">
        <v>1000</v>
      </c>
      <c r="E164">
        <v>10</v>
      </c>
      <c r="F164" t="s">
        <v>69</v>
      </c>
      <c r="G164" t="s">
        <v>70</v>
      </c>
      <c r="H164" s="2">
        <v>608</v>
      </c>
      <c r="I164" s="2">
        <v>612</v>
      </c>
      <c r="J164" s="2">
        <v>612</v>
      </c>
      <c r="K164" s="2">
        <v>442</v>
      </c>
      <c r="L164" s="2">
        <v>412</v>
      </c>
      <c r="M164" s="2">
        <f t="shared" si="26"/>
        <v>412</v>
      </c>
      <c r="N164" t="e">
        <f t="shared" ca="1" si="27"/>
        <v>#NAME?</v>
      </c>
      <c r="O164" t="str">
        <f t="shared" si="28"/>
        <v>MSIG Cost</v>
      </c>
      <c r="P164" s="2">
        <f t="shared" si="29"/>
        <v>47.572815533980581</v>
      </c>
      <c r="Q164" s="2">
        <f t="shared" si="30"/>
        <v>48.543689320388353</v>
      </c>
      <c r="R164" s="2">
        <f t="shared" si="31"/>
        <v>48.543689320388353</v>
      </c>
      <c r="S164" s="2">
        <f t="shared" si="32"/>
        <v>7.2815533980582519</v>
      </c>
      <c r="T164" s="2">
        <f t="shared" si="33"/>
        <v>0</v>
      </c>
      <c r="U164" s="3" t="str">
        <f t="shared" si="34"/>
        <v/>
      </c>
      <c r="V164" s="3" t="str">
        <f t="shared" si="35"/>
        <v/>
      </c>
      <c r="W164" s="3" t="str">
        <f t="shared" si="36"/>
        <v/>
      </c>
      <c r="X164" s="3" t="str">
        <f t="shared" si="37"/>
        <v/>
      </c>
      <c r="Y164" s="3" t="str">
        <f t="shared" si="38"/>
        <v>YES</v>
      </c>
    </row>
    <row r="165" spans="1:25">
      <c r="A165" t="s">
        <v>234</v>
      </c>
      <c r="B165">
        <v>100</v>
      </c>
      <c r="C165">
        <v>10</v>
      </c>
      <c r="D165">
        <v>1000</v>
      </c>
      <c r="E165">
        <v>10</v>
      </c>
      <c r="F165" t="s">
        <v>69</v>
      </c>
      <c r="G165" t="s">
        <v>70</v>
      </c>
      <c r="H165" s="2">
        <v>531</v>
      </c>
      <c r="I165" s="2">
        <v>554</v>
      </c>
      <c r="J165" s="2">
        <v>554</v>
      </c>
      <c r="K165" s="2">
        <v>427</v>
      </c>
      <c r="L165" s="2">
        <v>386</v>
      </c>
      <c r="M165" s="2">
        <f t="shared" si="26"/>
        <v>386</v>
      </c>
      <c r="N165" t="e">
        <f t="shared" ca="1" si="27"/>
        <v>#NAME?</v>
      </c>
      <c r="O165" t="str">
        <f t="shared" si="28"/>
        <v>MSIG Cost</v>
      </c>
      <c r="P165" s="2">
        <f t="shared" si="29"/>
        <v>37.564766839378237</v>
      </c>
      <c r="Q165" s="2">
        <f t="shared" si="30"/>
        <v>43.523316062176164</v>
      </c>
      <c r="R165" s="2">
        <f t="shared" si="31"/>
        <v>43.523316062176164</v>
      </c>
      <c r="S165" s="2">
        <f t="shared" si="32"/>
        <v>10.621761658031089</v>
      </c>
      <c r="T165" s="2">
        <f t="shared" si="33"/>
        <v>0</v>
      </c>
      <c r="U165" s="3" t="str">
        <f t="shared" si="34"/>
        <v/>
      </c>
      <c r="V165" s="3" t="str">
        <f t="shared" si="35"/>
        <v/>
      </c>
      <c r="W165" s="3" t="str">
        <f t="shared" si="36"/>
        <v/>
      </c>
      <c r="X165" s="3" t="str">
        <f t="shared" si="37"/>
        <v/>
      </c>
      <c r="Y165" s="3" t="str">
        <f t="shared" si="38"/>
        <v>YES</v>
      </c>
    </row>
    <row r="166" spans="1:25">
      <c r="A166" t="s">
        <v>235</v>
      </c>
      <c r="B166">
        <v>100</v>
      </c>
      <c r="C166">
        <v>10</v>
      </c>
      <c r="D166">
        <v>1000</v>
      </c>
      <c r="E166">
        <v>1</v>
      </c>
      <c r="F166" t="s">
        <v>69</v>
      </c>
      <c r="G166" t="s">
        <v>70</v>
      </c>
      <c r="H166" s="2">
        <v>29</v>
      </c>
      <c r="I166" s="2">
        <v>29</v>
      </c>
      <c r="J166" s="2">
        <v>29</v>
      </c>
      <c r="K166" s="2">
        <v>28</v>
      </c>
      <c r="L166" s="2">
        <v>26</v>
      </c>
      <c r="M166" s="2">
        <f t="shared" si="26"/>
        <v>26</v>
      </c>
      <c r="N166" t="e">
        <f t="shared" ca="1" si="27"/>
        <v>#NAME?</v>
      </c>
      <c r="O166" t="str">
        <f t="shared" si="28"/>
        <v>MSIG Cost</v>
      </c>
      <c r="P166" s="2">
        <f t="shared" si="29"/>
        <v>11.538461538461538</v>
      </c>
      <c r="Q166" s="2">
        <f t="shared" si="30"/>
        <v>11.538461538461538</v>
      </c>
      <c r="R166" s="2">
        <f t="shared" si="31"/>
        <v>11.538461538461538</v>
      </c>
      <c r="S166" s="2">
        <f t="shared" si="32"/>
        <v>7.6923076923076925</v>
      </c>
      <c r="T166" s="2">
        <f t="shared" si="33"/>
        <v>0</v>
      </c>
      <c r="U166" s="3" t="str">
        <f t="shared" si="34"/>
        <v/>
      </c>
      <c r="V166" s="3" t="str">
        <f t="shared" si="35"/>
        <v/>
      </c>
      <c r="W166" s="3" t="str">
        <f t="shared" si="36"/>
        <v/>
      </c>
      <c r="X166" s="3" t="str">
        <f t="shared" si="37"/>
        <v/>
      </c>
      <c r="Y166" s="3" t="str">
        <f t="shared" si="38"/>
        <v>YES</v>
      </c>
    </row>
    <row r="167" spans="1:25">
      <c r="A167" t="s">
        <v>236</v>
      </c>
      <c r="B167">
        <v>100</v>
      </c>
      <c r="C167">
        <v>10</v>
      </c>
      <c r="D167">
        <v>1000</v>
      </c>
      <c r="E167">
        <v>1</v>
      </c>
      <c r="F167" t="s">
        <v>69</v>
      </c>
      <c r="G167" t="s">
        <v>70</v>
      </c>
      <c r="H167" s="2">
        <v>27</v>
      </c>
      <c r="I167" s="2">
        <v>27</v>
      </c>
      <c r="J167" s="2">
        <v>27</v>
      </c>
      <c r="K167" s="2">
        <v>29</v>
      </c>
      <c r="L167" s="2">
        <v>26</v>
      </c>
      <c r="M167" s="2">
        <f t="shared" si="26"/>
        <v>26</v>
      </c>
      <c r="N167" t="e">
        <f t="shared" ca="1" si="27"/>
        <v>#NAME?</v>
      </c>
      <c r="O167" t="str">
        <f t="shared" si="28"/>
        <v>MSIG Cost</v>
      </c>
      <c r="P167" s="2">
        <f t="shared" si="29"/>
        <v>3.8461538461538463</v>
      </c>
      <c r="Q167" s="2">
        <f t="shared" si="30"/>
        <v>3.8461538461538463</v>
      </c>
      <c r="R167" s="2">
        <f t="shared" si="31"/>
        <v>3.8461538461538463</v>
      </c>
      <c r="S167" s="2">
        <f t="shared" si="32"/>
        <v>11.538461538461538</v>
      </c>
      <c r="T167" s="2">
        <f t="shared" si="33"/>
        <v>0</v>
      </c>
      <c r="U167" s="3" t="str">
        <f t="shared" si="34"/>
        <v/>
      </c>
      <c r="V167" s="3" t="str">
        <f t="shared" si="35"/>
        <v/>
      </c>
      <c r="W167" s="3" t="str">
        <f t="shared" si="36"/>
        <v/>
      </c>
      <c r="X167" s="3" t="str">
        <f t="shared" si="37"/>
        <v/>
      </c>
      <c r="Y167" s="3" t="str">
        <f t="shared" si="38"/>
        <v>YES</v>
      </c>
    </row>
    <row r="168" spans="1:25">
      <c r="A168" t="s">
        <v>237</v>
      </c>
      <c r="B168">
        <v>100</v>
      </c>
      <c r="C168">
        <v>10</v>
      </c>
      <c r="D168">
        <v>1000</v>
      </c>
      <c r="E168">
        <v>10</v>
      </c>
      <c r="F168" t="s">
        <v>69</v>
      </c>
      <c r="G168" t="s">
        <v>70</v>
      </c>
      <c r="H168" s="2">
        <v>553</v>
      </c>
      <c r="I168" s="2">
        <v>555</v>
      </c>
      <c r="J168" s="2">
        <v>571</v>
      </c>
      <c r="K168" s="2">
        <v>413</v>
      </c>
      <c r="L168" s="2">
        <v>362</v>
      </c>
      <c r="M168" s="2">
        <f t="shared" si="26"/>
        <v>362</v>
      </c>
      <c r="N168" t="e">
        <f t="shared" ca="1" si="27"/>
        <v>#NAME?</v>
      </c>
      <c r="O168" t="str">
        <f t="shared" si="28"/>
        <v>MSIG Cost</v>
      </c>
      <c r="P168" s="2">
        <f t="shared" si="29"/>
        <v>52.762430939226526</v>
      </c>
      <c r="Q168" s="2">
        <f t="shared" si="30"/>
        <v>53.314917127071823</v>
      </c>
      <c r="R168" s="2">
        <f t="shared" si="31"/>
        <v>57.734806629834253</v>
      </c>
      <c r="S168" s="2">
        <f t="shared" si="32"/>
        <v>14.088397790055248</v>
      </c>
      <c r="T168" s="2">
        <f t="shared" si="33"/>
        <v>0</v>
      </c>
      <c r="U168" s="3" t="str">
        <f t="shared" si="34"/>
        <v/>
      </c>
      <c r="V168" s="3" t="str">
        <f t="shared" si="35"/>
        <v/>
      </c>
      <c r="W168" s="3" t="str">
        <f t="shared" si="36"/>
        <v/>
      </c>
      <c r="X168" s="3" t="str">
        <f t="shared" si="37"/>
        <v/>
      </c>
      <c r="Y168" s="3" t="str">
        <f t="shared" si="38"/>
        <v>YES</v>
      </c>
    </row>
    <row r="169" spans="1:25">
      <c r="A169" t="s">
        <v>238</v>
      </c>
      <c r="B169">
        <v>100</v>
      </c>
      <c r="C169">
        <v>10</v>
      </c>
      <c r="D169">
        <v>1000</v>
      </c>
      <c r="E169">
        <v>10</v>
      </c>
      <c r="F169" t="s">
        <v>69</v>
      </c>
      <c r="G169" t="s">
        <v>70</v>
      </c>
      <c r="H169" s="2">
        <v>511</v>
      </c>
      <c r="I169" s="2">
        <v>511</v>
      </c>
      <c r="J169" s="2">
        <v>525</v>
      </c>
      <c r="K169" s="2">
        <v>392</v>
      </c>
      <c r="L169" s="2">
        <v>336</v>
      </c>
      <c r="M169" s="2">
        <f t="shared" si="26"/>
        <v>336</v>
      </c>
      <c r="N169" t="e">
        <f t="shared" ca="1" si="27"/>
        <v>#NAME?</v>
      </c>
      <c r="O169" t="str">
        <f t="shared" si="28"/>
        <v>MSIG Cost</v>
      </c>
      <c r="P169" s="2">
        <f t="shared" si="29"/>
        <v>52.083333333333336</v>
      </c>
      <c r="Q169" s="2">
        <f t="shared" si="30"/>
        <v>52.083333333333336</v>
      </c>
      <c r="R169" s="2">
        <f t="shared" si="31"/>
        <v>56.25</v>
      </c>
      <c r="S169" s="2">
        <f t="shared" si="32"/>
        <v>16.666666666666664</v>
      </c>
      <c r="T169" s="2">
        <f t="shared" si="33"/>
        <v>0</v>
      </c>
      <c r="U169" s="3" t="str">
        <f t="shared" si="34"/>
        <v/>
      </c>
      <c r="V169" s="3" t="str">
        <f t="shared" si="35"/>
        <v/>
      </c>
      <c r="W169" s="3" t="str">
        <f t="shared" si="36"/>
        <v/>
      </c>
      <c r="X169" s="3" t="str">
        <f t="shared" si="37"/>
        <v/>
      </c>
      <c r="Y169" s="3" t="str">
        <f t="shared" si="38"/>
        <v>YES</v>
      </c>
    </row>
    <row r="170" spans="1:25">
      <c r="A170" t="s">
        <v>239</v>
      </c>
      <c r="B170">
        <v>100</v>
      </c>
      <c r="C170">
        <v>10</v>
      </c>
      <c r="D170">
        <v>1000</v>
      </c>
      <c r="E170">
        <v>1</v>
      </c>
      <c r="F170" t="s">
        <v>69</v>
      </c>
      <c r="G170" t="s">
        <v>70</v>
      </c>
      <c r="H170" s="2">
        <v>22</v>
      </c>
      <c r="I170" s="2">
        <v>22</v>
      </c>
      <c r="J170" s="2">
        <v>22</v>
      </c>
      <c r="K170" s="2">
        <v>18</v>
      </c>
      <c r="L170" s="2">
        <v>17</v>
      </c>
      <c r="M170" s="2">
        <f t="shared" si="26"/>
        <v>17</v>
      </c>
      <c r="N170" t="e">
        <f t="shared" ca="1" si="27"/>
        <v>#NAME?</v>
      </c>
      <c r="O170" t="str">
        <f t="shared" si="28"/>
        <v>MSIG Cost</v>
      </c>
      <c r="P170" s="2">
        <f t="shared" si="29"/>
        <v>29.411764705882355</v>
      </c>
      <c r="Q170" s="2">
        <f t="shared" si="30"/>
        <v>29.411764705882355</v>
      </c>
      <c r="R170" s="2">
        <f t="shared" si="31"/>
        <v>29.411764705882355</v>
      </c>
      <c r="S170" s="2">
        <f t="shared" si="32"/>
        <v>5.8823529411764701</v>
      </c>
      <c r="T170" s="2">
        <f t="shared" si="33"/>
        <v>0</v>
      </c>
      <c r="U170" s="3" t="str">
        <f t="shared" si="34"/>
        <v/>
      </c>
      <c r="V170" s="3" t="str">
        <f t="shared" si="35"/>
        <v/>
      </c>
      <c r="W170" s="3" t="str">
        <f t="shared" si="36"/>
        <v/>
      </c>
      <c r="X170" s="3" t="str">
        <f t="shared" si="37"/>
        <v/>
      </c>
      <c r="Y170" s="3" t="str">
        <f t="shared" si="38"/>
        <v>YES</v>
      </c>
    </row>
    <row r="171" spans="1:25">
      <c r="A171" t="s">
        <v>240</v>
      </c>
      <c r="B171">
        <v>100</v>
      </c>
      <c r="C171">
        <v>10</v>
      </c>
      <c r="D171">
        <v>1000</v>
      </c>
      <c r="E171">
        <v>1</v>
      </c>
      <c r="F171" t="s">
        <v>69</v>
      </c>
      <c r="G171" t="s">
        <v>70</v>
      </c>
      <c r="H171" s="2">
        <v>21</v>
      </c>
      <c r="I171" s="2">
        <v>21</v>
      </c>
      <c r="J171" s="2">
        <v>21</v>
      </c>
      <c r="K171" s="2">
        <v>19</v>
      </c>
      <c r="L171" s="2">
        <v>17</v>
      </c>
      <c r="M171" s="2">
        <f t="shared" si="26"/>
        <v>17</v>
      </c>
      <c r="N171" t="e">
        <f t="shared" ca="1" si="27"/>
        <v>#NAME?</v>
      </c>
      <c r="O171" t="str">
        <f t="shared" si="28"/>
        <v>MSIG Cost</v>
      </c>
      <c r="P171" s="2">
        <f t="shared" si="29"/>
        <v>23.52941176470588</v>
      </c>
      <c r="Q171" s="2">
        <f t="shared" si="30"/>
        <v>23.52941176470588</v>
      </c>
      <c r="R171" s="2">
        <f t="shared" si="31"/>
        <v>23.52941176470588</v>
      </c>
      <c r="S171" s="2">
        <f t="shared" si="32"/>
        <v>11.76470588235294</v>
      </c>
      <c r="T171" s="2">
        <f t="shared" si="33"/>
        <v>0</v>
      </c>
      <c r="U171" s="3" t="str">
        <f t="shared" si="34"/>
        <v/>
      </c>
      <c r="V171" s="3" t="str">
        <f t="shared" si="35"/>
        <v/>
      </c>
      <c r="W171" s="3" t="str">
        <f t="shared" si="36"/>
        <v/>
      </c>
      <c r="X171" s="3" t="str">
        <f t="shared" si="37"/>
        <v/>
      </c>
      <c r="Y171" s="3" t="str">
        <f t="shared" si="38"/>
        <v>YES</v>
      </c>
    </row>
    <row r="172" spans="1:25">
      <c r="A172" t="s">
        <v>241</v>
      </c>
      <c r="B172">
        <v>100</v>
      </c>
      <c r="C172">
        <v>10</v>
      </c>
      <c r="D172">
        <v>1000</v>
      </c>
      <c r="E172">
        <v>10</v>
      </c>
      <c r="F172" t="s">
        <v>69</v>
      </c>
      <c r="G172" t="s">
        <v>70</v>
      </c>
      <c r="H172" s="2">
        <v>449</v>
      </c>
      <c r="I172" s="2">
        <v>454</v>
      </c>
      <c r="J172" s="2">
        <v>455</v>
      </c>
      <c r="K172" s="2">
        <v>278</v>
      </c>
      <c r="L172" s="2">
        <v>257</v>
      </c>
      <c r="M172" s="2">
        <f t="shared" si="26"/>
        <v>257</v>
      </c>
      <c r="N172" t="e">
        <f t="shared" ca="1" si="27"/>
        <v>#NAME?</v>
      </c>
      <c r="O172" t="str">
        <f t="shared" si="28"/>
        <v>MSIG Cost</v>
      </c>
      <c r="P172" s="2">
        <f t="shared" si="29"/>
        <v>74.708171206225686</v>
      </c>
      <c r="Q172" s="2">
        <f t="shared" si="30"/>
        <v>76.653696498054487</v>
      </c>
      <c r="R172" s="2">
        <f t="shared" si="31"/>
        <v>77.042801556420244</v>
      </c>
      <c r="S172" s="2">
        <f t="shared" si="32"/>
        <v>8.1712062256809332</v>
      </c>
      <c r="T172" s="2">
        <f t="shared" si="33"/>
        <v>0</v>
      </c>
      <c r="U172" s="3" t="str">
        <f t="shared" si="34"/>
        <v/>
      </c>
      <c r="V172" s="3" t="str">
        <f t="shared" si="35"/>
        <v/>
      </c>
      <c r="W172" s="3" t="str">
        <f t="shared" si="36"/>
        <v/>
      </c>
      <c r="X172" s="3" t="str">
        <f t="shared" si="37"/>
        <v/>
      </c>
      <c r="Y172" s="3" t="str">
        <f t="shared" si="38"/>
        <v>YES</v>
      </c>
    </row>
    <row r="173" spans="1:25">
      <c r="A173" t="s">
        <v>242</v>
      </c>
      <c r="B173">
        <v>100</v>
      </c>
      <c r="C173">
        <v>10</v>
      </c>
      <c r="D173">
        <v>1000</v>
      </c>
      <c r="E173">
        <v>10</v>
      </c>
      <c r="F173" t="s">
        <v>69</v>
      </c>
      <c r="G173" t="s">
        <v>70</v>
      </c>
      <c r="H173" s="2">
        <v>391</v>
      </c>
      <c r="I173" s="2">
        <v>399</v>
      </c>
      <c r="J173" s="2">
        <v>436</v>
      </c>
      <c r="K173" s="2">
        <v>273</v>
      </c>
      <c r="L173" s="2">
        <v>238</v>
      </c>
      <c r="M173" s="2">
        <f t="shared" si="26"/>
        <v>238</v>
      </c>
      <c r="N173" t="e">
        <f t="shared" ca="1" si="27"/>
        <v>#NAME?</v>
      </c>
      <c r="O173" t="str">
        <f t="shared" si="28"/>
        <v>MSIG Cost</v>
      </c>
      <c r="P173" s="2">
        <f t="shared" si="29"/>
        <v>64.285714285714292</v>
      </c>
      <c r="Q173" s="2">
        <f t="shared" si="30"/>
        <v>67.64705882352942</v>
      </c>
      <c r="R173" s="2">
        <f t="shared" si="31"/>
        <v>83.193277310924373</v>
      </c>
      <c r="S173" s="2">
        <f t="shared" si="32"/>
        <v>14.705882352941178</v>
      </c>
      <c r="T173" s="2">
        <f t="shared" si="33"/>
        <v>0</v>
      </c>
      <c r="U173" s="3" t="str">
        <f t="shared" si="34"/>
        <v/>
      </c>
      <c r="V173" s="3" t="str">
        <f t="shared" si="35"/>
        <v/>
      </c>
      <c r="W173" s="3" t="str">
        <f t="shared" si="36"/>
        <v/>
      </c>
      <c r="X173" s="3" t="str">
        <f t="shared" si="37"/>
        <v/>
      </c>
      <c r="Y173" s="3" t="str">
        <f t="shared" si="38"/>
        <v>YES</v>
      </c>
    </row>
    <row r="174" spans="1:25">
      <c r="A174" t="s">
        <v>243</v>
      </c>
      <c r="B174">
        <v>100</v>
      </c>
      <c r="C174">
        <v>10</v>
      </c>
      <c r="D174">
        <v>1000</v>
      </c>
      <c r="E174">
        <v>1</v>
      </c>
      <c r="F174" t="s">
        <v>69</v>
      </c>
      <c r="G174" t="s">
        <v>70</v>
      </c>
      <c r="H174" s="2">
        <v>15</v>
      </c>
      <c r="I174" s="2">
        <v>15</v>
      </c>
      <c r="J174" s="2">
        <v>15</v>
      </c>
      <c r="K174" s="2">
        <v>17</v>
      </c>
      <c r="L174" s="2">
        <v>14</v>
      </c>
      <c r="M174" s="2">
        <f t="shared" si="26"/>
        <v>14</v>
      </c>
      <c r="N174" t="e">
        <f t="shared" ca="1" si="27"/>
        <v>#NAME?</v>
      </c>
      <c r="O174" t="str">
        <f t="shared" si="28"/>
        <v>MSIG Cost</v>
      </c>
      <c r="P174" s="2">
        <f t="shared" si="29"/>
        <v>7.1428571428571423</v>
      </c>
      <c r="Q174" s="2">
        <f t="shared" si="30"/>
        <v>7.1428571428571423</v>
      </c>
      <c r="R174" s="2">
        <f t="shared" si="31"/>
        <v>7.1428571428571423</v>
      </c>
      <c r="S174" s="2">
        <f t="shared" si="32"/>
        <v>21.428571428571427</v>
      </c>
      <c r="T174" s="2">
        <f t="shared" si="33"/>
        <v>0</v>
      </c>
      <c r="U174" s="3" t="str">
        <f t="shared" si="34"/>
        <v/>
      </c>
      <c r="V174" s="3" t="str">
        <f t="shared" si="35"/>
        <v/>
      </c>
      <c r="W174" s="3" t="str">
        <f t="shared" si="36"/>
        <v/>
      </c>
      <c r="X174" s="3" t="str">
        <f t="shared" si="37"/>
        <v/>
      </c>
      <c r="Y174" s="3" t="str">
        <f t="shared" si="38"/>
        <v>YES</v>
      </c>
    </row>
    <row r="175" spans="1:25">
      <c r="A175" t="s">
        <v>244</v>
      </c>
      <c r="B175">
        <v>100</v>
      </c>
      <c r="C175">
        <v>10</v>
      </c>
      <c r="D175">
        <v>1000</v>
      </c>
      <c r="E175">
        <v>1</v>
      </c>
      <c r="F175" t="s">
        <v>69</v>
      </c>
      <c r="G175" t="s">
        <v>70</v>
      </c>
      <c r="H175" s="2">
        <v>14</v>
      </c>
      <c r="I175" s="2">
        <v>14</v>
      </c>
      <c r="J175" s="2">
        <v>14</v>
      </c>
      <c r="K175" s="2">
        <v>18</v>
      </c>
      <c r="L175" s="2">
        <v>13</v>
      </c>
      <c r="M175" s="2">
        <f t="shared" si="26"/>
        <v>13</v>
      </c>
      <c r="N175" t="e">
        <f t="shared" ca="1" si="27"/>
        <v>#NAME?</v>
      </c>
      <c r="O175" t="str">
        <f t="shared" si="28"/>
        <v>MSIG Cost</v>
      </c>
      <c r="P175" s="2">
        <f t="shared" si="29"/>
        <v>7.6923076923076925</v>
      </c>
      <c r="Q175" s="2">
        <f t="shared" si="30"/>
        <v>7.6923076923076925</v>
      </c>
      <c r="R175" s="2">
        <f t="shared" si="31"/>
        <v>7.6923076923076925</v>
      </c>
      <c r="S175" s="2">
        <f t="shared" si="32"/>
        <v>38.461538461538467</v>
      </c>
      <c r="T175" s="2">
        <f t="shared" si="33"/>
        <v>0</v>
      </c>
      <c r="U175" s="3" t="str">
        <f t="shared" si="34"/>
        <v/>
      </c>
      <c r="V175" s="3" t="str">
        <f t="shared" si="35"/>
        <v/>
      </c>
      <c r="W175" s="3" t="str">
        <f t="shared" si="36"/>
        <v/>
      </c>
      <c r="X175" s="3" t="str">
        <f t="shared" si="37"/>
        <v/>
      </c>
      <c r="Y175" s="3" t="str">
        <f t="shared" si="38"/>
        <v>YES</v>
      </c>
    </row>
    <row r="176" spans="1:25">
      <c r="A176" t="s">
        <v>245</v>
      </c>
      <c r="B176">
        <v>100</v>
      </c>
      <c r="C176">
        <v>10</v>
      </c>
      <c r="D176">
        <v>1000</v>
      </c>
      <c r="E176">
        <v>10</v>
      </c>
      <c r="F176" t="s">
        <v>69</v>
      </c>
      <c r="G176" t="s">
        <v>70</v>
      </c>
      <c r="H176" s="2">
        <v>379</v>
      </c>
      <c r="I176" s="2">
        <v>377</v>
      </c>
      <c r="J176" s="2">
        <v>363</v>
      </c>
      <c r="K176" s="2">
        <v>268</v>
      </c>
      <c r="L176" s="2">
        <v>212</v>
      </c>
      <c r="M176" s="2">
        <f t="shared" si="26"/>
        <v>212</v>
      </c>
      <c r="N176" t="e">
        <f t="shared" ca="1" si="27"/>
        <v>#NAME?</v>
      </c>
      <c r="O176" t="str">
        <f t="shared" si="28"/>
        <v>MSIG Cost</v>
      </c>
      <c r="P176" s="2">
        <f t="shared" si="29"/>
        <v>78.773584905660371</v>
      </c>
      <c r="Q176" s="2">
        <f t="shared" si="30"/>
        <v>77.830188679245282</v>
      </c>
      <c r="R176" s="2">
        <f t="shared" si="31"/>
        <v>71.226415094339629</v>
      </c>
      <c r="S176" s="2">
        <f t="shared" si="32"/>
        <v>26.415094339622641</v>
      </c>
      <c r="T176" s="2">
        <f t="shared" si="33"/>
        <v>0</v>
      </c>
      <c r="U176" s="3" t="str">
        <f t="shared" si="34"/>
        <v/>
      </c>
      <c r="V176" s="3" t="str">
        <f t="shared" si="35"/>
        <v/>
      </c>
      <c r="W176" s="3" t="str">
        <f t="shared" si="36"/>
        <v/>
      </c>
      <c r="X176" s="3" t="str">
        <f t="shared" si="37"/>
        <v/>
      </c>
      <c r="Y176" s="3" t="str">
        <f t="shared" si="38"/>
        <v>YES</v>
      </c>
    </row>
    <row r="177" spans="1:25">
      <c r="A177" t="s">
        <v>246</v>
      </c>
      <c r="B177">
        <v>100</v>
      </c>
      <c r="C177">
        <v>10</v>
      </c>
      <c r="D177">
        <v>1000</v>
      </c>
      <c r="E177">
        <v>10</v>
      </c>
      <c r="F177" t="s">
        <v>69</v>
      </c>
      <c r="G177" t="s">
        <v>70</v>
      </c>
      <c r="H177" s="2">
        <v>403</v>
      </c>
      <c r="I177" s="2">
        <v>399</v>
      </c>
      <c r="J177" s="2">
        <v>405</v>
      </c>
      <c r="K177" s="2">
        <v>253</v>
      </c>
      <c r="L177" s="2">
        <v>220</v>
      </c>
      <c r="M177" s="2">
        <f t="shared" si="26"/>
        <v>220</v>
      </c>
      <c r="N177" t="e">
        <f t="shared" ca="1" si="27"/>
        <v>#NAME?</v>
      </c>
      <c r="O177" t="str">
        <f t="shared" si="28"/>
        <v>MSIG Cost</v>
      </c>
      <c r="P177" s="2">
        <f t="shared" si="29"/>
        <v>83.181818181818173</v>
      </c>
      <c r="Q177" s="2">
        <f t="shared" si="30"/>
        <v>81.36363636363636</v>
      </c>
      <c r="R177" s="2">
        <f t="shared" si="31"/>
        <v>84.090909090909093</v>
      </c>
      <c r="S177" s="2">
        <f t="shared" si="32"/>
        <v>15</v>
      </c>
      <c r="T177" s="2">
        <f t="shared" si="33"/>
        <v>0</v>
      </c>
      <c r="U177" s="3" t="str">
        <f t="shared" si="34"/>
        <v/>
      </c>
      <c r="V177" s="3" t="str">
        <f t="shared" si="35"/>
        <v/>
      </c>
      <c r="W177" s="3" t="str">
        <f t="shared" si="36"/>
        <v/>
      </c>
      <c r="X177" s="3" t="str">
        <f t="shared" si="37"/>
        <v/>
      </c>
      <c r="Y177" s="3" t="str">
        <f t="shared" si="38"/>
        <v>YES</v>
      </c>
    </row>
    <row r="178" spans="1:25">
      <c r="A178" t="s">
        <v>247</v>
      </c>
      <c r="B178">
        <v>100</v>
      </c>
      <c r="C178">
        <v>5</v>
      </c>
      <c r="D178">
        <v>1000</v>
      </c>
      <c r="E178">
        <v>1</v>
      </c>
      <c r="F178" t="s">
        <v>69</v>
      </c>
      <c r="G178" t="s">
        <v>70</v>
      </c>
      <c r="H178" s="2">
        <v>35</v>
      </c>
      <c r="I178" s="2">
        <v>35</v>
      </c>
      <c r="J178" s="2">
        <v>35</v>
      </c>
      <c r="K178" s="2">
        <v>30</v>
      </c>
      <c r="L178" s="2">
        <v>30</v>
      </c>
      <c r="M178" s="2">
        <f t="shared" si="26"/>
        <v>30</v>
      </c>
      <c r="N178" t="e">
        <f t="shared" ca="1" si="27"/>
        <v>#NAME?</v>
      </c>
      <c r="O178" t="str">
        <f t="shared" si="28"/>
        <v/>
      </c>
      <c r="P178" s="2">
        <f t="shared" si="29"/>
        <v>16.666666666666664</v>
      </c>
      <c r="Q178" s="2">
        <f t="shared" si="30"/>
        <v>16.666666666666664</v>
      </c>
      <c r="R178" s="2">
        <f t="shared" si="31"/>
        <v>16.666666666666664</v>
      </c>
      <c r="S178" s="2">
        <f t="shared" si="32"/>
        <v>0</v>
      </c>
      <c r="T178" s="2">
        <f t="shared" si="33"/>
        <v>0</v>
      </c>
      <c r="U178" s="3" t="str">
        <f t="shared" si="34"/>
        <v/>
      </c>
      <c r="V178" s="3" t="str">
        <f t="shared" si="35"/>
        <v/>
      </c>
      <c r="W178" s="3" t="str">
        <f t="shared" si="36"/>
        <v/>
      </c>
      <c r="X178" s="3" t="str">
        <f t="shared" si="37"/>
        <v>YES</v>
      </c>
      <c r="Y178" s="3" t="str">
        <f t="shared" si="38"/>
        <v>YES</v>
      </c>
    </row>
    <row r="179" spans="1:25">
      <c r="A179" t="s">
        <v>248</v>
      </c>
      <c r="B179">
        <v>100</v>
      </c>
      <c r="C179">
        <v>5</v>
      </c>
      <c r="D179">
        <v>1000</v>
      </c>
      <c r="E179">
        <v>1</v>
      </c>
      <c r="F179" t="s">
        <v>69</v>
      </c>
      <c r="G179" t="s">
        <v>70</v>
      </c>
      <c r="H179" s="2">
        <v>34</v>
      </c>
      <c r="I179" s="2">
        <v>34</v>
      </c>
      <c r="J179" s="2">
        <v>34</v>
      </c>
      <c r="K179" s="2">
        <v>31</v>
      </c>
      <c r="L179" s="2">
        <v>30</v>
      </c>
      <c r="M179" s="2">
        <f t="shared" si="26"/>
        <v>30</v>
      </c>
      <c r="N179" t="e">
        <f t="shared" ca="1" si="27"/>
        <v>#NAME?</v>
      </c>
      <c r="O179" t="str">
        <f t="shared" si="28"/>
        <v>MSIG Cost</v>
      </c>
      <c r="P179" s="2">
        <f t="shared" si="29"/>
        <v>13.333333333333334</v>
      </c>
      <c r="Q179" s="2">
        <f t="shared" si="30"/>
        <v>13.333333333333334</v>
      </c>
      <c r="R179" s="2">
        <f t="shared" si="31"/>
        <v>13.333333333333334</v>
      </c>
      <c r="S179" s="2">
        <f t="shared" si="32"/>
        <v>3.3333333333333335</v>
      </c>
      <c r="T179" s="2">
        <f t="shared" si="33"/>
        <v>0</v>
      </c>
      <c r="U179" s="3" t="str">
        <f t="shared" si="34"/>
        <v/>
      </c>
      <c r="V179" s="3" t="str">
        <f t="shared" si="35"/>
        <v/>
      </c>
      <c r="W179" s="3" t="str">
        <f t="shared" si="36"/>
        <v/>
      </c>
      <c r="X179" s="3" t="str">
        <f t="shared" si="37"/>
        <v/>
      </c>
      <c r="Y179" s="3" t="str">
        <f t="shared" si="38"/>
        <v>YES</v>
      </c>
    </row>
    <row r="180" spans="1:25">
      <c r="A180" t="s">
        <v>249</v>
      </c>
      <c r="B180">
        <v>100</v>
      </c>
      <c r="C180">
        <v>5</v>
      </c>
      <c r="D180">
        <v>1000</v>
      </c>
      <c r="E180">
        <v>10</v>
      </c>
      <c r="F180" t="s">
        <v>69</v>
      </c>
      <c r="G180" t="s">
        <v>70</v>
      </c>
      <c r="H180" s="2">
        <v>541</v>
      </c>
      <c r="I180" s="2">
        <v>550</v>
      </c>
      <c r="J180" s="2">
        <v>549</v>
      </c>
      <c r="K180" s="2">
        <v>424</v>
      </c>
      <c r="L180" s="2">
        <v>379</v>
      </c>
      <c r="M180" s="2">
        <f t="shared" si="26"/>
        <v>379</v>
      </c>
      <c r="N180" t="e">
        <f t="shared" ca="1" si="27"/>
        <v>#NAME?</v>
      </c>
      <c r="O180" t="str">
        <f t="shared" si="28"/>
        <v>MSIG Cost</v>
      </c>
      <c r="P180" s="2">
        <f t="shared" si="29"/>
        <v>42.744063324538253</v>
      </c>
      <c r="Q180" s="2">
        <f t="shared" si="30"/>
        <v>45.118733509234829</v>
      </c>
      <c r="R180" s="2">
        <f t="shared" si="31"/>
        <v>44.854881266490764</v>
      </c>
      <c r="S180" s="2">
        <f t="shared" si="32"/>
        <v>11.87335092348285</v>
      </c>
      <c r="T180" s="2">
        <f t="shared" si="33"/>
        <v>0</v>
      </c>
      <c r="U180" s="3" t="str">
        <f t="shared" si="34"/>
        <v/>
      </c>
      <c r="V180" s="3" t="str">
        <f t="shared" si="35"/>
        <v/>
      </c>
      <c r="W180" s="3" t="str">
        <f t="shared" si="36"/>
        <v/>
      </c>
      <c r="X180" s="3" t="str">
        <f t="shared" si="37"/>
        <v/>
      </c>
      <c r="Y180" s="3" t="str">
        <f t="shared" si="38"/>
        <v>YES</v>
      </c>
    </row>
    <row r="181" spans="1:25">
      <c r="A181" t="s">
        <v>250</v>
      </c>
      <c r="B181">
        <v>100</v>
      </c>
      <c r="C181">
        <v>5</v>
      </c>
      <c r="D181">
        <v>1000</v>
      </c>
      <c r="E181">
        <v>10</v>
      </c>
      <c r="F181" t="s">
        <v>69</v>
      </c>
      <c r="G181" t="s">
        <v>70</v>
      </c>
      <c r="H181" s="2">
        <v>446</v>
      </c>
      <c r="I181" s="2">
        <v>443</v>
      </c>
      <c r="J181" s="2">
        <v>456</v>
      </c>
      <c r="K181" s="2">
        <v>354</v>
      </c>
      <c r="L181" s="2">
        <v>333</v>
      </c>
      <c r="M181" s="2">
        <f t="shared" si="26"/>
        <v>333</v>
      </c>
      <c r="N181" t="e">
        <f t="shared" ca="1" si="27"/>
        <v>#NAME?</v>
      </c>
      <c r="O181" t="str">
        <f t="shared" si="28"/>
        <v>MSIG Cost</v>
      </c>
      <c r="P181" s="2">
        <f t="shared" si="29"/>
        <v>33.933933933933936</v>
      </c>
      <c r="Q181" s="2">
        <f t="shared" si="30"/>
        <v>33.033033033033036</v>
      </c>
      <c r="R181" s="2">
        <f t="shared" si="31"/>
        <v>36.936936936936938</v>
      </c>
      <c r="S181" s="2">
        <f t="shared" si="32"/>
        <v>6.3063063063063058</v>
      </c>
      <c r="T181" s="2">
        <f t="shared" si="33"/>
        <v>0</v>
      </c>
      <c r="U181" s="3" t="str">
        <f t="shared" si="34"/>
        <v/>
      </c>
      <c r="V181" s="3" t="str">
        <f t="shared" si="35"/>
        <v/>
      </c>
      <c r="W181" s="3" t="str">
        <f t="shared" si="36"/>
        <v/>
      </c>
      <c r="X181" s="3" t="str">
        <f t="shared" si="37"/>
        <v/>
      </c>
      <c r="Y181" s="3" t="str">
        <f t="shared" si="38"/>
        <v>YES</v>
      </c>
    </row>
    <row r="182" spans="1:25">
      <c r="A182" t="s">
        <v>251</v>
      </c>
      <c r="B182">
        <v>100</v>
      </c>
      <c r="C182">
        <v>5</v>
      </c>
      <c r="D182">
        <v>1000</v>
      </c>
      <c r="E182">
        <v>1</v>
      </c>
      <c r="F182" t="s">
        <v>69</v>
      </c>
      <c r="G182" t="s">
        <v>70</v>
      </c>
      <c r="H182" s="2">
        <v>27</v>
      </c>
      <c r="I182" s="2">
        <v>27</v>
      </c>
      <c r="J182" s="2">
        <v>27</v>
      </c>
      <c r="K182" s="2">
        <v>27</v>
      </c>
      <c r="L182" s="2">
        <v>26</v>
      </c>
      <c r="M182" s="2">
        <f t="shared" si="26"/>
        <v>26</v>
      </c>
      <c r="N182" t="e">
        <f t="shared" ca="1" si="27"/>
        <v>#NAME?</v>
      </c>
      <c r="O182" t="str">
        <f t="shared" si="28"/>
        <v>MSIG Cost</v>
      </c>
      <c r="P182" s="2">
        <f t="shared" si="29"/>
        <v>3.8461538461538463</v>
      </c>
      <c r="Q182" s="2">
        <f t="shared" si="30"/>
        <v>3.8461538461538463</v>
      </c>
      <c r="R182" s="2">
        <f t="shared" si="31"/>
        <v>3.8461538461538463</v>
      </c>
      <c r="S182" s="2">
        <f t="shared" si="32"/>
        <v>3.8461538461538463</v>
      </c>
      <c r="T182" s="2">
        <f t="shared" si="33"/>
        <v>0</v>
      </c>
      <c r="U182" s="3" t="str">
        <f t="shared" si="34"/>
        <v/>
      </c>
      <c r="V182" s="3" t="str">
        <f t="shared" si="35"/>
        <v/>
      </c>
      <c r="W182" s="3" t="str">
        <f t="shared" si="36"/>
        <v/>
      </c>
      <c r="X182" s="3" t="str">
        <f t="shared" si="37"/>
        <v/>
      </c>
      <c r="Y182" s="3" t="str">
        <f t="shared" si="38"/>
        <v>YES</v>
      </c>
    </row>
    <row r="183" spans="1:25">
      <c r="A183" t="s">
        <v>252</v>
      </c>
      <c r="B183">
        <v>100</v>
      </c>
      <c r="C183">
        <v>5</v>
      </c>
      <c r="D183">
        <v>1000</v>
      </c>
      <c r="E183">
        <v>1</v>
      </c>
      <c r="F183" t="s">
        <v>69</v>
      </c>
      <c r="G183" t="s">
        <v>70</v>
      </c>
      <c r="H183" s="2">
        <v>26</v>
      </c>
      <c r="I183" s="2">
        <v>27</v>
      </c>
      <c r="J183" s="2">
        <v>27</v>
      </c>
      <c r="K183" s="2">
        <v>27</v>
      </c>
      <c r="L183" s="2">
        <v>25</v>
      </c>
      <c r="M183" s="2">
        <f t="shared" si="26"/>
        <v>25</v>
      </c>
      <c r="N183" t="e">
        <f t="shared" ca="1" si="27"/>
        <v>#NAME?</v>
      </c>
      <c r="O183" t="str">
        <f t="shared" si="28"/>
        <v>MSIG Cost</v>
      </c>
      <c r="P183" s="2">
        <f t="shared" si="29"/>
        <v>4</v>
      </c>
      <c r="Q183" s="2">
        <f t="shared" si="30"/>
        <v>8</v>
      </c>
      <c r="R183" s="2">
        <f t="shared" si="31"/>
        <v>8</v>
      </c>
      <c r="S183" s="2">
        <f t="shared" si="32"/>
        <v>8</v>
      </c>
      <c r="T183" s="2">
        <f t="shared" si="33"/>
        <v>0</v>
      </c>
      <c r="U183" s="3" t="str">
        <f t="shared" si="34"/>
        <v/>
      </c>
      <c r="V183" s="3" t="str">
        <f t="shared" si="35"/>
        <v/>
      </c>
      <c r="W183" s="3" t="str">
        <f t="shared" si="36"/>
        <v/>
      </c>
      <c r="X183" s="3" t="str">
        <f t="shared" si="37"/>
        <v/>
      </c>
      <c r="Y183" s="3" t="str">
        <f t="shared" si="38"/>
        <v>YES</v>
      </c>
    </row>
    <row r="184" spans="1:25">
      <c r="A184" t="s">
        <v>253</v>
      </c>
      <c r="B184">
        <v>100</v>
      </c>
      <c r="C184">
        <v>5</v>
      </c>
      <c r="D184">
        <v>1000</v>
      </c>
      <c r="E184">
        <v>10</v>
      </c>
      <c r="F184" t="s">
        <v>69</v>
      </c>
      <c r="G184" t="s">
        <v>70</v>
      </c>
      <c r="H184" s="2">
        <v>494</v>
      </c>
      <c r="I184" s="2">
        <v>497</v>
      </c>
      <c r="J184" s="2">
        <v>497</v>
      </c>
      <c r="K184" s="2">
        <v>376</v>
      </c>
      <c r="L184" s="2">
        <v>336</v>
      </c>
      <c r="M184" s="2">
        <f t="shared" si="26"/>
        <v>336</v>
      </c>
      <c r="N184" t="e">
        <f t="shared" ca="1" si="27"/>
        <v>#NAME?</v>
      </c>
      <c r="O184" t="str">
        <f t="shared" si="28"/>
        <v>MSIG Cost</v>
      </c>
      <c r="P184" s="2">
        <f t="shared" si="29"/>
        <v>47.023809523809526</v>
      </c>
      <c r="Q184" s="2">
        <f t="shared" si="30"/>
        <v>47.916666666666671</v>
      </c>
      <c r="R184" s="2">
        <f t="shared" si="31"/>
        <v>47.916666666666671</v>
      </c>
      <c r="S184" s="2">
        <f t="shared" si="32"/>
        <v>11.904761904761903</v>
      </c>
      <c r="T184" s="2">
        <f t="shared" si="33"/>
        <v>0</v>
      </c>
      <c r="U184" s="3" t="str">
        <f t="shared" si="34"/>
        <v/>
      </c>
      <c r="V184" s="3" t="str">
        <f t="shared" si="35"/>
        <v/>
      </c>
      <c r="W184" s="3" t="str">
        <f t="shared" si="36"/>
        <v/>
      </c>
      <c r="X184" s="3" t="str">
        <f t="shared" si="37"/>
        <v/>
      </c>
      <c r="Y184" s="3" t="str">
        <f t="shared" si="38"/>
        <v>YES</v>
      </c>
    </row>
    <row r="185" spans="1:25">
      <c r="A185" t="s">
        <v>254</v>
      </c>
      <c r="B185">
        <v>100</v>
      </c>
      <c r="C185">
        <v>5</v>
      </c>
      <c r="D185">
        <v>1000</v>
      </c>
      <c r="E185">
        <v>10</v>
      </c>
      <c r="F185" t="s">
        <v>91</v>
      </c>
      <c r="G185" t="s">
        <v>70</v>
      </c>
      <c r="H185" s="2">
        <v>410</v>
      </c>
      <c r="I185" s="2">
        <v>424</v>
      </c>
      <c r="J185" s="2">
        <v>423</v>
      </c>
      <c r="K185" s="2">
        <v>328</v>
      </c>
      <c r="L185" s="2">
        <v>298</v>
      </c>
      <c r="M185" s="2">
        <f t="shared" si="26"/>
        <v>298</v>
      </c>
      <c r="N185" t="e">
        <f t="shared" ca="1" si="27"/>
        <v>#NAME?</v>
      </c>
      <c r="O185" t="str">
        <f t="shared" si="28"/>
        <v>MSIG Cost</v>
      </c>
      <c r="P185" s="2">
        <f t="shared" si="29"/>
        <v>37.583892617449663</v>
      </c>
      <c r="Q185" s="2">
        <f t="shared" si="30"/>
        <v>42.281879194630875</v>
      </c>
      <c r="R185" s="2">
        <f t="shared" si="31"/>
        <v>41.946308724832214</v>
      </c>
      <c r="S185" s="2">
        <f t="shared" si="32"/>
        <v>10.067114093959731</v>
      </c>
      <c r="T185" s="2">
        <f t="shared" si="33"/>
        <v>0</v>
      </c>
      <c r="U185" s="3" t="str">
        <f t="shared" si="34"/>
        <v/>
      </c>
      <c r="V185" s="3" t="str">
        <f t="shared" si="35"/>
        <v/>
      </c>
      <c r="W185" s="3" t="str">
        <f t="shared" si="36"/>
        <v/>
      </c>
      <c r="X185" s="3" t="str">
        <f t="shared" si="37"/>
        <v/>
      </c>
      <c r="Y185" s="3" t="str">
        <f t="shared" si="38"/>
        <v>YES</v>
      </c>
    </row>
    <row r="186" spans="1:25">
      <c r="A186" t="s">
        <v>255</v>
      </c>
      <c r="B186">
        <v>100</v>
      </c>
      <c r="C186">
        <v>5</v>
      </c>
      <c r="D186">
        <v>1000</v>
      </c>
      <c r="E186">
        <v>1</v>
      </c>
      <c r="F186" t="s">
        <v>69</v>
      </c>
      <c r="G186" t="s">
        <v>70</v>
      </c>
      <c r="H186" s="2">
        <v>20</v>
      </c>
      <c r="I186" s="2">
        <v>20</v>
      </c>
      <c r="J186" s="2">
        <v>19</v>
      </c>
      <c r="K186" s="2">
        <v>18</v>
      </c>
      <c r="L186" s="2">
        <v>16</v>
      </c>
      <c r="M186" s="2">
        <f t="shared" si="26"/>
        <v>16</v>
      </c>
      <c r="N186" t="e">
        <f t="shared" ca="1" si="27"/>
        <v>#NAME?</v>
      </c>
      <c r="O186" t="str">
        <f t="shared" si="28"/>
        <v>MSIG Cost</v>
      </c>
      <c r="P186" s="2">
        <f t="shared" si="29"/>
        <v>25</v>
      </c>
      <c r="Q186" s="2">
        <f t="shared" si="30"/>
        <v>25</v>
      </c>
      <c r="R186" s="2">
        <f t="shared" si="31"/>
        <v>18.75</v>
      </c>
      <c r="S186" s="2">
        <f t="shared" si="32"/>
        <v>12.5</v>
      </c>
      <c r="T186" s="2">
        <f t="shared" si="33"/>
        <v>0</v>
      </c>
      <c r="U186" s="3" t="str">
        <f t="shared" si="34"/>
        <v/>
      </c>
      <c r="V186" s="3" t="str">
        <f t="shared" si="35"/>
        <v/>
      </c>
      <c r="W186" s="3" t="str">
        <f t="shared" si="36"/>
        <v/>
      </c>
      <c r="X186" s="3" t="str">
        <f t="shared" si="37"/>
        <v/>
      </c>
      <c r="Y186" s="3" t="str">
        <f t="shared" si="38"/>
        <v>YES</v>
      </c>
    </row>
    <row r="187" spans="1:25">
      <c r="A187" t="s">
        <v>256</v>
      </c>
      <c r="B187">
        <v>100</v>
      </c>
      <c r="C187">
        <v>5</v>
      </c>
      <c r="D187">
        <v>1000</v>
      </c>
      <c r="E187">
        <v>1</v>
      </c>
      <c r="F187" t="s">
        <v>69</v>
      </c>
      <c r="G187" t="s">
        <v>70</v>
      </c>
      <c r="H187" s="2">
        <v>20</v>
      </c>
      <c r="I187" s="2">
        <v>20</v>
      </c>
      <c r="J187" s="2">
        <v>20</v>
      </c>
      <c r="K187" s="2">
        <v>18</v>
      </c>
      <c r="L187" s="2">
        <v>16</v>
      </c>
      <c r="M187" s="2">
        <f t="shared" si="26"/>
        <v>16</v>
      </c>
      <c r="N187" t="e">
        <f t="shared" ca="1" si="27"/>
        <v>#NAME?</v>
      </c>
      <c r="O187" t="str">
        <f t="shared" si="28"/>
        <v>MSIG Cost</v>
      </c>
      <c r="P187" s="2">
        <f t="shared" si="29"/>
        <v>25</v>
      </c>
      <c r="Q187" s="2">
        <f t="shared" si="30"/>
        <v>25</v>
      </c>
      <c r="R187" s="2">
        <f t="shared" si="31"/>
        <v>25</v>
      </c>
      <c r="S187" s="2">
        <f t="shared" si="32"/>
        <v>12.5</v>
      </c>
      <c r="T187" s="2">
        <f t="shared" si="33"/>
        <v>0</v>
      </c>
      <c r="U187" s="3" t="str">
        <f t="shared" si="34"/>
        <v/>
      </c>
      <c r="V187" s="3" t="str">
        <f t="shared" si="35"/>
        <v/>
      </c>
      <c r="W187" s="3" t="str">
        <f t="shared" si="36"/>
        <v/>
      </c>
      <c r="X187" s="3" t="str">
        <f t="shared" si="37"/>
        <v/>
      </c>
      <c r="Y187" s="3" t="str">
        <f t="shared" si="38"/>
        <v>YES</v>
      </c>
    </row>
    <row r="188" spans="1:25">
      <c r="A188" t="s">
        <v>257</v>
      </c>
      <c r="B188">
        <v>100</v>
      </c>
      <c r="C188">
        <v>5</v>
      </c>
      <c r="D188">
        <v>1000</v>
      </c>
      <c r="E188">
        <v>10</v>
      </c>
      <c r="F188" t="s">
        <v>91</v>
      </c>
      <c r="G188" t="s">
        <v>70</v>
      </c>
      <c r="H188" s="2">
        <v>333</v>
      </c>
      <c r="I188" s="2">
        <v>365</v>
      </c>
      <c r="J188" s="2">
        <v>341</v>
      </c>
      <c r="K188" s="2">
        <v>262</v>
      </c>
      <c r="L188" s="2">
        <v>193</v>
      </c>
      <c r="M188" s="2">
        <f t="shared" si="26"/>
        <v>193</v>
      </c>
      <c r="N188" t="e">
        <f t="shared" ca="1" si="27"/>
        <v>#NAME?</v>
      </c>
      <c r="O188" t="str">
        <f t="shared" si="28"/>
        <v>MSIG Cost</v>
      </c>
      <c r="P188" s="2">
        <f t="shared" si="29"/>
        <v>72.538860103626945</v>
      </c>
      <c r="Q188" s="2">
        <f t="shared" si="30"/>
        <v>89.119170984455948</v>
      </c>
      <c r="R188" s="2">
        <f t="shared" si="31"/>
        <v>76.683937823834185</v>
      </c>
      <c r="S188" s="2">
        <f t="shared" si="32"/>
        <v>35.751295336787564</v>
      </c>
      <c r="T188" s="2">
        <f t="shared" si="33"/>
        <v>0</v>
      </c>
      <c r="U188" s="3" t="str">
        <f t="shared" si="34"/>
        <v/>
      </c>
      <c r="V188" s="3" t="str">
        <f t="shared" si="35"/>
        <v/>
      </c>
      <c r="W188" s="3" t="str">
        <f t="shared" si="36"/>
        <v/>
      </c>
      <c r="X188" s="3" t="str">
        <f t="shared" si="37"/>
        <v/>
      </c>
      <c r="Y188" s="3" t="str">
        <f t="shared" si="38"/>
        <v>YES</v>
      </c>
    </row>
    <row r="189" spans="1:25">
      <c r="A189" t="s">
        <v>258</v>
      </c>
      <c r="B189">
        <v>100</v>
      </c>
      <c r="C189">
        <v>5</v>
      </c>
      <c r="D189">
        <v>1000</v>
      </c>
      <c r="E189">
        <v>10</v>
      </c>
      <c r="F189" t="s">
        <v>69</v>
      </c>
      <c r="G189" t="s">
        <v>70</v>
      </c>
      <c r="H189" s="2">
        <v>306</v>
      </c>
      <c r="I189" s="2">
        <v>312</v>
      </c>
      <c r="J189" s="2">
        <v>290</v>
      </c>
      <c r="K189" s="2">
        <v>230</v>
      </c>
      <c r="L189" s="2">
        <v>188</v>
      </c>
      <c r="M189" s="2">
        <f t="shared" si="26"/>
        <v>188</v>
      </c>
      <c r="N189" t="e">
        <f t="shared" ca="1" si="27"/>
        <v>#NAME?</v>
      </c>
      <c r="O189" t="str">
        <f t="shared" si="28"/>
        <v>MSIG Cost</v>
      </c>
      <c r="P189" s="2">
        <f t="shared" si="29"/>
        <v>62.765957446808507</v>
      </c>
      <c r="Q189" s="2">
        <f t="shared" si="30"/>
        <v>65.957446808510639</v>
      </c>
      <c r="R189" s="2">
        <f t="shared" si="31"/>
        <v>54.255319148936167</v>
      </c>
      <c r="S189" s="2">
        <f t="shared" si="32"/>
        <v>22.340425531914892</v>
      </c>
      <c r="T189" s="2">
        <f t="shared" si="33"/>
        <v>0</v>
      </c>
      <c r="U189" s="3" t="str">
        <f t="shared" si="34"/>
        <v/>
      </c>
      <c r="V189" s="3" t="str">
        <f t="shared" si="35"/>
        <v/>
      </c>
      <c r="W189" s="3" t="str">
        <f t="shared" si="36"/>
        <v/>
      </c>
      <c r="X189" s="3" t="str">
        <f t="shared" si="37"/>
        <v/>
      </c>
      <c r="Y189" s="3" t="str">
        <f t="shared" si="38"/>
        <v>YES</v>
      </c>
    </row>
    <row r="190" spans="1:25">
      <c r="A190" t="s">
        <v>259</v>
      </c>
      <c r="B190">
        <v>100</v>
      </c>
      <c r="C190">
        <v>5</v>
      </c>
      <c r="D190">
        <v>1000</v>
      </c>
      <c r="E190">
        <v>1</v>
      </c>
      <c r="F190" t="s">
        <v>69</v>
      </c>
      <c r="G190" t="s">
        <v>70</v>
      </c>
      <c r="H190" s="2">
        <v>15</v>
      </c>
      <c r="I190" s="2">
        <v>15</v>
      </c>
      <c r="J190" s="2">
        <v>15</v>
      </c>
      <c r="K190" s="2">
        <v>17</v>
      </c>
      <c r="L190" s="2">
        <v>13</v>
      </c>
      <c r="M190" s="2">
        <f t="shared" si="26"/>
        <v>13</v>
      </c>
      <c r="N190" t="e">
        <f t="shared" ca="1" si="27"/>
        <v>#NAME?</v>
      </c>
      <c r="O190" t="str">
        <f t="shared" si="28"/>
        <v>MSIG Cost</v>
      </c>
      <c r="P190" s="2">
        <f t="shared" si="29"/>
        <v>15.384615384615385</v>
      </c>
      <c r="Q190" s="2">
        <f t="shared" si="30"/>
        <v>15.384615384615385</v>
      </c>
      <c r="R190" s="2">
        <f t="shared" si="31"/>
        <v>15.384615384615385</v>
      </c>
      <c r="S190" s="2">
        <f t="shared" si="32"/>
        <v>30.76923076923077</v>
      </c>
      <c r="T190" s="2">
        <f t="shared" si="33"/>
        <v>0</v>
      </c>
      <c r="U190" s="3" t="str">
        <f t="shared" si="34"/>
        <v/>
      </c>
      <c r="V190" s="3" t="str">
        <f t="shared" si="35"/>
        <v/>
      </c>
      <c r="W190" s="3" t="str">
        <f t="shared" si="36"/>
        <v/>
      </c>
      <c r="X190" s="3" t="str">
        <f t="shared" si="37"/>
        <v/>
      </c>
      <c r="Y190" s="3" t="str">
        <f t="shared" si="38"/>
        <v>YES</v>
      </c>
    </row>
    <row r="191" spans="1:25">
      <c r="A191" t="s">
        <v>260</v>
      </c>
      <c r="B191">
        <v>100</v>
      </c>
      <c r="C191">
        <v>5</v>
      </c>
      <c r="D191">
        <v>1000</v>
      </c>
      <c r="E191">
        <v>1</v>
      </c>
      <c r="F191" t="s">
        <v>69</v>
      </c>
      <c r="G191" t="s">
        <v>70</v>
      </c>
      <c r="H191" s="2">
        <v>14</v>
      </c>
      <c r="I191" s="2">
        <v>14</v>
      </c>
      <c r="J191" s="2">
        <v>14</v>
      </c>
      <c r="K191" s="2">
        <v>17</v>
      </c>
      <c r="L191" s="2">
        <v>13</v>
      </c>
      <c r="M191" s="2">
        <f t="shared" si="26"/>
        <v>13</v>
      </c>
      <c r="N191" t="e">
        <f t="shared" ca="1" si="27"/>
        <v>#NAME?</v>
      </c>
      <c r="O191" t="str">
        <f t="shared" si="28"/>
        <v>MSIG Cost</v>
      </c>
      <c r="P191" s="2">
        <f t="shared" si="29"/>
        <v>7.6923076923076925</v>
      </c>
      <c r="Q191" s="2">
        <f t="shared" si="30"/>
        <v>7.6923076923076925</v>
      </c>
      <c r="R191" s="2">
        <f t="shared" si="31"/>
        <v>7.6923076923076925</v>
      </c>
      <c r="S191" s="2">
        <f t="shared" si="32"/>
        <v>30.76923076923077</v>
      </c>
      <c r="T191" s="2">
        <f t="shared" si="33"/>
        <v>0</v>
      </c>
      <c r="U191" s="3" t="str">
        <f t="shared" si="34"/>
        <v/>
      </c>
      <c r="V191" s="3" t="str">
        <f t="shared" si="35"/>
        <v/>
      </c>
      <c r="W191" s="3" t="str">
        <f t="shared" si="36"/>
        <v/>
      </c>
      <c r="X191" s="3" t="str">
        <f t="shared" si="37"/>
        <v/>
      </c>
      <c r="Y191" s="3" t="str">
        <f t="shared" si="38"/>
        <v>YES</v>
      </c>
    </row>
    <row r="192" spans="1:25">
      <c r="A192" t="s">
        <v>261</v>
      </c>
      <c r="B192">
        <v>100</v>
      </c>
      <c r="C192">
        <v>5</v>
      </c>
      <c r="D192">
        <v>1000</v>
      </c>
      <c r="E192">
        <v>10</v>
      </c>
      <c r="F192" t="s">
        <v>69</v>
      </c>
      <c r="G192" t="s">
        <v>70</v>
      </c>
      <c r="H192" s="2">
        <v>299</v>
      </c>
      <c r="I192" s="2">
        <v>306</v>
      </c>
      <c r="J192" s="2">
        <v>296</v>
      </c>
      <c r="K192" s="2">
        <v>258</v>
      </c>
      <c r="L192" s="2">
        <v>188</v>
      </c>
      <c r="M192" s="2">
        <f t="shared" si="26"/>
        <v>188</v>
      </c>
      <c r="N192" t="e">
        <f t="shared" ca="1" si="27"/>
        <v>#NAME?</v>
      </c>
      <c r="O192" t="str">
        <f t="shared" si="28"/>
        <v>MSIG Cost</v>
      </c>
      <c r="P192" s="2">
        <f t="shared" si="29"/>
        <v>59.042553191489368</v>
      </c>
      <c r="Q192" s="2">
        <f t="shared" si="30"/>
        <v>62.765957446808507</v>
      </c>
      <c r="R192" s="2">
        <f t="shared" si="31"/>
        <v>57.446808510638306</v>
      </c>
      <c r="S192" s="2">
        <f t="shared" si="32"/>
        <v>37.234042553191486</v>
      </c>
      <c r="T192" s="2">
        <f t="shared" si="33"/>
        <v>0</v>
      </c>
      <c r="U192" s="3" t="str">
        <f t="shared" si="34"/>
        <v/>
      </c>
      <c r="V192" s="3" t="str">
        <f t="shared" si="35"/>
        <v/>
      </c>
      <c r="W192" s="3" t="str">
        <f t="shared" si="36"/>
        <v/>
      </c>
      <c r="X192" s="3" t="str">
        <f t="shared" si="37"/>
        <v/>
      </c>
      <c r="Y192" s="3" t="str">
        <f t="shared" si="38"/>
        <v>YES</v>
      </c>
    </row>
    <row r="193" spans="1:25">
      <c r="A193" t="s">
        <v>262</v>
      </c>
      <c r="B193">
        <v>100</v>
      </c>
      <c r="C193">
        <v>5</v>
      </c>
      <c r="D193">
        <v>1000</v>
      </c>
      <c r="E193">
        <v>10</v>
      </c>
      <c r="F193" t="s">
        <v>69</v>
      </c>
      <c r="G193" t="s">
        <v>70</v>
      </c>
      <c r="H193" s="2">
        <v>245</v>
      </c>
      <c r="I193" s="2">
        <v>245</v>
      </c>
      <c r="J193" s="2">
        <v>244</v>
      </c>
      <c r="K193" s="2">
        <v>227</v>
      </c>
      <c r="L193" s="2">
        <v>157</v>
      </c>
      <c r="M193" s="2">
        <f t="shared" si="26"/>
        <v>157</v>
      </c>
      <c r="N193" t="e">
        <f t="shared" ca="1" si="27"/>
        <v>#NAME?</v>
      </c>
      <c r="O193" t="str">
        <f t="shared" si="28"/>
        <v>MSIG Cost</v>
      </c>
      <c r="P193" s="2">
        <f t="shared" si="29"/>
        <v>56.050955414012741</v>
      </c>
      <c r="Q193" s="2">
        <f t="shared" si="30"/>
        <v>56.050955414012741</v>
      </c>
      <c r="R193" s="2">
        <f t="shared" si="31"/>
        <v>55.414012738853501</v>
      </c>
      <c r="S193" s="2">
        <f t="shared" si="32"/>
        <v>44.585987261146499</v>
      </c>
      <c r="T193" s="2">
        <f t="shared" si="33"/>
        <v>0</v>
      </c>
      <c r="U193" s="3" t="str">
        <f t="shared" si="34"/>
        <v/>
      </c>
      <c r="V193" s="3" t="str">
        <f t="shared" si="35"/>
        <v/>
      </c>
      <c r="W193" s="3" t="str">
        <f t="shared" si="36"/>
        <v/>
      </c>
      <c r="X193" s="3" t="str">
        <f t="shared" si="37"/>
        <v/>
      </c>
      <c r="Y193" s="3" t="str">
        <f t="shared" si="38"/>
        <v>YES</v>
      </c>
    </row>
    <row r="194" spans="1:25">
      <c r="A194" t="s">
        <v>263</v>
      </c>
      <c r="B194">
        <v>200</v>
      </c>
      <c r="C194">
        <v>10</v>
      </c>
      <c r="D194">
        <v>1000</v>
      </c>
      <c r="E194">
        <v>1</v>
      </c>
      <c r="F194" t="s">
        <v>69</v>
      </c>
      <c r="G194" t="s">
        <v>70</v>
      </c>
      <c r="H194" s="2">
        <v>68</v>
      </c>
      <c r="I194" s="2">
        <v>68</v>
      </c>
      <c r="J194" s="2">
        <v>69</v>
      </c>
      <c r="K194" s="2">
        <v>58</v>
      </c>
      <c r="L194" s="2">
        <v>59</v>
      </c>
      <c r="M194" s="2">
        <f t="shared" ref="M194:M257" si="39">MIN(H194:L194)</f>
        <v>58</v>
      </c>
      <c r="N194" t="e">
        <f t="shared" ref="N194:N257" ca="1" si="40">_xludf.TEXTJOIN(", ",TRUE,IF(H194=M194,"S-FFD",""),IF(I194=M194,"S-BFD",""),IF(J194=M194,"S-WFD",""),IF(K194=M194,"Best C-TP",""),IF(L194=M194,"MSIG",""))</f>
        <v>#NAME?</v>
      </c>
      <c r="O194" t="str">
        <f t="shared" ref="O194:O257" si="41">IF(COUNTIF(H194:L194,M194)=1,INDEX($H$1:$L$1,1,MATCH(M194,H194:L194,0)),"")</f>
        <v>Best C-TP Cost</v>
      </c>
      <c r="P194" s="2">
        <f t="shared" ref="P194:P257" si="42">(H194-$M194)/$M194*100</f>
        <v>17.241379310344829</v>
      </c>
      <c r="Q194" s="2">
        <f t="shared" ref="Q194:Q257" si="43">(I194-$M194)/$M194*100</f>
        <v>17.241379310344829</v>
      </c>
      <c r="R194" s="2">
        <f t="shared" ref="R194:R257" si="44">(J194-$M194)/$M194*100</f>
        <v>18.96551724137931</v>
      </c>
      <c r="S194" s="2">
        <f t="shared" ref="S194:S257" si="45">(K194-$M194)/$M194*100</f>
        <v>0</v>
      </c>
      <c r="T194" s="2">
        <f t="shared" ref="T194:T257" si="46">(L194-$M194)/$M194*100</f>
        <v>1.7241379310344827</v>
      </c>
      <c r="U194" s="3" t="str">
        <f t="shared" ref="U194:U257" si="47">IF(H194=$M194,"YES","")</f>
        <v/>
      </c>
      <c r="V194" s="3" t="str">
        <f t="shared" ref="V194:V257" si="48">IF(I194=$M194,"YES","")</f>
        <v/>
      </c>
      <c r="W194" s="3" t="str">
        <f t="shared" ref="W194:W257" si="49">IF(J194=$M194,"YES","")</f>
        <v/>
      </c>
      <c r="X194" s="3" t="str">
        <f t="shared" ref="X194:X257" si="50">IF(K194=$M194,"YES","")</f>
        <v>YES</v>
      </c>
      <c r="Y194" s="3" t="str">
        <f t="shared" ref="Y194:Y257" si="51">IF(L194=$M194,"YES","")</f>
        <v/>
      </c>
    </row>
    <row r="195" spans="1:25">
      <c r="A195" t="s">
        <v>264</v>
      </c>
      <c r="B195">
        <v>200</v>
      </c>
      <c r="C195">
        <v>10</v>
      </c>
      <c r="D195">
        <v>1000</v>
      </c>
      <c r="E195">
        <v>1</v>
      </c>
      <c r="F195" t="s">
        <v>69</v>
      </c>
      <c r="G195" t="s">
        <v>70</v>
      </c>
      <c r="H195" s="2">
        <v>69</v>
      </c>
      <c r="I195" s="2">
        <v>70</v>
      </c>
      <c r="J195" s="2">
        <v>71</v>
      </c>
      <c r="K195" s="2">
        <v>60</v>
      </c>
      <c r="L195" s="2">
        <v>59</v>
      </c>
      <c r="M195" s="2">
        <f t="shared" si="39"/>
        <v>59</v>
      </c>
      <c r="N195" t="e">
        <f t="shared" ca="1" si="40"/>
        <v>#NAME?</v>
      </c>
      <c r="O195" t="str">
        <f t="shared" si="41"/>
        <v>MSIG Cost</v>
      </c>
      <c r="P195" s="2">
        <f t="shared" si="42"/>
        <v>16.949152542372879</v>
      </c>
      <c r="Q195" s="2">
        <f t="shared" si="43"/>
        <v>18.64406779661017</v>
      </c>
      <c r="R195" s="2">
        <f t="shared" si="44"/>
        <v>20.33898305084746</v>
      </c>
      <c r="S195" s="2">
        <f t="shared" si="45"/>
        <v>1.6949152542372881</v>
      </c>
      <c r="T195" s="2">
        <f t="shared" si="46"/>
        <v>0</v>
      </c>
      <c r="U195" s="3" t="str">
        <f t="shared" si="47"/>
        <v/>
      </c>
      <c r="V195" s="3" t="str">
        <f t="shared" si="48"/>
        <v/>
      </c>
      <c r="W195" s="3" t="str">
        <f t="shared" si="49"/>
        <v/>
      </c>
      <c r="X195" s="3" t="str">
        <f t="shared" si="50"/>
        <v/>
      </c>
      <c r="Y195" s="3" t="str">
        <f t="shared" si="51"/>
        <v>YES</v>
      </c>
    </row>
    <row r="196" spans="1:25">
      <c r="A196" t="s">
        <v>265</v>
      </c>
      <c r="B196">
        <v>200</v>
      </c>
      <c r="C196">
        <v>10</v>
      </c>
      <c r="D196">
        <v>1000</v>
      </c>
      <c r="E196">
        <v>10</v>
      </c>
      <c r="F196" t="s">
        <v>69</v>
      </c>
      <c r="G196" t="s">
        <v>70</v>
      </c>
      <c r="H196" s="2">
        <v>1243</v>
      </c>
      <c r="I196" s="2">
        <v>1267</v>
      </c>
      <c r="J196" s="2">
        <v>1253</v>
      </c>
      <c r="K196" s="2">
        <v>831</v>
      </c>
      <c r="L196" s="2">
        <v>797</v>
      </c>
      <c r="M196" s="2">
        <f t="shared" si="39"/>
        <v>797</v>
      </c>
      <c r="N196" t="e">
        <f t="shared" ca="1" si="40"/>
        <v>#NAME?</v>
      </c>
      <c r="O196" t="str">
        <f t="shared" si="41"/>
        <v>MSIG Cost</v>
      </c>
      <c r="P196" s="2">
        <f t="shared" si="42"/>
        <v>55.959849435382679</v>
      </c>
      <c r="Q196" s="2">
        <f t="shared" si="43"/>
        <v>58.971141781681304</v>
      </c>
      <c r="R196" s="2">
        <f t="shared" si="44"/>
        <v>57.214554579673781</v>
      </c>
      <c r="S196" s="2">
        <f t="shared" si="45"/>
        <v>4.2659974905897116</v>
      </c>
      <c r="T196" s="2">
        <f t="shared" si="46"/>
        <v>0</v>
      </c>
      <c r="U196" s="3" t="str">
        <f t="shared" si="47"/>
        <v/>
      </c>
      <c r="V196" s="3" t="str">
        <f t="shared" si="48"/>
        <v/>
      </c>
      <c r="W196" s="3" t="str">
        <f t="shared" si="49"/>
        <v/>
      </c>
      <c r="X196" s="3" t="str">
        <f t="shared" si="50"/>
        <v/>
      </c>
      <c r="Y196" s="3" t="str">
        <f t="shared" si="51"/>
        <v>YES</v>
      </c>
    </row>
    <row r="197" spans="1:25">
      <c r="A197" t="s">
        <v>266</v>
      </c>
      <c r="B197">
        <v>200</v>
      </c>
      <c r="C197">
        <v>10</v>
      </c>
      <c r="D197">
        <v>1000</v>
      </c>
      <c r="E197">
        <v>10</v>
      </c>
      <c r="F197" t="s">
        <v>69</v>
      </c>
      <c r="G197" t="s">
        <v>70</v>
      </c>
      <c r="H197" s="2">
        <v>1120</v>
      </c>
      <c r="I197" s="2">
        <v>1111</v>
      </c>
      <c r="J197" s="2">
        <v>1134</v>
      </c>
      <c r="K197" s="2">
        <v>804</v>
      </c>
      <c r="L197" s="2">
        <v>740</v>
      </c>
      <c r="M197" s="2">
        <f t="shared" si="39"/>
        <v>740</v>
      </c>
      <c r="N197" t="e">
        <f t="shared" ca="1" si="40"/>
        <v>#NAME?</v>
      </c>
      <c r="O197" t="str">
        <f t="shared" si="41"/>
        <v>MSIG Cost</v>
      </c>
      <c r="P197" s="2">
        <f t="shared" si="42"/>
        <v>51.351351351351347</v>
      </c>
      <c r="Q197" s="2">
        <f t="shared" si="43"/>
        <v>50.135135135135137</v>
      </c>
      <c r="R197" s="2">
        <f t="shared" si="44"/>
        <v>53.243243243243242</v>
      </c>
      <c r="S197" s="2">
        <f t="shared" si="45"/>
        <v>8.6486486486486491</v>
      </c>
      <c r="T197" s="2">
        <f t="shared" si="46"/>
        <v>0</v>
      </c>
      <c r="U197" s="3" t="str">
        <f t="shared" si="47"/>
        <v/>
      </c>
      <c r="V197" s="3" t="str">
        <f t="shared" si="48"/>
        <v/>
      </c>
      <c r="W197" s="3" t="str">
        <f t="shared" si="49"/>
        <v/>
      </c>
      <c r="X197" s="3" t="str">
        <f t="shared" si="50"/>
        <v/>
      </c>
      <c r="Y197" s="3" t="str">
        <f t="shared" si="51"/>
        <v>YES</v>
      </c>
    </row>
    <row r="198" spans="1:25">
      <c r="A198" t="s">
        <v>267</v>
      </c>
      <c r="B198">
        <v>200</v>
      </c>
      <c r="C198">
        <v>10</v>
      </c>
      <c r="D198">
        <v>1000</v>
      </c>
      <c r="E198">
        <v>1</v>
      </c>
      <c r="F198" t="s">
        <v>69</v>
      </c>
      <c r="G198" t="s">
        <v>70</v>
      </c>
      <c r="H198" s="2">
        <v>56</v>
      </c>
      <c r="I198" s="2">
        <v>55</v>
      </c>
      <c r="J198" s="2">
        <v>56</v>
      </c>
      <c r="K198" s="2">
        <v>52</v>
      </c>
      <c r="L198" s="2">
        <v>51</v>
      </c>
      <c r="M198" s="2">
        <f t="shared" si="39"/>
        <v>51</v>
      </c>
      <c r="N198" t="e">
        <f t="shared" ca="1" si="40"/>
        <v>#NAME?</v>
      </c>
      <c r="O198" t="str">
        <f t="shared" si="41"/>
        <v>MSIG Cost</v>
      </c>
      <c r="P198" s="2">
        <f t="shared" si="42"/>
        <v>9.8039215686274517</v>
      </c>
      <c r="Q198" s="2">
        <f t="shared" si="43"/>
        <v>7.8431372549019605</v>
      </c>
      <c r="R198" s="2">
        <f t="shared" si="44"/>
        <v>9.8039215686274517</v>
      </c>
      <c r="S198" s="2">
        <f t="shared" si="45"/>
        <v>1.9607843137254901</v>
      </c>
      <c r="T198" s="2">
        <f t="shared" si="46"/>
        <v>0</v>
      </c>
      <c r="U198" s="3" t="str">
        <f t="shared" si="47"/>
        <v/>
      </c>
      <c r="V198" s="3" t="str">
        <f t="shared" si="48"/>
        <v/>
      </c>
      <c r="W198" s="3" t="str">
        <f t="shared" si="49"/>
        <v/>
      </c>
      <c r="X198" s="3" t="str">
        <f t="shared" si="50"/>
        <v/>
      </c>
      <c r="Y198" s="3" t="str">
        <f t="shared" si="51"/>
        <v>YES</v>
      </c>
    </row>
    <row r="199" spans="1:25">
      <c r="A199" t="s">
        <v>268</v>
      </c>
      <c r="B199">
        <v>200</v>
      </c>
      <c r="C199">
        <v>10</v>
      </c>
      <c r="D199">
        <v>1000</v>
      </c>
      <c r="E199">
        <v>1</v>
      </c>
      <c r="F199" t="s">
        <v>69</v>
      </c>
      <c r="G199" t="s">
        <v>70</v>
      </c>
      <c r="H199" s="2">
        <v>56</v>
      </c>
      <c r="I199" s="2">
        <v>56</v>
      </c>
      <c r="J199" s="2">
        <v>56</v>
      </c>
      <c r="K199" s="2">
        <v>54</v>
      </c>
      <c r="L199" s="2">
        <v>52</v>
      </c>
      <c r="M199" s="2">
        <f t="shared" si="39"/>
        <v>52</v>
      </c>
      <c r="N199" t="e">
        <f t="shared" ca="1" si="40"/>
        <v>#NAME?</v>
      </c>
      <c r="O199" t="str">
        <f t="shared" si="41"/>
        <v>MSIG Cost</v>
      </c>
      <c r="P199" s="2">
        <f t="shared" si="42"/>
        <v>7.6923076923076925</v>
      </c>
      <c r="Q199" s="2">
        <f t="shared" si="43"/>
        <v>7.6923076923076925</v>
      </c>
      <c r="R199" s="2">
        <f t="shared" si="44"/>
        <v>7.6923076923076925</v>
      </c>
      <c r="S199" s="2">
        <f t="shared" si="45"/>
        <v>3.8461538461538463</v>
      </c>
      <c r="T199" s="2">
        <f t="shared" si="46"/>
        <v>0</v>
      </c>
      <c r="U199" s="3" t="str">
        <f t="shared" si="47"/>
        <v/>
      </c>
      <c r="V199" s="3" t="str">
        <f t="shared" si="48"/>
        <v/>
      </c>
      <c r="W199" s="3" t="str">
        <f t="shared" si="49"/>
        <v/>
      </c>
      <c r="X199" s="3" t="str">
        <f t="shared" si="50"/>
        <v/>
      </c>
      <c r="Y199" s="3" t="str">
        <f t="shared" si="51"/>
        <v>YES</v>
      </c>
    </row>
    <row r="200" spans="1:25">
      <c r="A200" t="s">
        <v>269</v>
      </c>
      <c r="B200">
        <v>200</v>
      </c>
      <c r="C200">
        <v>10</v>
      </c>
      <c r="D200">
        <v>1000</v>
      </c>
      <c r="E200">
        <v>10</v>
      </c>
      <c r="F200" t="s">
        <v>69</v>
      </c>
      <c r="G200" t="s">
        <v>70</v>
      </c>
      <c r="H200" s="2">
        <v>1203</v>
      </c>
      <c r="I200" s="2">
        <v>1194</v>
      </c>
      <c r="J200" s="2">
        <v>1192</v>
      </c>
      <c r="K200" s="2">
        <v>753</v>
      </c>
      <c r="L200" s="2">
        <v>724</v>
      </c>
      <c r="M200" s="2">
        <f t="shared" si="39"/>
        <v>724</v>
      </c>
      <c r="N200" t="e">
        <f t="shared" ca="1" si="40"/>
        <v>#NAME?</v>
      </c>
      <c r="O200" t="str">
        <f t="shared" si="41"/>
        <v>MSIG Cost</v>
      </c>
      <c r="P200" s="2">
        <f t="shared" si="42"/>
        <v>66.160220994475139</v>
      </c>
      <c r="Q200" s="2">
        <f t="shared" si="43"/>
        <v>64.917127071823202</v>
      </c>
      <c r="R200" s="2">
        <f t="shared" si="44"/>
        <v>64.640883977900558</v>
      </c>
      <c r="S200" s="2">
        <f t="shared" si="45"/>
        <v>4.0055248618784534</v>
      </c>
      <c r="T200" s="2">
        <f t="shared" si="46"/>
        <v>0</v>
      </c>
      <c r="U200" s="3" t="str">
        <f t="shared" si="47"/>
        <v/>
      </c>
      <c r="V200" s="3" t="str">
        <f t="shared" si="48"/>
        <v/>
      </c>
      <c r="W200" s="3" t="str">
        <f t="shared" si="49"/>
        <v/>
      </c>
      <c r="X200" s="3" t="str">
        <f t="shared" si="50"/>
        <v/>
      </c>
      <c r="Y200" s="3" t="str">
        <f t="shared" si="51"/>
        <v>YES</v>
      </c>
    </row>
    <row r="201" spans="1:25">
      <c r="A201" t="s">
        <v>270</v>
      </c>
      <c r="B201">
        <v>200</v>
      </c>
      <c r="C201">
        <v>10</v>
      </c>
      <c r="D201">
        <v>1000</v>
      </c>
      <c r="E201">
        <v>10</v>
      </c>
      <c r="F201" t="s">
        <v>69</v>
      </c>
      <c r="G201" t="s">
        <v>70</v>
      </c>
      <c r="H201" s="2">
        <v>950</v>
      </c>
      <c r="I201" s="2">
        <v>943</v>
      </c>
      <c r="J201" s="2">
        <v>961</v>
      </c>
      <c r="K201" s="2">
        <v>728</v>
      </c>
      <c r="L201" s="2">
        <v>638</v>
      </c>
      <c r="M201" s="2">
        <f t="shared" si="39"/>
        <v>638</v>
      </c>
      <c r="N201" t="e">
        <f t="shared" ca="1" si="40"/>
        <v>#NAME?</v>
      </c>
      <c r="O201" t="str">
        <f t="shared" si="41"/>
        <v>MSIG Cost</v>
      </c>
      <c r="P201" s="2">
        <f t="shared" si="42"/>
        <v>48.902821316614421</v>
      </c>
      <c r="Q201" s="2">
        <f t="shared" si="43"/>
        <v>47.805642633228842</v>
      </c>
      <c r="R201" s="2">
        <f t="shared" si="44"/>
        <v>50.626959247648905</v>
      </c>
      <c r="S201" s="2">
        <f t="shared" si="45"/>
        <v>14.106583072100312</v>
      </c>
      <c r="T201" s="2">
        <f t="shared" si="46"/>
        <v>0</v>
      </c>
      <c r="U201" s="3" t="str">
        <f t="shared" si="47"/>
        <v/>
      </c>
      <c r="V201" s="3" t="str">
        <f t="shared" si="48"/>
        <v/>
      </c>
      <c r="W201" s="3" t="str">
        <f t="shared" si="49"/>
        <v/>
      </c>
      <c r="X201" s="3" t="str">
        <f t="shared" si="50"/>
        <v/>
      </c>
      <c r="Y201" s="3" t="str">
        <f t="shared" si="51"/>
        <v>YES</v>
      </c>
    </row>
    <row r="202" spans="1:25">
      <c r="A202" t="s">
        <v>271</v>
      </c>
      <c r="B202">
        <v>200</v>
      </c>
      <c r="C202">
        <v>10</v>
      </c>
      <c r="D202">
        <v>1000</v>
      </c>
      <c r="E202">
        <v>1</v>
      </c>
      <c r="F202" t="s">
        <v>91</v>
      </c>
      <c r="G202" t="s">
        <v>70</v>
      </c>
      <c r="H202" s="2">
        <v>39</v>
      </c>
      <c r="I202" s="2">
        <v>41</v>
      </c>
      <c r="J202" s="2">
        <v>41</v>
      </c>
      <c r="K202" s="2">
        <v>31</v>
      </c>
      <c r="L202" s="2">
        <v>30</v>
      </c>
      <c r="M202" s="2">
        <f t="shared" si="39"/>
        <v>30</v>
      </c>
      <c r="N202" t="e">
        <f t="shared" ca="1" si="40"/>
        <v>#NAME?</v>
      </c>
      <c r="O202" t="str">
        <f t="shared" si="41"/>
        <v>MSIG Cost</v>
      </c>
      <c r="P202" s="2">
        <f t="shared" si="42"/>
        <v>30</v>
      </c>
      <c r="Q202" s="2">
        <f t="shared" si="43"/>
        <v>36.666666666666664</v>
      </c>
      <c r="R202" s="2">
        <f t="shared" si="44"/>
        <v>36.666666666666664</v>
      </c>
      <c r="S202" s="2">
        <f t="shared" si="45"/>
        <v>3.3333333333333335</v>
      </c>
      <c r="T202" s="2">
        <f t="shared" si="46"/>
        <v>0</v>
      </c>
      <c r="U202" s="3" t="str">
        <f t="shared" si="47"/>
        <v/>
      </c>
      <c r="V202" s="3" t="str">
        <f t="shared" si="48"/>
        <v/>
      </c>
      <c r="W202" s="3" t="str">
        <f t="shared" si="49"/>
        <v/>
      </c>
      <c r="X202" s="3" t="str">
        <f t="shared" si="50"/>
        <v/>
      </c>
      <c r="Y202" s="3" t="str">
        <f t="shared" si="51"/>
        <v>YES</v>
      </c>
    </row>
    <row r="203" spans="1:25">
      <c r="A203" t="s">
        <v>272</v>
      </c>
      <c r="B203">
        <v>200</v>
      </c>
      <c r="C203">
        <v>10</v>
      </c>
      <c r="D203">
        <v>1000</v>
      </c>
      <c r="E203">
        <v>1</v>
      </c>
      <c r="F203" t="s">
        <v>69</v>
      </c>
      <c r="G203" t="s">
        <v>70</v>
      </c>
      <c r="H203" s="2">
        <v>41</v>
      </c>
      <c r="I203" s="2">
        <v>42</v>
      </c>
      <c r="J203" s="2">
        <v>42</v>
      </c>
      <c r="K203" s="2">
        <v>34</v>
      </c>
      <c r="L203" s="2">
        <v>30</v>
      </c>
      <c r="M203" s="2">
        <f t="shared" si="39"/>
        <v>30</v>
      </c>
      <c r="N203" t="e">
        <f t="shared" ca="1" si="40"/>
        <v>#NAME?</v>
      </c>
      <c r="O203" t="str">
        <f t="shared" si="41"/>
        <v>MSIG Cost</v>
      </c>
      <c r="P203" s="2">
        <f t="shared" si="42"/>
        <v>36.666666666666664</v>
      </c>
      <c r="Q203" s="2">
        <f t="shared" si="43"/>
        <v>40</v>
      </c>
      <c r="R203" s="2">
        <f t="shared" si="44"/>
        <v>40</v>
      </c>
      <c r="S203" s="2">
        <f t="shared" si="45"/>
        <v>13.333333333333334</v>
      </c>
      <c r="T203" s="2">
        <f t="shared" si="46"/>
        <v>0</v>
      </c>
      <c r="U203" s="3" t="str">
        <f t="shared" si="47"/>
        <v/>
      </c>
      <c r="V203" s="3" t="str">
        <f t="shared" si="48"/>
        <v/>
      </c>
      <c r="W203" s="3" t="str">
        <f t="shared" si="49"/>
        <v/>
      </c>
      <c r="X203" s="3" t="str">
        <f t="shared" si="50"/>
        <v/>
      </c>
      <c r="Y203" s="3" t="str">
        <f t="shared" si="51"/>
        <v>YES</v>
      </c>
    </row>
    <row r="204" spans="1:25">
      <c r="A204" t="s">
        <v>273</v>
      </c>
      <c r="B204">
        <v>200</v>
      </c>
      <c r="C204">
        <v>10</v>
      </c>
      <c r="D204">
        <v>1000</v>
      </c>
      <c r="E204">
        <v>10</v>
      </c>
      <c r="F204" t="s">
        <v>69</v>
      </c>
      <c r="G204" t="s">
        <v>70</v>
      </c>
      <c r="H204" s="2">
        <v>682</v>
      </c>
      <c r="I204" s="2">
        <v>706</v>
      </c>
      <c r="J204" s="2">
        <v>696</v>
      </c>
      <c r="K204" s="2">
        <v>462</v>
      </c>
      <c r="L204" s="2">
        <v>387</v>
      </c>
      <c r="M204" s="2">
        <f t="shared" si="39"/>
        <v>387</v>
      </c>
      <c r="N204" t="e">
        <f t="shared" ca="1" si="40"/>
        <v>#NAME?</v>
      </c>
      <c r="O204" t="str">
        <f t="shared" si="41"/>
        <v>MSIG Cost</v>
      </c>
      <c r="P204" s="2">
        <f t="shared" si="42"/>
        <v>76.227390180878558</v>
      </c>
      <c r="Q204" s="2">
        <f t="shared" si="43"/>
        <v>82.428940568475454</v>
      </c>
      <c r="R204" s="2">
        <f t="shared" si="44"/>
        <v>79.84496124031007</v>
      </c>
      <c r="S204" s="2">
        <f t="shared" si="45"/>
        <v>19.379844961240313</v>
      </c>
      <c r="T204" s="2">
        <f t="shared" si="46"/>
        <v>0</v>
      </c>
      <c r="U204" s="3" t="str">
        <f t="shared" si="47"/>
        <v/>
      </c>
      <c r="V204" s="3" t="str">
        <f t="shared" si="48"/>
        <v/>
      </c>
      <c r="W204" s="3" t="str">
        <f t="shared" si="49"/>
        <v/>
      </c>
      <c r="X204" s="3" t="str">
        <f t="shared" si="50"/>
        <v/>
      </c>
      <c r="Y204" s="3" t="str">
        <f t="shared" si="51"/>
        <v>YES</v>
      </c>
    </row>
    <row r="205" spans="1:25">
      <c r="A205" t="s">
        <v>274</v>
      </c>
      <c r="B205">
        <v>200</v>
      </c>
      <c r="C205">
        <v>10</v>
      </c>
      <c r="D205">
        <v>1000</v>
      </c>
      <c r="E205">
        <v>10</v>
      </c>
      <c r="F205" t="s">
        <v>69</v>
      </c>
      <c r="G205" t="s">
        <v>70</v>
      </c>
      <c r="H205" s="2">
        <v>722</v>
      </c>
      <c r="I205" s="2">
        <v>750</v>
      </c>
      <c r="J205" s="2">
        <v>691</v>
      </c>
      <c r="K205" s="2">
        <v>471</v>
      </c>
      <c r="L205" s="2">
        <v>401</v>
      </c>
      <c r="M205" s="2">
        <f t="shared" si="39"/>
        <v>401</v>
      </c>
      <c r="N205" t="e">
        <f t="shared" ca="1" si="40"/>
        <v>#NAME?</v>
      </c>
      <c r="O205" t="str">
        <f t="shared" si="41"/>
        <v>MSIG Cost</v>
      </c>
      <c r="P205" s="2">
        <f t="shared" si="42"/>
        <v>80.049875311720697</v>
      </c>
      <c r="Q205" s="2">
        <f t="shared" si="43"/>
        <v>87.032418952618457</v>
      </c>
      <c r="R205" s="2">
        <f t="shared" si="44"/>
        <v>72.319201995012477</v>
      </c>
      <c r="S205" s="2">
        <f t="shared" si="45"/>
        <v>17.456359102244392</v>
      </c>
      <c r="T205" s="2">
        <f t="shared" si="46"/>
        <v>0</v>
      </c>
      <c r="U205" s="3" t="str">
        <f t="shared" si="47"/>
        <v/>
      </c>
      <c r="V205" s="3" t="str">
        <f t="shared" si="48"/>
        <v/>
      </c>
      <c r="W205" s="3" t="str">
        <f t="shared" si="49"/>
        <v/>
      </c>
      <c r="X205" s="3" t="str">
        <f t="shared" si="50"/>
        <v/>
      </c>
      <c r="Y205" s="3" t="str">
        <f t="shared" si="51"/>
        <v>YES</v>
      </c>
    </row>
    <row r="206" spans="1:25">
      <c r="A206" t="s">
        <v>275</v>
      </c>
      <c r="B206">
        <v>200</v>
      </c>
      <c r="C206">
        <v>10</v>
      </c>
      <c r="D206">
        <v>1000</v>
      </c>
      <c r="E206">
        <v>1</v>
      </c>
      <c r="F206" t="s">
        <v>91</v>
      </c>
      <c r="G206" t="s">
        <v>70</v>
      </c>
      <c r="H206" s="2">
        <v>29</v>
      </c>
      <c r="I206" s="2">
        <v>29</v>
      </c>
      <c r="J206" s="2">
        <v>28</v>
      </c>
      <c r="K206" s="2">
        <v>29</v>
      </c>
      <c r="L206" s="2">
        <v>24</v>
      </c>
      <c r="M206" s="2">
        <f t="shared" si="39"/>
        <v>24</v>
      </c>
      <c r="N206" t="e">
        <f t="shared" ca="1" si="40"/>
        <v>#NAME?</v>
      </c>
      <c r="O206" t="str">
        <f t="shared" si="41"/>
        <v>MSIG Cost</v>
      </c>
      <c r="P206" s="2">
        <f t="shared" si="42"/>
        <v>20.833333333333336</v>
      </c>
      <c r="Q206" s="2">
        <f t="shared" si="43"/>
        <v>20.833333333333336</v>
      </c>
      <c r="R206" s="2">
        <f t="shared" si="44"/>
        <v>16.666666666666664</v>
      </c>
      <c r="S206" s="2">
        <f t="shared" si="45"/>
        <v>20.833333333333336</v>
      </c>
      <c r="T206" s="2">
        <f t="shared" si="46"/>
        <v>0</v>
      </c>
      <c r="U206" s="3" t="str">
        <f t="shared" si="47"/>
        <v/>
      </c>
      <c r="V206" s="3" t="str">
        <f t="shared" si="48"/>
        <v/>
      </c>
      <c r="W206" s="3" t="str">
        <f t="shared" si="49"/>
        <v/>
      </c>
      <c r="X206" s="3" t="str">
        <f t="shared" si="50"/>
        <v/>
      </c>
      <c r="Y206" s="3" t="str">
        <f t="shared" si="51"/>
        <v>YES</v>
      </c>
    </row>
    <row r="207" spans="1:25">
      <c r="A207" t="s">
        <v>276</v>
      </c>
      <c r="B207">
        <v>200</v>
      </c>
      <c r="C207">
        <v>10</v>
      </c>
      <c r="D207">
        <v>1000</v>
      </c>
      <c r="E207">
        <v>1</v>
      </c>
      <c r="F207" t="s">
        <v>69</v>
      </c>
      <c r="G207" t="s">
        <v>70</v>
      </c>
      <c r="H207" s="2">
        <v>30</v>
      </c>
      <c r="I207" s="2">
        <v>29</v>
      </c>
      <c r="J207" s="2">
        <v>30</v>
      </c>
      <c r="K207" s="2">
        <v>30</v>
      </c>
      <c r="L207" s="2">
        <v>25</v>
      </c>
      <c r="M207" s="2">
        <f t="shared" si="39"/>
        <v>25</v>
      </c>
      <c r="N207" t="e">
        <f t="shared" ca="1" si="40"/>
        <v>#NAME?</v>
      </c>
      <c r="O207" t="str">
        <f t="shared" si="41"/>
        <v>MSIG Cost</v>
      </c>
      <c r="P207" s="2">
        <f t="shared" si="42"/>
        <v>20</v>
      </c>
      <c r="Q207" s="2">
        <f t="shared" si="43"/>
        <v>16</v>
      </c>
      <c r="R207" s="2">
        <f t="shared" si="44"/>
        <v>20</v>
      </c>
      <c r="S207" s="2">
        <f t="shared" si="45"/>
        <v>20</v>
      </c>
      <c r="T207" s="2">
        <f t="shared" si="46"/>
        <v>0</v>
      </c>
      <c r="U207" s="3" t="str">
        <f t="shared" si="47"/>
        <v/>
      </c>
      <c r="V207" s="3" t="str">
        <f t="shared" si="48"/>
        <v/>
      </c>
      <c r="W207" s="3" t="str">
        <f t="shared" si="49"/>
        <v/>
      </c>
      <c r="X207" s="3" t="str">
        <f t="shared" si="50"/>
        <v/>
      </c>
      <c r="Y207" s="3" t="str">
        <f t="shared" si="51"/>
        <v>YES</v>
      </c>
    </row>
    <row r="208" spans="1:25">
      <c r="A208" t="s">
        <v>277</v>
      </c>
      <c r="B208">
        <v>200</v>
      </c>
      <c r="C208">
        <v>10</v>
      </c>
      <c r="D208">
        <v>1000</v>
      </c>
      <c r="E208">
        <v>10</v>
      </c>
      <c r="F208" t="s">
        <v>91</v>
      </c>
      <c r="G208" t="s">
        <v>70</v>
      </c>
      <c r="H208" s="2">
        <v>584</v>
      </c>
      <c r="I208" s="2">
        <v>586</v>
      </c>
      <c r="J208" s="2">
        <v>582</v>
      </c>
      <c r="K208" s="2">
        <v>459</v>
      </c>
      <c r="L208" s="2">
        <v>331</v>
      </c>
      <c r="M208" s="2">
        <f t="shared" si="39"/>
        <v>331</v>
      </c>
      <c r="N208" t="e">
        <f t="shared" ca="1" si="40"/>
        <v>#NAME?</v>
      </c>
      <c r="O208" t="str">
        <f t="shared" si="41"/>
        <v>MSIG Cost</v>
      </c>
      <c r="P208" s="2">
        <f t="shared" si="42"/>
        <v>76.435045317220542</v>
      </c>
      <c r="Q208" s="2">
        <f t="shared" si="43"/>
        <v>77.0392749244713</v>
      </c>
      <c r="R208" s="2">
        <f t="shared" si="44"/>
        <v>75.830815709969784</v>
      </c>
      <c r="S208" s="2">
        <f t="shared" si="45"/>
        <v>38.670694864048336</v>
      </c>
      <c r="T208" s="2">
        <f t="shared" si="46"/>
        <v>0</v>
      </c>
      <c r="U208" s="3" t="str">
        <f t="shared" si="47"/>
        <v/>
      </c>
      <c r="V208" s="3" t="str">
        <f t="shared" si="48"/>
        <v/>
      </c>
      <c r="W208" s="3" t="str">
        <f t="shared" si="49"/>
        <v/>
      </c>
      <c r="X208" s="3" t="str">
        <f t="shared" si="50"/>
        <v/>
      </c>
      <c r="Y208" s="3" t="str">
        <f t="shared" si="51"/>
        <v>YES</v>
      </c>
    </row>
    <row r="209" spans="1:25">
      <c r="A209" t="s">
        <v>278</v>
      </c>
      <c r="B209">
        <v>200</v>
      </c>
      <c r="C209">
        <v>10</v>
      </c>
      <c r="D209">
        <v>1000</v>
      </c>
      <c r="E209">
        <v>10</v>
      </c>
      <c r="F209" t="s">
        <v>91</v>
      </c>
      <c r="G209" t="s">
        <v>70</v>
      </c>
      <c r="H209" s="2">
        <v>619</v>
      </c>
      <c r="I209" s="2">
        <v>629</v>
      </c>
      <c r="J209" s="2">
        <v>616</v>
      </c>
      <c r="K209" s="2">
        <v>424</v>
      </c>
      <c r="L209" s="2">
        <v>350</v>
      </c>
      <c r="M209" s="2">
        <f t="shared" si="39"/>
        <v>350</v>
      </c>
      <c r="N209" t="e">
        <f t="shared" ca="1" si="40"/>
        <v>#NAME?</v>
      </c>
      <c r="O209" t="str">
        <f t="shared" si="41"/>
        <v>MSIG Cost</v>
      </c>
      <c r="P209" s="2">
        <f t="shared" si="42"/>
        <v>76.857142857142861</v>
      </c>
      <c r="Q209" s="2">
        <f t="shared" si="43"/>
        <v>79.714285714285722</v>
      </c>
      <c r="R209" s="2">
        <f t="shared" si="44"/>
        <v>76</v>
      </c>
      <c r="S209" s="2">
        <f t="shared" si="45"/>
        <v>21.142857142857142</v>
      </c>
      <c r="T209" s="2">
        <f t="shared" si="46"/>
        <v>0</v>
      </c>
      <c r="U209" s="3" t="str">
        <f t="shared" si="47"/>
        <v/>
      </c>
      <c r="V209" s="3" t="str">
        <f t="shared" si="48"/>
        <v/>
      </c>
      <c r="W209" s="3" t="str">
        <f t="shared" si="49"/>
        <v/>
      </c>
      <c r="X209" s="3" t="str">
        <f t="shared" si="50"/>
        <v/>
      </c>
      <c r="Y209" s="3" t="str">
        <f t="shared" si="51"/>
        <v>YES</v>
      </c>
    </row>
    <row r="210" spans="1:25">
      <c r="A210" t="s">
        <v>279</v>
      </c>
      <c r="B210">
        <v>200</v>
      </c>
      <c r="C210">
        <v>5</v>
      </c>
      <c r="D210">
        <v>1000</v>
      </c>
      <c r="E210">
        <v>1</v>
      </c>
      <c r="F210" t="s">
        <v>69</v>
      </c>
      <c r="G210" t="s">
        <v>70</v>
      </c>
      <c r="H210" s="2">
        <v>66</v>
      </c>
      <c r="I210" s="2">
        <v>66</v>
      </c>
      <c r="J210" s="2">
        <v>66</v>
      </c>
      <c r="K210" s="2">
        <v>57</v>
      </c>
      <c r="L210" s="2">
        <v>57</v>
      </c>
      <c r="M210" s="2">
        <f t="shared" si="39"/>
        <v>57</v>
      </c>
      <c r="N210" t="e">
        <f t="shared" ca="1" si="40"/>
        <v>#NAME?</v>
      </c>
      <c r="O210" t="str">
        <f t="shared" si="41"/>
        <v/>
      </c>
      <c r="P210" s="2">
        <f t="shared" si="42"/>
        <v>15.789473684210526</v>
      </c>
      <c r="Q210" s="2">
        <f t="shared" si="43"/>
        <v>15.789473684210526</v>
      </c>
      <c r="R210" s="2">
        <f t="shared" si="44"/>
        <v>15.789473684210526</v>
      </c>
      <c r="S210" s="2">
        <f t="shared" si="45"/>
        <v>0</v>
      </c>
      <c r="T210" s="2">
        <f t="shared" si="46"/>
        <v>0</v>
      </c>
      <c r="U210" s="3" t="str">
        <f t="shared" si="47"/>
        <v/>
      </c>
      <c r="V210" s="3" t="str">
        <f t="shared" si="48"/>
        <v/>
      </c>
      <c r="W210" s="3" t="str">
        <f t="shared" si="49"/>
        <v/>
      </c>
      <c r="X210" s="3" t="str">
        <f t="shared" si="50"/>
        <v>YES</v>
      </c>
      <c r="Y210" s="3" t="str">
        <f t="shared" si="51"/>
        <v>YES</v>
      </c>
    </row>
    <row r="211" spans="1:25">
      <c r="A211" t="s">
        <v>280</v>
      </c>
      <c r="B211">
        <v>200</v>
      </c>
      <c r="C211">
        <v>5</v>
      </c>
      <c r="D211">
        <v>1000</v>
      </c>
      <c r="E211">
        <v>1</v>
      </c>
      <c r="F211" t="s">
        <v>69</v>
      </c>
      <c r="G211" t="s">
        <v>70</v>
      </c>
      <c r="H211" s="2">
        <v>67</v>
      </c>
      <c r="I211" s="2">
        <v>68</v>
      </c>
      <c r="J211" s="2">
        <v>67</v>
      </c>
      <c r="K211" s="2">
        <v>58</v>
      </c>
      <c r="L211" s="2">
        <v>57</v>
      </c>
      <c r="M211" s="2">
        <f t="shared" si="39"/>
        <v>57</v>
      </c>
      <c r="N211" t="e">
        <f t="shared" ca="1" si="40"/>
        <v>#NAME?</v>
      </c>
      <c r="O211" t="str">
        <f t="shared" si="41"/>
        <v>MSIG Cost</v>
      </c>
      <c r="P211" s="2">
        <f t="shared" si="42"/>
        <v>17.543859649122805</v>
      </c>
      <c r="Q211" s="2">
        <f t="shared" si="43"/>
        <v>19.298245614035086</v>
      </c>
      <c r="R211" s="2">
        <f t="shared" si="44"/>
        <v>17.543859649122805</v>
      </c>
      <c r="S211" s="2">
        <f t="shared" si="45"/>
        <v>1.7543859649122806</v>
      </c>
      <c r="T211" s="2">
        <f t="shared" si="46"/>
        <v>0</v>
      </c>
      <c r="U211" s="3" t="str">
        <f t="shared" si="47"/>
        <v/>
      </c>
      <c r="V211" s="3" t="str">
        <f t="shared" si="48"/>
        <v/>
      </c>
      <c r="W211" s="3" t="str">
        <f t="shared" si="49"/>
        <v/>
      </c>
      <c r="X211" s="3" t="str">
        <f t="shared" si="50"/>
        <v/>
      </c>
      <c r="Y211" s="3" t="str">
        <f t="shared" si="51"/>
        <v>YES</v>
      </c>
    </row>
    <row r="212" spans="1:25">
      <c r="A212" t="s">
        <v>281</v>
      </c>
      <c r="B212">
        <v>200</v>
      </c>
      <c r="C212">
        <v>5</v>
      </c>
      <c r="D212">
        <v>1000</v>
      </c>
      <c r="E212">
        <v>10</v>
      </c>
      <c r="F212" t="s">
        <v>69</v>
      </c>
      <c r="G212" t="s">
        <v>70</v>
      </c>
      <c r="H212" s="2">
        <v>1054</v>
      </c>
      <c r="I212" s="2">
        <v>1062</v>
      </c>
      <c r="J212" s="2">
        <v>1064</v>
      </c>
      <c r="K212" s="2">
        <v>768</v>
      </c>
      <c r="L212" s="2">
        <v>712</v>
      </c>
      <c r="M212" s="2">
        <f t="shared" si="39"/>
        <v>712</v>
      </c>
      <c r="N212" t="e">
        <f t="shared" ca="1" si="40"/>
        <v>#NAME?</v>
      </c>
      <c r="O212" t="str">
        <f t="shared" si="41"/>
        <v>MSIG Cost</v>
      </c>
      <c r="P212" s="2">
        <f t="shared" si="42"/>
        <v>48.033707865168537</v>
      </c>
      <c r="Q212" s="2">
        <f t="shared" si="43"/>
        <v>49.157303370786515</v>
      </c>
      <c r="R212" s="2">
        <f t="shared" si="44"/>
        <v>49.438202247191008</v>
      </c>
      <c r="S212" s="2">
        <f t="shared" si="45"/>
        <v>7.8651685393258424</v>
      </c>
      <c r="T212" s="2">
        <f t="shared" si="46"/>
        <v>0</v>
      </c>
      <c r="U212" s="3" t="str">
        <f t="shared" si="47"/>
        <v/>
      </c>
      <c r="V212" s="3" t="str">
        <f t="shared" si="48"/>
        <v/>
      </c>
      <c r="W212" s="3" t="str">
        <f t="shared" si="49"/>
        <v/>
      </c>
      <c r="X212" s="3" t="str">
        <f t="shared" si="50"/>
        <v/>
      </c>
      <c r="Y212" s="3" t="str">
        <f t="shared" si="51"/>
        <v>YES</v>
      </c>
    </row>
    <row r="213" spans="1:25">
      <c r="A213" t="s">
        <v>282</v>
      </c>
      <c r="B213">
        <v>200</v>
      </c>
      <c r="C213">
        <v>5</v>
      </c>
      <c r="D213">
        <v>1000</v>
      </c>
      <c r="E213">
        <v>10</v>
      </c>
      <c r="F213" t="s">
        <v>69</v>
      </c>
      <c r="G213" t="s">
        <v>70</v>
      </c>
      <c r="H213" s="2">
        <v>1058</v>
      </c>
      <c r="I213" s="2">
        <v>1060</v>
      </c>
      <c r="J213" s="2">
        <v>1086</v>
      </c>
      <c r="K213" s="2">
        <v>741</v>
      </c>
      <c r="L213" s="2">
        <v>714</v>
      </c>
      <c r="M213" s="2">
        <f t="shared" si="39"/>
        <v>714</v>
      </c>
      <c r="N213" t="e">
        <f t="shared" ca="1" si="40"/>
        <v>#NAME?</v>
      </c>
      <c r="O213" t="str">
        <f t="shared" si="41"/>
        <v>MSIG Cost</v>
      </c>
      <c r="P213" s="2">
        <f t="shared" si="42"/>
        <v>48.179271708683473</v>
      </c>
      <c r="Q213" s="2">
        <f t="shared" si="43"/>
        <v>48.459383753501399</v>
      </c>
      <c r="R213" s="2">
        <f t="shared" si="44"/>
        <v>52.100840336134461</v>
      </c>
      <c r="S213" s="2">
        <f t="shared" si="45"/>
        <v>3.7815126050420167</v>
      </c>
      <c r="T213" s="2">
        <f t="shared" si="46"/>
        <v>0</v>
      </c>
      <c r="U213" s="3" t="str">
        <f t="shared" si="47"/>
        <v/>
      </c>
      <c r="V213" s="3" t="str">
        <f t="shared" si="48"/>
        <v/>
      </c>
      <c r="W213" s="3" t="str">
        <f t="shared" si="49"/>
        <v/>
      </c>
      <c r="X213" s="3" t="str">
        <f t="shared" si="50"/>
        <v/>
      </c>
      <c r="Y213" s="3" t="str">
        <f t="shared" si="51"/>
        <v>YES</v>
      </c>
    </row>
    <row r="214" spans="1:25">
      <c r="A214" t="s">
        <v>283</v>
      </c>
      <c r="B214">
        <v>200</v>
      </c>
      <c r="C214">
        <v>5</v>
      </c>
      <c r="D214">
        <v>1000</v>
      </c>
      <c r="E214">
        <v>1</v>
      </c>
      <c r="F214" t="s">
        <v>69</v>
      </c>
      <c r="G214" t="s">
        <v>70</v>
      </c>
      <c r="H214" s="2">
        <v>54</v>
      </c>
      <c r="I214" s="2">
        <v>55</v>
      </c>
      <c r="J214" s="2">
        <v>55</v>
      </c>
      <c r="K214" s="2">
        <v>51</v>
      </c>
      <c r="L214" s="2">
        <v>51</v>
      </c>
      <c r="M214" s="2">
        <f t="shared" si="39"/>
        <v>51</v>
      </c>
      <c r="N214" t="e">
        <f t="shared" ca="1" si="40"/>
        <v>#NAME?</v>
      </c>
      <c r="O214" t="str">
        <f t="shared" si="41"/>
        <v/>
      </c>
      <c r="P214" s="2">
        <f t="shared" si="42"/>
        <v>5.8823529411764701</v>
      </c>
      <c r="Q214" s="2">
        <f t="shared" si="43"/>
        <v>7.8431372549019605</v>
      </c>
      <c r="R214" s="2">
        <f t="shared" si="44"/>
        <v>7.8431372549019605</v>
      </c>
      <c r="S214" s="2">
        <f t="shared" si="45"/>
        <v>0</v>
      </c>
      <c r="T214" s="2">
        <f t="shared" si="46"/>
        <v>0</v>
      </c>
      <c r="U214" s="3" t="str">
        <f t="shared" si="47"/>
        <v/>
      </c>
      <c r="V214" s="3" t="str">
        <f t="shared" si="48"/>
        <v/>
      </c>
      <c r="W214" s="3" t="str">
        <f t="shared" si="49"/>
        <v/>
      </c>
      <c r="X214" s="3" t="str">
        <f t="shared" si="50"/>
        <v>YES</v>
      </c>
      <c r="Y214" s="3" t="str">
        <f t="shared" si="51"/>
        <v>YES</v>
      </c>
    </row>
    <row r="215" spans="1:25">
      <c r="A215" t="s">
        <v>284</v>
      </c>
      <c r="B215">
        <v>200</v>
      </c>
      <c r="C215">
        <v>5</v>
      </c>
      <c r="D215">
        <v>1000</v>
      </c>
      <c r="E215">
        <v>1</v>
      </c>
      <c r="F215" t="s">
        <v>69</v>
      </c>
      <c r="G215" t="s">
        <v>70</v>
      </c>
      <c r="H215" s="2">
        <v>55</v>
      </c>
      <c r="I215" s="2">
        <v>55</v>
      </c>
      <c r="J215" s="2">
        <v>55</v>
      </c>
      <c r="K215" s="2">
        <v>52</v>
      </c>
      <c r="L215" s="2">
        <v>51</v>
      </c>
      <c r="M215" s="2">
        <f t="shared" si="39"/>
        <v>51</v>
      </c>
      <c r="N215" t="e">
        <f t="shared" ca="1" si="40"/>
        <v>#NAME?</v>
      </c>
      <c r="O215" t="str">
        <f t="shared" si="41"/>
        <v>MSIG Cost</v>
      </c>
      <c r="P215" s="2">
        <f t="shared" si="42"/>
        <v>7.8431372549019605</v>
      </c>
      <c r="Q215" s="2">
        <f t="shared" si="43"/>
        <v>7.8431372549019605</v>
      </c>
      <c r="R215" s="2">
        <f t="shared" si="44"/>
        <v>7.8431372549019605</v>
      </c>
      <c r="S215" s="2">
        <f t="shared" si="45"/>
        <v>1.9607843137254901</v>
      </c>
      <c r="T215" s="2">
        <f t="shared" si="46"/>
        <v>0</v>
      </c>
      <c r="U215" s="3" t="str">
        <f t="shared" si="47"/>
        <v/>
      </c>
      <c r="V215" s="3" t="str">
        <f t="shared" si="48"/>
        <v/>
      </c>
      <c r="W215" s="3" t="str">
        <f t="shared" si="49"/>
        <v/>
      </c>
      <c r="X215" s="3" t="str">
        <f t="shared" si="50"/>
        <v/>
      </c>
      <c r="Y215" s="3" t="str">
        <f t="shared" si="51"/>
        <v>YES</v>
      </c>
    </row>
    <row r="216" spans="1:25">
      <c r="A216" t="s">
        <v>285</v>
      </c>
      <c r="B216">
        <v>200</v>
      </c>
      <c r="C216">
        <v>5</v>
      </c>
      <c r="D216">
        <v>1000</v>
      </c>
      <c r="E216">
        <v>10</v>
      </c>
      <c r="F216" t="s">
        <v>69</v>
      </c>
      <c r="G216" t="s">
        <v>70</v>
      </c>
      <c r="H216" s="2">
        <v>968</v>
      </c>
      <c r="I216" s="2">
        <v>983</v>
      </c>
      <c r="J216" s="2">
        <v>979</v>
      </c>
      <c r="K216" s="2">
        <v>714</v>
      </c>
      <c r="L216" s="2">
        <v>642</v>
      </c>
      <c r="M216" s="2">
        <f t="shared" si="39"/>
        <v>642</v>
      </c>
      <c r="N216" t="e">
        <f t="shared" ca="1" si="40"/>
        <v>#NAME?</v>
      </c>
      <c r="O216" t="str">
        <f t="shared" si="41"/>
        <v>MSIG Cost</v>
      </c>
      <c r="P216" s="2">
        <f t="shared" si="42"/>
        <v>50.778816199376941</v>
      </c>
      <c r="Q216" s="2">
        <f t="shared" si="43"/>
        <v>53.115264797507791</v>
      </c>
      <c r="R216" s="2">
        <f t="shared" si="44"/>
        <v>52.492211838006227</v>
      </c>
      <c r="S216" s="2">
        <f t="shared" si="45"/>
        <v>11.214953271028037</v>
      </c>
      <c r="T216" s="2">
        <f t="shared" si="46"/>
        <v>0</v>
      </c>
      <c r="U216" s="3" t="str">
        <f t="shared" si="47"/>
        <v/>
      </c>
      <c r="V216" s="3" t="str">
        <f t="shared" si="48"/>
        <v/>
      </c>
      <c r="W216" s="3" t="str">
        <f t="shared" si="49"/>
        <v/>
      </c>
      <c r="X216" s="3" t="str">
        <f t="shared" si="50"/>
        <v/>
      </c>
      <c r="Y216" s="3" t="str">
        <f t="shared" si="51"/>
        <v>YES</v>
      </c>
    </row>
    <row r="217" spans="1:25">
      <c r="A217" t="s">
        <v>286</v>
      </c>
      <c r="B217">
        <v>200</v>
      </c>
      <c r="C217">
        <v>5</v>
      </c>
      <c r="D217">
        <v>1000</v>
      </c>
      <c r="E217">
        <v>10</v>
      </c>
      <c r="F217" t="s">
        <v>91</v>
      </c>
      <c r="G217" t="s">
        <v>70</v>
      </c>
      <c r="H217" s="2">
        <v>960</v>
      </c>
      <c r="I217" s="2">
        <v>972</v>
      </c>
      <c r="J217" s="2">
        <v>957</v>
      </c>
      <c r="K217" s="2">
        <v>670</v>
      </c>
      <c r="L217" s="2">
        <v>640</v>
      </c>
      <c r="M217" s="2">
        <f t="shared" si="39"/>
        <v>640</v>
      </c>
      <c r="N217" t="e">
        <f t="shared" ca="1" si="40"/>
        <v>#NAME?</v>
      </c>
      <c r="O217" t="str">
        <f t="shared" si="41"/>
        <v>MSIG Cost</v>
      </c>
      <c r="P217" s="2">
        <f t="shared" si="42"/>
        <v>50</v>
      </c>
      <c r="Q217" s="2">
        <f t="shared" si="43"/>
        <v>51.875000000000007</v>
      </c>
      <c r="R217" s="2">
        <f t="shared" si="44"/>
        <v>49.53125</v>
      </c>
      <c r="S217" s="2">
        <f t="shared" si="45"/>
        <v>4.6875</v>
      </c>
      <c r="T217" s="2">
        <f t="shared" si="46"/>
        <v>0</v>
      </c>
      <c r="U217" s="3" t="str">
        <f t="shared" si="47"/>
        <v/>
      </c>
      <c r="V217" s="3" t="str">
        <f t="shared" si="48"/>
        <v/>
      </c>
      <c r="W217" s="3" t="str">
        <f t="shared" si="49"/>
        <v/>
      </c>
      <c r="X217" s="3" t="str">
        <f t="shared" si="50"/>
        <v/>
      </c>
      <c r="Y217" s="3" t="str">
        <f t="shared" si="51"/>
        <v>YES</v>
      </c>
    </row>
    <row r="218" spans="1:25">
      <c r="A218" t="s">
        <v>287</v>
      </c>
      <c r="B218">
        <v>200</v>
      </c>
      <c r="C218">
        <v>5</v>
      </c>
      <c r="D218">
        <v>1000</v>
      </c>
      <c r="E218">
        <v>1</v>
      </c>
      <c r="F218" t="s">
        <v>91</v>
      </c>
      <c r="G218" t="s">
        <v>70</v>
      </c>
      <c r="H218" s="2">
        <v>37</v>
      </c>
      <c r="I218" s="2">
        <v>37</v>
      </c>
      <c r="J218" s="2">
        <v>36</v>
      </c>
      <c r="K218" s="2">
        <v>31</v>
      </c>
      <c r="L218" s="2">
        <v>27</v>
      </c>
      <c r="M218" s="2">
        <f t="shared" si="39"/>
        <v>27</v>
      </c>
      <c r="N218" t="e">
        <f t="shared" ca="1" si="40"/>
        <v>#NAME?</v>
      </c>
      <c r="O218" t="str">
        <f t="shared" si="41"/>
        <v>MSIG Cost</v>
      </c>
      <c r="P218" s="2">
        <f t="shared" si="42"/>
        <v>37.037037037037038</v>
      </c>
      <c r="Q218" s="2">
        <f t="shared" si="43"/>
        <v>37.037037037037038</v>
      </c>
      <c r="R218" s="2">
        <f t="shared" si="44"/>
        <v>33.333333333333329</v>
      </c>
      <c r="S218" s="2">
        <f t="shared" si="45"/>
        <v>14.814814814814813</v>
      </c>
      <c r="T218" s="2">
        <f t="shared" si="46"/>
        <v>0</v>
      </c>
      <c r="U218" s="3" t="str">
        <f t="shared" si="47"/>
        <v/>
      </c>
      <c r="V218" s="3" t="str">
        <f t="shared" si="48"/>
        <v/>
      </c>
      <c r="W218" s="3" t="str">
        <f t="shared" si="49"/>
        <v/>
      </c>
      <c r="X218" s="3" t="str">
        <f t="shared" si="50"/>
        <v/>
      </c>
      <c r="Y218" s="3" t="str">
        <f t="shared" si="51"/>
        <v>YES</v>
      </c>
    </row>
    <row r="219" spans="1:25">
      <c r="A219" t="s">
        <v>288</v>
      </c>
      <c r="B219">
        <v>200</v>
      </c>
      <c r="C219">
        <v>5</v>
      </c>
      <c r="D219">
        <v>1000</v>
      </c>
      <c r="E219">
        <v>1</v>
      </c>
      <c r="F219" t="s">
        <v>69</v>
      </c>
      <c r="G219" t="s">
        <v>70</v>
      </c>
      <c r="H219" s="2">
        <v>37</v>
      </c>
      <c r="I219" s="2">
        <v>37</v>
      </c>
      <c r="J219" s="2">
        <v>36</v>
      </c>
      <c r="K219" s="2">
        <v>32</v>
      </c>
      <c r="L219" s="2">
        <v>27</v>
      </c>
      <c r="M219" s="2">
        <f t="shared" si="39"/>
        <v>27</v>
      </c>
      <c r="N219" t="e">
        <f t="shared" ca="1" si="40"/>
        <v>#NAME?</v>
      </c>
      <c r="O219" t="str">
        <f t="shared" si="41"/>
        <v>MSIG Cost</v>
      </c>
      <c r="P219" s="2">
        <f t="shared" si="42"/>
        <v>37.037037037037038</v>
      </c>
      <c r="Q219" s="2">
        <f t="shared" si="43"/>
        <v>37.037037037037038</v>
      </c>
      <c r="R219" s="2">
        <f t="shared" si="44"/>
        <v>33.333333333333329</v>
      </c>
      <c r="S219" s="2">
        <f t="shared" si="45"/>
        <v>18.518518518518519</v>
      </c>
      <c r="T219" s="2">
        <f t="shared" si="46"/>
        <v>0</v>
      </c>
      <c r="U219" s="3" t="str">
        <f t="shared" si="47"/>
        <v/>
      </c>
      <c r="V219" s="3" t="str">
        <f t="shared" si="48"/>
        <v/>
      </c>
      <c r="W219" s="3" t="str">
        <f t="shared" si="49"/>
        <v/>
      </c>
      <c r="X219" s="3" t="str">
        <f t="shared" si="50"/>
        <v/>
      </c>
      <c r="Y219" s="3" t="str">
        <f t="shared" si="51"/>
        <v>YES</v>
      </c>
    </row>
    <row r="220" spans="1:25">
      <c r="A220" t="s">
        <v>289</v>
      </c>
      <c r="B220">
        <v>200</v>
      </c>
      <c r="C220">
        <v>5</v>
      </c>
      <c r="D220">
        <v>1000</v>
      </c>
      <c r="E220">
        <v>10</v>
      </c>
      <c r="F220" t="s">
        <v>91</v>
      </c>
      <c r="G220" t="s">
        <v>70</v>
      </c>
      <c r="H220" s="2">
        <v>653</v>
      </c>
      <c r="I220" s="2">
        <v>689</v>
      </c>
      <c r="J220" s="2">
        <v>688</v>
      </c>
      <c r="K220" s="2">
        <v>419</v>
      </c>
      <c r="L220" s="2">
        <v>353</v>
      </c>
      <c r="M220" s="2">
        <f t="shared" si="39"/>
        <v>353</v>
      </c>
      <c r="N220" t="e">
        <f t="shared" ca="1" si="40"/>
        <v>#NAME?</v>
      </c>
      <c r="O220" t="str">
        <f t="shared" si="41"/>
        <v>MSIG Cost</v>
      </c>
      <c r="P220" s="2">
        <f t="shared" si="42"/>
        <v>84.985835694050991</v>
      </c>
      <c r="Q220" s="2">
        <f t="shared" si="43"/>
        <v>95.184135977337121</v>
      </c>
      <c r="R220" s="2">
        <f t="shared" si="44"/>
        <v>94.900849858356935</v>
      </c>
      <c r="S220" s="2">
        <f t="shared" si="45"/>
        <v>18.696883852691219</v>
      </c>
      <c r="T220" s="2">
        <f t="shared" si="46"/>
        <v>0</v>
      </c>
      <c r="U220" s="3" t="str">
        <f t="shared" si="47"/>
        <v/>
      </c>
      <c r="V220" s="3" t="str">
        <f t="shared" si="48"/>
        <v/>
      </c>
      <c r="W220" s="3" t="str">
        <f t="shared" si="49"/>
        <v/>
      </c>
      <c r="X220" s="3" t="str">
        <f t="shared" si="50"/>
        <v/>
      </c>
      <c r="Y220" s="3" t="str">
        <f t="shared" si="51"/>
        <v>YES</v>
      </c>
    </row>
    <row r="221" spans="1:25">
      <c r="A221" t="s">
        <v>290</v>
      </c>
      <c r="B221">
        <v>200</v>
      </c>
      <c r="C221">
        <v>5</v>
      </c>
      <c r="D221">
        <v>1000</v>
      </c>
      <c r="E221">
        <v>10</v>
      </c>
      <c r="F221" t="s">
        <v>69</v>
      </c>
      <c r="G221" t="s">
        <v>70</v>
      </c>
      <c r="H221" s="2">
        <v>772</v>
      </c>
      <c r="I221" s="2">
        <v>754</v>
      </c>
      <c r="J221" s="2">
        <v>731</v>
      </c>
      <c r="K221" s="2">
        <v>383</v>
      </c>
      <c r="L221" s="2">
        <v>366</v>
      </c>
      <c r="M221" s="2">
        <f t="shared" si="39"/>
        <v>366</v>
      </c>
      <c r="N221" t="e">
        <f t="shared" ca="1" si="40"/>
        <v>#NAME?</v>
      </c>
      <c r="O221" t="str">
        <f t="shared" si="41"/>
        <v>MSIG Cost</v>
      </c>
      <c r="P221" s="2">
        <f t="shared" si="42"/>
        <v>110.92896174863387</v>
      </c>
      <c r="Q221" s="2">
        <f t="shared" si="43"/>
        <v>106.01092896174865</v>
      </c>
      <c r="R221" s="2">
        <f t="shared" si="44"/>
        <v>99.726775956284158</v>
      </c>
      <c r="S221" s="2">
        <f t="shared" si="45"/>
        <v>4.6448087431693992</v>
      </c>
      <c r="T221" s="2">
        <f t="shared" si="46"/>
        <v>0</v>
      </c>
      <c r="U221" s="3" t="str">
        <f t="shared" si="47"/>
        <v/>
      </c>
      <c r="V221" s="3" t="str">
        <f t="shared" si="48"/>
        <v/>
      </c>
      <c r="W221" s="3" t="str">
        <f t="shared" si="49"/>
        <v/>
      </c>
      <c r="X221" s="3" t="str">
        <f t="shared" si="50"/>
        <v/>
      </c>
      <c r="Y221" s="3" t="str">
        <f t="shared" si="51"/>
        <v>YES</v>
      </c>
    </row>
    <row r="222" spans="1:25">
      <c r="A222" t="s">
        <v>291</v>
      </c>
      <c r="B222">
        <v>200</v>
      </c>
      <c r="C222">
        <v>5</v>
      </c>
      <c r="D222">
        <v>1000</v>
      </c>
      <c r="E222">
        <v>1</v>
      </c>
      <c r="F222" t="s">
        <v>69</v>
      </c>
      <c r="G222" t="s">
        <v>70</v>
      </c>
      <c r="H222" s="2">
        <v>26</v>
      </c>
      <c r="I222" s="2">
        <v>27</v>
      </c>
      <c r="J222" s="2">
        <v>27</v>
      </c>
      <c r="K222" s="2">
        <v>28</v>
      </c>
      <c r="L222" s="2">
        <v>24</v>
      </c>
      <c r="M222" s="2">
        <f t="shared" si="39"/>
        <v>24</v>
      </c>
      <c r="N222" t="e">
        <f t="shared" ca="1" si="40"/>
        <v>#NAME?</v>
      </c>
      <c r="O222" t="str">
        <f t="shared" si="41"/>
        <v>MSIG Cost</v>
      </c>
      <c r="P222" s="2">
        <f t="shared" si="42"/>
        <v>8.3333333333333321</v>
      </c>
      <c r="Q222" s="2">
        <f t="shared" si="43"/>
        <v>12.5</v>
      </c>
      <c r="R222" s="2">
        <f t="shared" si="44"/>
        <v>12.5</v>
      </c>
      <c r="S222" s="2">
        <f t="shared" si="45"/>
        <v>16.666666666666664</v>
      </c>
      <c r="T222" s="2">
        <f t="shared" si="46"/>
        <v>0</v>
      </c>
      <c r="U222" s="3" t="str">
        <f t="shared" si="47"/>
        <v/>
      </c>
      <c r="V222" s="3" t="str">
        <f t="shared" si="48"/>
        <v/>
      </c>
      <c r="W222" s="3" t="str">
        <f t="shared" si="49"/>
        <v/>
      </c>
      <c r="X222" s="3" t="str">
        <f t="shared" si="50"/>
        <v/>
      </c>
      <c r="Y222" s="3" t="str">
        <f t="shared" si="51"/>
        <v>YES</v>
      </c>
    </row>
    <row r="223" spans="1:25">
      <c r="A223" t="s">
        <v>292</v>
      </c>
      <c r="B223">
        <v>200</v>
      </c>
      <c r="C223">
        <v>5</v>
      </c>
      <c r="D223">
        <v>1000</v>
      </c>
      <c r="E223">
        <v>1</v>
      </c>
      <c r="F223" t="s">
        <v>91</v>
      </c>
      <c r="G223" t="s">
        <v>70</v>
      </c>
      <c r="H223" s="2">
        <v>27</v>
      </c>
      <c r="I223" s="2">
        <v>27</v>
      </c>
      <c r="J223" s="2">
        <v>26</v>
      </c>
      <c r="K223" s="2">
        <v>28</v>
      </c>
      <c r="L223" s="2">
        <v>23</v>
      </c>
      <c r="M223" s="2">
        <f t="shared" si="39"/>
        <v>23</v>
      </c>
      <c r="N223" t="e">
        <f t="shared" ca="1" si="40"/>
        <v>#NAME?</v>
      </c>
      <c r="O223" t="str">
        <f t="shared" si="41"/>
        <v>MSIG Cost</v>
      </c>
      <c r="P223" s="2">
        <f t="shared" si="42"/>
        <v>17.391304347826086</v>
      </c>
      <c r="Q223" s="2">
        <f t="shared" si="43"/>
        <v>17.391304347826086</v>
      </c>
      <c r="R223" s="2">
        <f t="shared" si="44"/>
        <v>13.043478260869565</v>
      </c>
      <c r="S223" s="2">
        <f t="shared" si="45"/>
        <v>21.739130434782609</v>
      </c>
      <c r="T223" s="2">
        <f t="shared" si="46"/>
        <v>0</v>
      </c>
      <c r="U223" s="3" t="str">
        <f t="shared" si="47"/>
        <v/>
      </c>
      <c r="V223" s="3" t="str">
        <f t="shared" si="48"/>
        <v/>
      </c>
      <c r="W223" s="3" t="str">
        <f t="shared" si="49"/>
        <v/>
      </c>
      <c r="X223" s="3" t="str">
        <f t="shared" si="50"/>
        <v/>
      </c>
      <c r="Y223" s="3" t="str">
        <f t="shared" si="51"/>
        <v>YES</v>
      </c>
    </row>
    <row r="224" spans="1:25">
      <c r="A224" t="s">
        <v>293</v>
      </c>
      <c r="B224">
        <v>200</v>
      </c>
      <c r="C224">
        <v>5</v>
      </c>
      <c r="D224">
        <v>1000</v>
      </c>
      <c r="E224">
        <v>10</v>
      </c>
      <c r="F224" t="s">
        <v>69</v>
      </c>
      <c r="G224" t="s">
        <v>70</v>
      </c>
      <c r="H224" s="2">
        <v>574</v>
      </c>
      <c r="I224" s="2">
        <v>566</v>
      </c>
      <c r="J224" s="2">
        <v>544</v>
      </c>
      <c r="K224" s="2">
        <v>381</v>
      </c>
      <c r="L224" s="2">
        <v>333</v>
      </c>
      <c r="M224" s="2">
        <f t="shared" si="39"/>
        <v>333</v>
      </c>
      <c r="N224" t="e">
        <f t="shared" ca="1" si="40"/>
        <v>#NAME?</v>
      </c>
      <c r="O224" t="str">
        <f t="shared" si="41"/>
        <v>MSIG Cost</v>
      </c>
      <c r="P224" s="2">
        <f t="shared" si="42"/>
        <v>72.372372372372368</v>
      </c>
      <c r="Q224" s="2">
        <f t="shared" si="43"/>
        <v>69.969969969969966</v>
      </c>
      <c r="R224" s="2">
        <f t="shared" si="44"/>
        <v>63.363363363363369</v>
      </c>
      <c r="S224" s="2">
        <f t="shared" si="45"/>
        <v>14.414414414414415</v>
      </c>
      <c r="T224" s="2">
        <f t="shared" si="46"/>
        <v>0</v>
      </c>
      <c r="U224" s="3" t="str">
        <f t="shared" si="47"/>
        <v/>
      </c>
      <c r="V224" s="3" t="str">
        <f t="shared" si="48"/>
        <v/>
      </c>
      <c r="W224" s="3" t="str">
        <f t="shared" si="49"/>
        <v/>
      </c>
      <c r="X224" s="3" t="str">
        <f t="shared" si="50"/>
        <v/>
      </c>
      <c r="Y224" s="3" t="str">
        <f t="shared" si="51"/>
        <v>YES</v>
      </c>
    </row>
    <row r="225" spans="1:25">
      <c r="A225" t="s">
        <v>294</v>
      </c>
      <c r="B225">
        <v>200</v>
      </c>
      <c r="C225">
        <v>5</v>
      </c>
      <c r="D225">
        <v>1000</v>
      </c>
      <c r="E225">
        <v>10</v>
      </c>
      <c r="F225" t="s">
        <v>91</v>
      </c>
      <c r="G225" t="s">
        <v>70</v>
      </c>
      <c r="H225" s="2">
        <v>600</v>
      </c>
      <c r="I225" s="2">
        <v>603</v>
      </c>
      <c r="J225" s="2">
        <v>599</v>
      </c>
      <c r="K225" s="2">
        <v>372</v>
      </c>
      <c r="L225" s="2">
        <v>346</v>
      </c>
      <c r="M225" s="2">
        <f t="shared" si="39"/>
        <v>346</v>
      </c>
      <c r="N225" t="e">
        <f t="shared" ca="1" si="40"/>
        <v>#NAME?</v>
      </c>
      <c r="O225" t="str">
        <f t="shared" si="41"/>
        <v>MSIG Cost</v>
      </c>
      <c r="P225" s="2">
        <f t="shared" si="42"/>
        <v>73.410404624277461</v>
      </c>
      <c r="Q225" s="2">
        <f t="shared" si="43"/>
        <v>74.27745664739885</v>
      </c>
      <c r="R225" s="2">
        <f t="shared" si="44"/>
        <v>73.121387283236999</v>
      </c>
      <c r="S225" s="2">
        <f t="shared" si="45"/>
        <v>7.5144508670520231</v>
      </c>
      <c r="T225" s="2">
        <f t="shared" si="46"/>
        <v>0</v>
      </c>
      <c r="U225" s="3" t="str">
        <f t="shared" si="47"/>
        <v/>
      </c>
      <c r="V225" s="3" t="str">
        <f t="shared" si="48"/>
        <v/>
      </c>
      <c r="W225" s="3" t="str">
        <f t="shared" si="49"/>
        <v/>
      </c>
      <c r="X225" s="3" t="str">
        <f t="shared" si="50"/>
        <v/>
      </c>
      <c r="Y225" s="3" t="str">
        <f t="shared" si="51"/>
        <v>YES</v>
      </c>
    </row>
    <row r="226" spans="1:25">
      <c r="A226" t="s">
        <v>295</v>
      </c>
      <c r="B226">
        <v>25</v>
      </c>
      <c r="C226">
        <v>10</v>
      </c>
      <c r="D226">
        <v>1000</v>
      </c>
      <c r="E226">
        <v>1</v>
      </c>
      <c r="F226" t="s">
        <v>69</v>
      </c>
      <c r="G226" t="s">
        <v>70</v>
      </c>
      <c r="H226" s="2">
        <v>10</v>
      </c>
      <c r="I226" s="2">
        <v>10</v>
      </c>
      <c r="J226" s="2">
        <v>10</v>
      </c>
      <c r="K226" s="2">
        <v>10</v>
      </c>
      <c r="L226" s="2">
        <v>9</v>
      </c>
      <c r="M226" s="2">
        <f t="shared" si="39"/>
        <v>9</v>
      </c>
      <c r="N226" t="e">
        <f t="shared" ca="1" si="40"/>
        <v>#NAME?</v>
      </c>
      <c r="O226" t="str">
        <f t="shared" si="41"/>
        <v>MSIG Cost</v>
      </c>
      <c r="P226" s="2">
        <f t="shared" si="42"/>
        <v>11.111111111111111</v>
      </c>
      <c r="Q226" s="2">
        <f t="shared" si="43"/>
        <v>11.111111111111111</v>
      </c>
      <c r="R226" s="2">
        <f t="shared" si="44"/>
        <v>11.111111111111111</v>
      </c>
      <c r="S226" s="2">
        <f t="shared" si="45"/>
        <v>11.111111111111111</v>
      </c>
      <c r="T226" s="2">
        <f t="shared" si="46"/>
        <v>0</v>
      </c>
      <c r="U226" s="3" t="str">
        <f t="shared" si="47"/>
        <v/>
      </c>
      <c r="V226" s="3" t="str">
        <f t="shared" si="48"/>
        <v/>
      </c>
      <c r="W226" s="3" t="str">
        <f t="shared" si="49"/>
        <v/>
      </c>
      <c r="X226" s="3" t="str">
        <f t="shared" si="50"/>
        <v/>
      </c>
      <c r="Y226" s="3" t="str">
        <f t="shared" si="51"/>
        <v>YES</v>
      </c>
    </row>
    <row r="227" spans="1:25">
      <c r="A227" t="s">
        <v>296</v>
      </c>
      <c r="B227">
        <v>25</v>
      </c>
      <c r="C227">
        <v>10</v>
      </c>
      <c r="D227">
        <v>1000</v>
      </c>
      <c r="E227">
        <v>1</v>
      </c>
      <c r="F227" t="s">
        <v>69</v>
      </c>
      <c r="G227" t="s">
        <v>70</v>
      </c>
      <c r="H227" s="2">
        <v>10</v>
      </c>
      <c r="I227" s="2">
        <v>11</v>
      </c>
      <c r="J227" s="2">
        <v>11</v>
      </c>
      <c r="K227" s="2">
        <v>10</v>
      </c>
      <c r="L227" s="2">
        <v>10</v>
      </c>
      <c r="M227" s="2">
        <f t="shared" si="39"/>
        <v>10</v>
      </c>
      <c r="N227" t="e">
        <f t="shared" ca="1" si="40"/>
        <v>#NAME?</v>
      </c>
      <c r="O227" t="str">
        <f t="shared" si="41"/>
        <v/>
      </c>
      <c r="P227" s="2">
        <f t="shared" si="42"/>
        <v>0</v>
      </c>
      <c r="Q227" s="2">
        <f t="shared" si="43"/>
        <v>10</v>
      </c>
      <c r="R227" s="2">
        <f t="shared" si="44"/>
        <v>10</v>
      </c>
      <c r="S227" s="2">
        <f t="shared" si="45"/>
        <v>0</v>
      </c>
      <c r="T227" s="2">
        <f t="shared" si="46"/>
        <v>0</v>
      </c>
      <c r="U227" s="3" t="str">
        <f t="shared" si="47"/>
        <v>YES</v>
      </c>
      <c r="V227" s="3" t="str">
        <f t="shared" si="48"/>
        <v/>
      </c>
      <c r="W227" s="3" t="str">
        <f t="shared" si="49"/>
        <v/>
      </c>
      <c r="X227" s="3" t="str">
        <f t="shared" si="50"/>
        <v>YES</v>
      </c>
      <c r="Y227" s="3" t="str">
        <f t="shared" si="51"/>
        <v>YES</v>
      </c>
    </row>
    <row r="228" spans="1:25">
      <c r="A228" t="s">
        <v>297</v>
      </c>
      <c r="B228">
        <v>25</v>
      </c>
      <c r="C228">
        <v>10</v>
      </c>
      <c r="D228">
        <v>1000</v>
      </c>
      <c r="E228">
        <v>10</v>
      </c>
      <c r="F228" t="s">
        <v>69</v>
      </c>
      <c r="G228" t="s">
        <v>70</v>
      </c>
      <c r="H228" s="2">
        <v>164</v>
      </c>
      <c r="I228" s="2">
        <v>164</v>
      </c>
      <c r="J228" s="2">
        <v>159</v>
      </c>
      <c r="K228" s="2">
        <v>136</v>
      </c>
      <c r="L228" s="2">
        <v>130</v>
      </c>
      <c r="M228" s="2">
        <f t="shared" si="39"/>
        <v>130</v>
      </c>
      <c r="N228" t="e">
        <f t="shared" ca="1" si="40"/>
        <v>#NAME?</v>
      </c>
      <c r="O228" t="str">
        <f t="shared" si="41"/>
        <v>MSIG Cost</v>
      </c>
      <c r="P228" s="2">
        <f t="shared" si="42"/>
        <v>26.153846153846157</v>
      </c>
      <c r="Q228" s="2">
        <f t="shared" si="43"/>
        <v>26.153846153846157</v>
      </c>
      <c r="R228" s="2">
        <f t="shared" si="44"/>
        <v>22.30769230769231</v>
      </c>
      <c r="S228" s="2">
        <f t="shared" si="45"/>
        <v>4.6153846153846159</v>
      </c>
      <c r="T228" s="2">
        <f t="shared" si="46"/>
        <v>0</v>
      </c>
      <c r="U228" s="3" t="str">
        <f t="shared" si="47"/>
        <v/>
      </c>
      <c r="V228" s="3" t="str">
        <f t="shared" si="48"/>
        <v/>
      </c>
      <c r="W228" s="3" t="str">
        <f t="shared" si="49"/>
        <v/>
      </c>
      <c r="X228" s="3" t="str">
        <f t="shared" si="50"/>
        <v/>
      </c>
      <c r="Y228" s="3" t="str">
        <f t="shared" si="51"/>
        <v>YES</v>
      </c>
    </row>
    <row r="229" spans="1:25">
      <c r="A229" t="s">
        <v>298</v>
      </c>
      <c r="B229">
        <v>25</v>
      </c>
      <c r="C229">
        <v>10</v>
      </c>
      <c r="D229">
        <v>1000</v>
      </c>
      <c r="E229">
        <v>10</v>
      </c>
      <c r="F229" t="s">
        <v>69</v>
      </c>
      <c r="G229" t="s">
        <v>70</v>
      </c>
      <c r="H229" s="2">
        <v>150</v>
      </c>
      <c r="I229" s="2">
        <v>150</v>
      </c>
      <c r="J229" s="2">
        <v>157</v>
      </c>
      <c r="K229" s="2">
        <v>136</v>
      </c>
      <c r="L229" s="2">
        <v>124</v>
      </c>
      <c r="M229" s="2">
        <f t="shared" si="39"/>
        <v>124</v>
      </c>
      <c r="N229" t="e">
        <f t="shared" ca="1" si="40"/>
        <v>#NAME?</v>
      </c>
      <c r="O229" t="str">
        <f t="shared" si="41"/>
        <v>MSIG Cost</v>
      </c>
      <c r="P229" s="2">
        <f t="shared" si="42"/>
        <v>20.967741935483872</v>
      </c>
      <c r="Q229" s="2">
        <f t="shared" si="43"/>
        <v>20.967741935483872</v>
      </c>
      <c r="R229" s="2">
        <f t="shared" si="44"/>
        <v>26.612903225806448</v>
      </c>
      <c r="S229" s="2">
        <f t="shared" si="45"/>
        <v>9.67741935483871</v>
      </c>
      <c r="T229" s="2">
        <f t="shared" si="46"/>
        <v>0</v>
      </c>
      <c r="U229" s="3" t="str">
        <f t="shared" si="47"/>
        <v/>
      </c>
      <c r="V229" s="3" t="str">
        <f t="shared" si="48"/>
        <v/>
      </c>
      <c r="W229" s="3" t="str">
        <f t="shared" si="49"/>
        <v/>
      </c>
      <c r="X229" s="3" t="str">
        <f t="shared" si="50"/>
        <v/>
      </c>
      <c r="Y229" s="3" t="str">
        <f t="shared" si="51"/>
        <v>YES</v>
      </c>
    </row>
    <row r="230" spans="1:25">
      <c r="A230" t="s">
        <v>299</v>
      </c>
      <c r="B230">
        <v>25</v>
      </c>
      <c r="C230">
        <v>10</v>
      </c>
      <c r="D230">
        <v>1000</v>
      </c>
      <c r="E230">
        <v>1</v>
      </c>
      <c r="F230" t="s">
        <v>69</v>
      </c>
      <c r="G230" t="s">
        <v>70</v>
      </c>
      <c r="H230" s="2">
        <v>8</v>
      </c>
      <c r="I230" s="2">
        <v>8</v>
      </c>
      <c r="J230" s="2">
        <v>8</v>
      </c>
      <c r="K230" s="2">
        <v>10</v>
      </c>
      <c r="L230" s="2">
        <v>8</v>
      </c>
      <c r="M230" s="2">
        <f t="shared" si="39"/>
        <v>8</v>
      </c>
      <c r="N230" t="e">
        <f t="shared" ca="1" si="40"/>
        <v>#NAME?</v>
      </c>
      <c r="O230" t="str">
        <f t="shared" si="41"/>
        <v/>
      </c>
      <c r="P230" s="2">
        <f t="shared" si="42"/>
        <v>0</v>
      </c>
      <c r="Q230" s="2">
        <f t="shared" si="43"/>
        <v>0</v>
      </c>
      <c r="R230" s="2">
        <f t="shared" si="44"/>
        <v>0</v>
      </c>
      <c r="S230" s="2">
        <f t="shared" si="45"/>
        <v>25</v>
      </c>
      <c r="T230" s="2">
        <f t="shared" si="46"/>
        <v>0</v>
      </c>
      <c r="U230" s="3" t="str">
        <f t="shared" si="47"/>
        <v>YES</v>
      </c>
      <c r="V230" s="3" t="str">
        <f t="shared" si="48"/>
        <v>YES</v>
      </c>
      <c r="W230" s="3" t="str">
        <f t="shared" si="49"/>
        <v>YES</v>
      </c>
      <c r="X230" s="3" t="str">
        <f t="shared" si="50"/>
        <v/>
      </c>
      <c r="Y230" s="3" t="str">
        <f t="shared" si="51"/>
        <v>YES</v>
      </c>
    </row>
    <row r="231" spans="1:25">
      <c r="A231" t="s">
        <v>300</v>
      </c>
      <c r="B231">
        <v>25</v>
      </c>
      <c r="C231">
        <v>10</v>
      </c>
      <c r="D231">
        <v>1000</v>
      </c>
      <c r="E231">
        <v>1</v>
      </c>
      <c r="F231" t="s">
        <v>69</v>
      </c>
      <c r="G231" t="s">
        <v>70</v>
      </c>
      <c r="H231" s="2">
        <v>8</v>
      </c>
      <c r="I231" s="2">
        <v>8</v>
      </c>
      <c r="J231" s="2">
        <v>8</v>
      </c>
      <c r="K231" s="2">
        <v>10</v>
      </c>
      <c r="L231" s="2">
        <v>8</v>
      </c>
      <c r="M231" s="2">
        <f t="shared" si="39"/>
        <v>8</v>
      </c>
      <c r="N231" t="e">
        <f t="shared" ca="1" si="40"/>
        <v>#NAME?</v>
      </c>
      <c r="O231" t="str">
        <f t="shared" si="41"/>
        <v/>
      </c>
      <c r="P231" s="2">
        <f t="shared" si="42"/>
        <v>0</v>
      </c>
      <c r="Q231" s="2">
        <f t="shared" si="43"/>
        <v>0</v>
      </c>
      <c r="R231" s="2">
        <f t="shared" si="44"/>
        <v>0</v>
      </c>
      <c r="S231" s="2">
        <f t="shared" si="45"/>
        <v>25</v>
      </c>
      <c r="T231" s="2">
        <f t="shared" si="46"/>
        <v>0</v>
      </c>
      <c r="U231" s="3" t="str">
        <f t="shared" si="47"/>
        <v>YES</v>
      </c>
      <c r="V231" s="3" t="str">
        <f t="shared" si="48"/>
        <v>YES</v>
      </c>
      <c r="W231" s="3" t="str">
        <f t="shared" si="49"/>
        <v>YES</v>
      </c>
      <c r="X231" s="3" t="str">
        <f t="shared" si="50"/>
        <v/>
      </c>
      <c r="Y231" s="3" t="str">
        <f t="shared" si="51"/>
        <v>YES</v>
      </c>
    </row>
    <row r="232" spans="1:25">
      <c r="A232" t="s">
        <v>301</v>
      </c>
      <c r="B232">
        <v>25</v>
      </c>
      <c r="C232">
        <v>10</v>
      </c>
      <c r="D232">
        <v>1000</v>
      </c>
      <c r="E232">
        <v>10</v>
      </c>
      <c r="F232" t="s">
        <v>69</v>
      </c>
      <c r="G232" t="s">
        <v>70</v>
      </c>
      <c r="H232" s="2">
        <v>147</v>
      </c>
      <c r="I232" s="2">
        <v>150</v>
      </c>
      <c r="J232" s="2">
        <v>147</v>
      </c>
      <c r="K232" s="2">
        <v>116</v>
      </c>
      <c r="L232" s="2">
        <v>120</v>
      </c>
      <c r="M232" s="2">
        <f t="shared" si="39"/>
        <v>116</v>
      </c>
      <c r="N232" t="e">
        <f t="shared" ca="1" si="40"/>
        <v>#NAME?</v>
      </c>
      <c r="O232" t="str">
        <f t="shared" si="41"/>
        <v>Best C-TP Cost</v>
      </c>
      <c r="P232" s="2">
        <f t="shared" si="42"/>
        <v>26.72413793103448</v>
      </c>
      <c r="Q232" s="2">
        <f t="shared" si="43"/>
        <v>29.310344827586203</v>
      </c>
      <c r="R232" s="2">
        <f t="shared" si="44"/>
        <v>26.72413793103448</v>
      </c>
      <c r="S232" s="2">
        <f t="shared" si="45"/>
        <v>0</v>
      </c>
      <c r="T232" s="2">
        <f t="shared" si="46"/>
        <v>3.4482758620689653</v>
      </c>
      <c r="U232" s="3" t="str">
        <f t="shared" si="47"/>
        <v/>
      </c>
      <c r="V232" s="3" t="str">
        <f t="shared" si="48"/>
        <v/>
      </c>
      <c r="W232" s="3" t="str">
        <f t="shared" si="49"/>
        <v/>
      </c>
      <c r="X232" s="3" t="str">
        <f t="shared" si="50"/>
        <v>YES</v>
      </c>
      <c r="Y232" s="3" t="str">
        <f t="shared" si="51"/>
        <v/>
      </c>
    </row>
    <row r="233" spans="1:25">
      <c r="A233" t="s">
        <v>302</v>
      </c>
      <c r="B233">
        <v>25</v>
      </c>
      <c r="C233">
        <v>10</v>
      </c>
      <c r="D233">
        <v>1000</v>
      </c>
      <c r="E233">
        <v>10</v>
      </c>
      <c r="F233" t="s">
        <v>69</v>
      </c>
      <c r="G233" t="s">
        <v>70</v>
      </c>
      <c r="H233" s="2">
        <v>126</v>
      </c>
      <c r="I233" s="2">
        <v>126</v>
      </c>
      <c r="J233" s="2">
        <v>123</v>
      </c>
      <c r="K233" s="2">
        <v>116</v>
      </c>
      <c r="L233" s="2">
        <v>104</v>
      </c>
      <c r="M233" s="2">
        <f t="shared" si="39"/>
        <v>104</v>
      </c>
      <c r="N233" t="e">
        <f t="shared" ca="1" si="40"/>
        <v>#NAME?</v>
      </c>
      <c r="O233" t="str">
        <f t="shared" si="41"/>
        <v>MSIG Cost</v>
      </c>
      <c r="P233" s="2">
        <f t="shared" si="42"/>
        <v>21.153846153846153</v>
      </c>
      <c r="Q233" s="2">
        <f t="shared" si="43"/>
        <v>21.153846153846153</v>
      </c>
      <c r="R233" s="2">
        <f t="shared" si="44"/>
        <v>18.269230769230766</v>
      </c>
      <c r="S233" s="2">
        <f t="shared" si="45"/>
        <v>11.538461538461538</v>
      </c>
      <c r="T233" s="2">
        <f t="shared" si="46"/>
        <v>0</v>
      </c>
      <c r="U233" s="3" t="str">
        <f t="shared" si="47"/>
        <v/>
      </c>
      <c r="V233" s="3" t="str">
        <f t="shared" si="48"/>
        <v/>
      </c>
      <c r="W233" s="3" t="str">
        <f t="shared" si="49"/>
        <v/>
      </c>
      <c r="X233" s="3" t="str">
        <f t="shared" si="50"/>
        <v/>
      </c>
      <c r="Y233" s="3" t="str">
        <f t="shared" si="51"/>
        <v>YES</v>
      </c>
    </row>
    <row r="234" spans="1:25">
      <c r="A234" t="s">
        <v>303</v>
      </c>
      <c r="B234">
        <v>25</v>
      </c>
      <c r="C234">
        <v>10</v>
      </c>
      <c r="D234">
        <v>1000</v>
      </c>
      <c r="E234">
        <v>1</v>
      </c>
      <c r="F234" t="s">
        <v>69</v>
      </c>
      <c r="G234" t="s">
        <v>70</v>
      </c>
      <c r="H234" s="2">
        <v>6</v>
      </c>
      <c r="I234" s="2">
        <v>6</v>
      </c>
      <c r="J234" s="2">
        <v>6</v>
      </c>
      <c r="K234" s="2">
        <v>6</v>
      </c>
      <c r="L234" s="2">
        <v>5</v>
      </c>
      <c r="M234" s="2">
        <f t="shared" si="39"/>
        <v>5</v>
      </c>
      <c r="N234" t="e">
        <f t="shared" ca="1" si="40"/>
        <v>#NAME?</v>
      </c>
      <c r="O234" t="str">
        <f t="shared" si="41"/>
        <v>MSIG Cost</v>
      </c>
      <c r="P234" s="2">
        <f t="shared" si="42"/>
        <v>20</v>
      </c>
      <c r="Q234" s="2">
        <f t="shared" si="43"/>
        <v>20</v>
      </c>
      <c r="R234" s="2">
        <f t="shared" si="44"/>
        <v>20</v>
      </c>
      <c r="S234" s="2">
        <f t="shared" si="45"/>
        <v>20</v>
      </c>
      <c r="T234" s="2">
        <f t="shared" si="46"/>
        <v>0</v>
      </c>
      <c r="U234" s="3" t="str">
        <f t="shared" si="47"/>
        <v/>
      </c>
      <c r="V234" s="3" t="str">
        <f t="shared" si="48"/>
        <v/>
      </c>
      <c r="W234" s="3" t="str">
        <f t="shared" si="49"/>
        <v/>
      </c>
      <c r="X234" s="3" t="str">
        <f t="shared" si="50"/>
        <v/>
      </c>
      <c r="Y234" s="3" t="str">
        <f t="shared" si="51"/>
        <v>YES</v>
      </c>
    </row>
    <row r="235" spans="1:25">
      <c r="A235" t="s">
        <v>304</v>
      </c>
      <c r="B235">
        <v>25</v>
      </c>
      <c r="C235">
        <v>10</v>
      </c>
      <c r="D235">
        <v>1000</v>
      </c>
      <c r="E235">
        <v>1</v>
      </c>
      <c r="F235" t="s">
        <v>69</v>
      </c>
      <c r="G235" t="s">
        <v>70</v>
      </c>
      <c r="H235" s="2">
        <v>6</v>
      </c>
      <c r="I235" s="2">
        <v>6</v>
      </c>
      <c r="J235" s="2">
        <v>6</v>
      </c>
      <c r="K235" s="2">
        <v>6</v>
      </c>
      <c r="L235" s="2">
        <v>6</v>
      </c>
      <c r="M235" s="2">
        <f t="shared" si="39"/>
        <v>6</v>
      </c>
      <c r="N235" t="e">
        <f t="shared" ca="1" si="40"/>
        <v>#NAME?</v>
      </c>
      <c r="O235" t="str">
        <f t="shared" si="41"/>
        <v/>
      </c>
      <c r="P235" s="2">
        <f t="shared" si="42"/>
        <v>0</v>
      </c>
      <c r="Q235" s="2">
        <f t="shared" si="43"/>
        <v>0</v>
      </c>
      <c r="R235" s="2">
        <f t="shared" si="44"/>
        <v>0</v>
      </c>
      <c r="S235" s="2">
        <f t="shared" si="45"/>
        <v>0</v>
      </c>
      <c r="T235" s="2">
        <f t="shared" si="46"/>
        <v>0</v>
      </c>
      <c r="U235" s="3" t="str">
        <f t="shared" si="47"/>
        <v>YES</v>
      </c>
      <c r="V235" s="3" t="str">
        <f t="shared" si="48"/>
        <v>YES</v>
      </c>
      <c r="W235" s="3" t="str">
        <f t="shared" si="49"/>
        <v>YES</v>
      </c>
      <c r="X235" s="3" t="str">
        <f t="shared" si="50"/>
        <v>YES</v>
      </c>
      <c r="Y235" s="3" t="str">
        <f t="shared" si="51"/>
        <v>YES</v>
      </c>
    </row>
    <row r="236" spans="1:25">
      <c r="A236" t="s">
        <v>305</v>
      </c>
      <c r="B236">
        <v>25</v>
      </c>
      <c r="C236">
        <v>10</v>
      </c>
      <c r="D236">
        <v>1000</v>
      </c>
      <c r="E236">
        <v>10</v>
      </c>
      <c r="F236" t="s">
        <v>69</v>
      </c>
      <c r="G236" t="s">
        <v>70</v>
      </c>
      <c r="H236" s="2">
        <v>112</v>
      </c>
      <c r="I236" s="2">
        <v>112</v>
      </c>
      <c r="J236" s="2">
        <v>116</v>
      </c>
      <c r="K236" s="2">
        <v>106</v>
      </c>
      <c r="L236" s="2">
        <v>89</v>
      </c>
      <c r="M236" s="2">
        <f t="shared" si="39"/>
        <v>89</v>
      </c>
      <c r="N236" t="e">
        <f t="shared" ca="1" si="40"/>
        <v>#NAME?</v>
      </c>
      <c r="O236" t="str">
        <f t="shared" si="41"/>
        <v>MSIG Cost</v>
      </c>
      <c r="P236" s="2">
        <f t="shared" si="42"/>
        <v>25.842696629213485</v>
      </c>
      <c r="Q236" s="2">
        <f t="shared" si="43"/>
        <v>25.842696629213485</v>
      </c>
      <c r="R236" s="2">
        <f t="shared" si="44"/>
        <v>30.337078651685395</v>
      </c>
      <c r="S236" s="2">
        <f t="shared" si="45"/>
        <v>19.101123595505616</v>
      </c>
      <c r="T236" s="2">
        <f t="shared" si="46"/>
        <v>0</v>
      </c>
      <c r="U236" s="3" t="str">
        <f t="shared" si="47"/>
        <v/>
      </c>
      <c r="V236" s="3" t="str">
        <f t="shared" si="48"/>
        <v/>
      </c>
      <c r="W236" s="3" t="str">
        <f t="shared" si="49"/>
        <v/>
      </c>
      <c r="X236" s="3" t="str">
        <f t="shared" si="50"/>
        <v/>
      </c>
      <c r="Y236" s="3" t="str">
        <f t="shared" si="51"/>
        <v>YES</v>
      </c>
    </row>
    <row r="237" spans="1:25">
      <c r="A237" t="s">
        <v>306</v>
      </c>
      <c r="B237">
        <v>25</v>
      </c>
      <c r="C237">
        <v>10</v>
      </c>
      <c r="D237">
        <v>1000</v>
      </c>
      <c r="E237">
        <v>10</v>
      </c>
      <c r="F237" t="s">
        <v>69</v>
      </c>
      <c r="G237" t="s">
        <v>70</v>
      </c>
      <c r="H237" s="2">
        <v>114</v>
      </c>
      <c r="I237" s="2">
        <v>107</v>
      </c>
      <c r="J237" s="2">
        <v>112</v>
      </c>
      <c r="K237" s="2">
        <v>106</v>
      </c>
      <c r="L237" s="2">
        <v>91</v>
      </c>
      <c r="M237" s="2">
        <f t="shared" si="39"/>
        <v>91</v>
      </c>
      <c r="N237" t="e">
        <f t="shared" ca="1" si="40"/>
        <v>#NAME?</v>
      </c>
      <c r="O237" t="str">
        <f t="shared" si="41"/>
        <v>MSIG Cost</v>
      </c>
      <c r="P237" s="2">
        <f t="shared" si="42"/>
        <v>25.274725274725274</v>
      </c>
      <c r="Q237" s="2">
        <f t="shared" si="43"/>
        <v>17.582417582417584</v>
      </c>
      <c r="R237" s="2">
        <f t="shared" si="44"/>
        <v>23.076923076923077</v>
      </c>
      <c r="S237" s="2">
        <f t="shared" si="45"/>
        <v>16.483516483516482</v>
      </c>
      <c r="T237" s="2">
        <f t="shared" si="46"/>
        <v>0</v>
      </c>
      <c r="U237" s="3" t="str">
        <f t="shared" si="47"/>
        <v/>
      </c>
      <c r="V237" s="3" t="str">
        <f t="shared" si="48"/>
        <v/>
      </c>
      <c r="W237" s="3" t="str">
        <f t="shared" si="49"/>
        <v/>
      </c>
      <c r="X237" s="3" t="str">
        <f t="shared" si="50"/>
        <v/>
      </c>
      <c r="Y237" s="3" t="str">
        <f t="shared" si="51"/>
        <v>YES</v>
      </c>
    </row>
    <row r="238" spans="1:25">
      <c r="A238" t="s">
        <v>307</v>
      </c>
      <c r="B238">
        <v>25</v>
      </c>
      <c r="C238">
        <v>10</v>
      </c>
      <c r="D238">
        <v>1000</v>
      </c>
      <c r="E238">
        <v>1</v>
      </c>
      <c r="F238" t="s">
        <v>69</v>
      </c>
      <c r="G238" t="s">
        <v>70</v>
      </c>
      <c r="H238" s="2">
        <v>5</v>
      </c>
      <c r="I238" s="2">
        <v>5</v>
      </c>
      <c r="J238" s="2">
        <v>4</v>
      </c>
      <c r="K238" s="2">
        <v>5</v>
      </c>
      <c r="L238" s="2">
        <v>4</v>
      </c>
      <c r="M238" s="2">
        <f t="shared" si="39"/>
        <v>4</v>
      </c>
      <c r="N238" t="e">
        <f t="shared" ca="1" si="40"/>
        <v>#NAME?</v>
      </c>
      <c r="O238" t="str">
        <f t="shared" si="41"/>
        <v/>
      </c>
      <c r="P238" s="2">
        <f t="shared" si="42"/>
        <v>25</v>
      </c>
      <c r="Q238" s="2">
        <f t="shared" si="43"/>
        <v>25</v>
      </c>
      <c r="R238" s="2">
        <f t="shared" si="44"/>
        <v>0</v>
      </c>
      <c r="S238" s="2">
        <f t="shared" si="45"/>
        <v>25</v>
      </c>
      <c r="T238" s="2">
        <f t="shared" si="46"/>
        <v>0</v>
      </c>
      <c r="U238" s="3" t="str">
        <f t="shared" si="47"/>
        <v/>
      </c>
      <c r="V238" s="3" t="str">
        <f t="shared" si="48"/>
        <v/>
      </c>
      <c r="W238" s="3" t="str">
        <f t="shared" si="49"/>
        <v>YES</v>
      </c>
      <c r="X238" s="3" t="str">
        <f t="shared" si="50"/>
        <v/>
      </c>
      <c r="Y238" s="3" t="str">
        <f t="shared" si="51"/>
        <v>YES</v>
      </c>
    </row>
    <row r="239" spans="1:25">
      <c r="A239" t="s">
        <v>308</v>
      </c>
      <c r="B239">
        <v>25</v>
      </c>
      <c r="C239">
        <v>10</v>
      </c>
      <c r="D239">
        <v>1000</v>
      </c>
      <c r="E239">
        <v>1</v>
      </c>
      <c r="F239" t="s">
        <v>69</v>
      </c>
      <c r="G239" t="s">
        <v>70</v>
      </c>
      <c r="H239" s="2">
        <v>4</v>
      </c>
      <c r="I239" s="2">
        <v>4</v>
      </c>
      <c r="J239" s="2">
        <v>4</v>
      </c>
      <c r="K239" s="2">
        <v>5</v>
      </c>
      <c r="L239" s="2">
        <v>4</v>
      </c>
      <c r="M239" s="2">
        <f t="shared" si="39"/>
        <v>4</v>
      </c>
      <c r="N239" t="e">
        <f t="shared" ca="1" si="40"/>
        <v>#NAME?</v>
      </c>
      <c r="O239" t="str">
        <f t="shared" si="41"/>
        <v/>
      </c>
      <c r="P239" s="2">
        <f t="shared" si="42"/>
        <v>0</v>
      </c>
      <c r="Q239" s="2">
        <f t="shared" si="43"/>
        <v>0</v>
      </c>
      <c r="R239" s="2">
        <f t="shared" si="44"/>
        <v>0</v>
      </c>
      <c r="S239" s="2">
        <f t="shared" si="45"/>
        <v>25</v>
      </c>
      <c r="T239" s="2">
        <f t="shared" si="46"/>
        <v>0</v>
      </c>
      <c r="U239" s="3" t="str">
        <f t="shared" si="47"/>
        <v>YES</v>
      </c>
      <c r="V239" s="3" t="str">
        <f t="shared" si="48"/>
        <v>YES</v>
      </c>
      <c r="W239" s="3" t="str">
        <f t="shared" si="49"/>
        <v>YES</v>
      </c>
      <c r="X239" s="3" t="str">
        <f t="shared" si="50"/>
        <v/>
      </c>
      <c r="Y239" s="3" t="str">
        <f t="shared" si="51"/>
        <v>YES</v>
      </c>
    </row>
    <row r="240" spans="1:25">
      <c r="A240" t="s">
        <v>309</v>
      </c>
      <c r="B240">
        <v>25</v>
      </c>
      <c r="C240">
        <v>10</v>
      </c>
      <c r="D240">
        <v>1000</v>
      </c>
      <c r="E240">
        <v>10</v>
      </c>
      <c r="F240" t="s">
        <v>69</v>
      </c>
      <c r="G240" t="s">
        <v>70</v>
      </c>
      <c r="H240" s="2">
        <v>100</v>
      </c>
      <c r="I240" s="2">
        <v>102</v>
      </c>
      <c r="J240" s="2">
        <v>96</v>
      </c>
      <c r="K240" s="2">
        <v>86</v>
      </c>
      <c r="L240" s="2">
        <v>87</v>
      </c>
      <c r="M240" s="2">
        <f t="shared" si="39"/>
        <v>86</v>
      </c>
      <c r="N240" t="e">
        <f t="shared" ca="1" si="40"/>
        <v>#NAME?</v>
      </c>
      <c r="O240" t="str">
        <f t="shared" si="41"/>
        <v>Best C-TP Cost</v>
      </c>
      <c r="P240" s="2">
        <f t="shared" si="42"/>
        <v>16.279069767441861</v>
      </c>
      <c r="Q240" s="2">
        <f t="shared" si="43"/>
        <v>18.604651162790699</v>
      </c>
      <c r="R240" s="2">
        <f t="shared" si="44"/>
        <v>11.627906976744185</v>
      </c>
      <c r="S240" s="2">
        <f t="shared" si="45"/>
        <v>0</v>
      </c>
      <c r="T240" s="2">
        <f t="shared" si="46"/>
        <v>1.1627906976744187</v>
      </c>
      <c r="U240" s="3" t="str">
        <f t="shared" si="47"/>
        <v/>
      </c>
      <c r="V240" s="3" t="str">
        <f t="shared" si="48"/>
        <v/>
      </c>
      <c r="W240" s="3" t="str">
        <f t="shared" si="49"/>
        <v/>
      </c>
      <c r="X240" s="3" t="str">
        <f t="shared" si="50"/>
        <v>YES</v>
      </c>
      <c r="Y240" s="3" t="str">
        <f t="shared" si="51"/>
        <v/>
      </c>
    </row>
    <row r="241" spans="1:25">
      <c r="A241" t="s">
        <v>310</v>
      </c>
      <c r="B241">
        <v>25</v>
      </c>
      <c r="C241">
        <v>10</v>
      </c>
      <c r="D241">
        <v>1000</v>
      </c>
      <c r="E241">
        <v>10</v>
      </c>
      <c r="F241" t="s">
        <v>69</v>
      </c>
      <c r="G241" t="s">
        <v>70</v>
      </c>
      <c r="H241" s="2">
        <v>113</v>
      </c>
      <c r="I241" s="2">
        <v>111</v>
      </c>
      <c r="J241" s="2">
        <v>108</v>
      </c>
      <c r="K241" s="2">
        <v>86</v>
      </c>
      <c r="L241" s="2">
        <v>89</v>
      </c>
      <c r="M241" s="2">
        <f t="shared" si="39"/>
        <v>86</v>
      </c>
      <c r="N241" t="e">
        <f t="shared" ca="1" si="40"/>
        <v>#NAME?</v>
      </c>
      <c r="O241" t="str">
        <f t="shared" si="41"/>
        <v>Best C-TP Cost</v>
      </c>
      <c r="P241" s="2">
        <f t="shared" si="42"/>
        <v>31.395348837209301</v>
      </c>
      <c r="Q241" s="2">
        <f t="shared" si="43"/>
        <v>29.069767441860467</v>
      </c>
      <c r="R241" s="2">
        <f t="shared" si="44"/>
        <v>25.581395348837212</v>
      </c>
      <c r="S241" s="2">
        <f t="shared" si="45"/>
        <v>0</v>
      </c>
      <c r="T241" s="2">
        <f t="shared" si="46"/>
        <v>3.4883720930232558</v>
      </c>
      <c r="U241" s="3" t="str">
        <f t="shared" si="47"/>
        <v/>
      </c>
      <c r="V241" s="3" t="str">
        <f t="shared" si="48"/>
        <v/>
      </c>
      <c r="W241" s="3" t="str">
        <f t="shared" si="49"/>
        <v/>
      </c>
      <c r="X241" s="3" t="str">
        <f t="shared" si="50"/>
        <v>YES</v>
      </c>
      <c r="Y241" s="3" t="str">
        <f t="shared" si="51"/>
        <v/>
      </c>
    </row>
    <row r="242" spans="1:25">
      <c r="A242" t="s">
        <v>311</v>
      </c>
      <c r="B242">
        <v>25</v>
      </c>
      <c r="C242">
        <v>5</v>
      </c>
      <c r="D242">
        <v>1000</v>
      </c>
      <c r="E242">
        <v>1</v>
      </c>
      <c r="F242" t="s">
        <v>69</v>
      </c>
      <c r="G242" t="s">
        <v>70</v>
      </c>
      <c r="H242" s="2">
        <v>9</v>
      </c>
      <c r="I242" s="2">
        <v>9</v>
      </c>
      <c r="J242" s="2">
        <v>9</v>
      </c>
      <c r="K242" s="2">
        <v>8</v>
      </c>
      <c r="L242" s="2">
        <v>8</v>
      </c>
      <c r="M242" s="2">
        <f t="shared" si="39"/>
        <v>8</v>
      </c>
      <c r="N242" t="e">
        <f t="shared" ca="1" si="40"/>
        <v>#NAME?</v>
      </c>
      <c r="O242" t="str">
        <f t="shared" si="41"/>
        <v/>
      </c>
      <c r="P242" s="2">
        <f t="shared" si="42"/>
        <v>12.5</v>
      </c>
      <c r="Q242" s="2">
        <f t="shared" si="43"/>
        <v>12.5</v>
      </c>
      <c r="R242" s="2">
        <f t="shared" si="44"/>
        <v>12.5</v>
      </c>
      <c r="S242" s="2">
        <f t="shared" si="45"/>
        <v>0</v>
      </c>
      <c r="T242" s="2">
        <f t="shared" si="46"/>
        <v>0</v>
      </c>
      <c r="U242" s="3" t="str">
        <f t="shared" si="47"/>
        <v/>
      </c>
      <c r="V242" s="3" t="str">
        <f t="shared" si="48"/>
        <v/>
      </c>
      <c r="W242" s="3" t="str">
        <f t="shared" si="49"/>
        <v/>
      </c>
      <c r="X242" s="3" t="str">
        <f t="shared" si="50"/>
        <v>YES</v>
      </c>
      <c r="Y242" s="3" t="str">
        <f t="shared" si="51"/>
        <v>YES</v>
      </c>
    </row>
    <row r="243" spans="1:25">
      <c r="A243" t="s">
        <v>312</v>
      </c>
      <c r="B243">
        <v>25</v>
      </c>
      <c r="C243">
        <v>5</v>
      </c>
      <c r="D243">
        <v>1000</v>
      </c>
      <c r="E243">
        <v>1</v>
      </c>
      <c r="F243" t="s">
        <v>69</v>
      </c>
      <c r="G243" t="s">
        <v>70</v>
      </c>
      <c r="H243" s="2">
        <v>9</v>
      </c>
      <c r="I243" s="2">
        <v>9</v>
      </c>
      <c r="J243" s="2">
        <v>9</v>
      </c>
      <c r="K243" s="2">
        <v>8</v>
      </c>
      <c r="L243" s="2">
        <v>8</v>
      </c>
      <c r="M243" s="2">
        <f t="shared" si="39"/>
        <v>8</v>
      </c>
      <c r="N243" t="e">
        <f t="shared" ca="1" si="40"/>
        <v>#NAME?</v>
      </c>
      <c r="O243" t="str">
        <f t="shared" si="41"/>
        <v/>
      </c>
      <c r="P243" s="2">
        <f t="shared" si="42"/>
        <v>12.5</v>
      </c>
      <c r="Q243" s="2">
        <f t="shared" si="43"/>
        <v>12.5</v>
      </c>
      <c r="R243" s="2">
        <f t="shared" si="44"/>
        <v>12.5</v>
      </c>
      <c r="S243" s="2">
        <f t="shared" si="45"/>
        <v>0</v>
      </c>
      <c r="T243" s="2">
        <f t="shared" si="46"/>
        <v>0</v>
      </c>
      <c r="U243" s="3" t="str">
        <f t="shared" si="47"/>
        <v/>
      </c>
      <c r="V243" s="3" t="str">
        <f t="shared" si="48"/>
        <v/>
      </c>
      <c r="W243" s="3" t="str">
        <f t="shared" si="49"/>
        <v/>
      </c>
      <c r="X243" s="3" t="str">
        <f t="shared" si="50"/>
        <v>YES</v>
      </c>
      <c r="Y243" s="3" t="str">
        <f t="shared" si="51"/>
        <v>YES</v>
      </c>
    </row>
    <row r="244" spans="1:25">
      <c r="A244" t="s">
        <v>313</v>
      </c>
      <c r="B244">
        <v>25</v>
      </c>
      <c r="C244">
        <v>5</v>
      </c>
      <c r="D244">
        <v>1000</v>
      </c>
      <c r="E244">
        <v>10</v>
      </c>
      <c r="F244" t="s">
        <v>69</v>
      </c>
      <c r="G244" t="s">
        <v>70</v>
      </c>
      <c r="H244" s="2">
        <v>140</v>
      </c>
      <c r="I244" s="2">
        <v>140</v>
      </c>
      <c r="J244" s="2">
        <v>146</v>
      </c>
      <c r="K244" s="2">
        <v>128</v>
      </c>
      <c r="L244" s="2">
        <v>114</v>
      </c>
      <c r="M244" s="2">
        <f t="shared" si="39"/>
        <v>114</v>
      </c>
      <c r="N244" t="e">
        <f t="shared" ca="1" si="40"/>
        <v>#NAME?</v>
      </c>
      <c r="O244" t="str">
        <f t="shared" si="41"/>
        <v>MSIG Cost</v>
      </c>
      <c r="P244" s="2">
        <f t="shared" si="42"/>
        <v>22.807017543859647</v>
      </c>
      <c r="Q244" s="2">
        <f t="shared" si="43"/>
        <v>22.807017543859647</v>
      </c>
      <c r="R244" s="2">
        <f t="shared" si="44"/>
        <v>28.07017543859649</v>
      </c>
      <c r="S244" s="2">
        <f t="shared" si="45"/>
        <v>12.280701754385964</v>
      </c>
      <c r="T244" s="2">
        <f t="shared" si="46"/>
        <v>0</v>
      </c>
      <c r="U244" s="3" t="str">
        <f t="shared" si="47"/>
        <v/>
      </c>
      <c r="V244" s="3" t="str">
        <f t="shared" si="48"/>
        <v/>
      </c>
      <c r="W244" s="3" t="str">
        <f t="shared" si="49"/>
        <v/>
      </c>
      <c r="X244" s="3" t="str">
        <f t="shared" si="50"/>
        <v/>
      </c>
      <c r="Y244" s="3" t="str">
        <f t="shared" si="51"/>
        <v>YES</v>
      </c>
    </row>
    <row r="245" spans="1:25">
      <c r="A245" t="s">
        <v>314</v>
      </c>
      <c r="B245">
        <v>25</v>
      </c>
      <c r="C245">
        <v>5</v>
      </c>
      <c r="D245">
        <v>1000</v>
      </c>
      <c r="E245">
        <v>10</v>
      </c>
      <c r="F245" t="s">
        <v>69</v>
      </c>
      <c r="G245" t="s">
        <v>70</v>
      </c>
      <c r="H245" s="2">
        <v>131</v>
      </c>
      <c r="I245" s="2">
        <v>136</v>
      </c>
      <c r="J245" s="2">
        <v>131</v>
      </c>
      <c r="K245" s="2">
        <v>110</v>
      </c>
      <c r="L245" s="2">
        <v>105</v>
      </c>
      <c r="M245" s="2">
        <f t="shared" si="39"/>
        <v>105</v>
      </c>
      <c r="N245" t="e">
        <f t="shared" ca="1" si="40"/>
        <v>#NAME?</v>
      </c>
      <c r="O245" t="str">
        <f t="shared" si="41"/>
        <v>MSIG Cost</v>
      </c>
      <c r="P245" s="2">
        <f t="shared" si="42"/>
        <v>24.761904761904763</v>
      </c>
      <c r="Q245" s="2">
        <f t="shared" si="43"/>
        <v>29.523809523809526</v>
      </c>
      <c r="R245" s="2">
        <f t="shared" si="44"/>
        <v>24.761904761904763</v>
      </c>
      <c r="S245" s="2">
        <f t="shared" si="45"/>
        <v>4.7619047619047619</v>
      </c>
      <c r="T245" s="2">
        <f t="shared" si="46"/>
        <v>0</v>
      </c>
      <c r="U245" s="3" t="str">
        <f t="shared" si="47"/>
        <v/>
      </c>
      <c r="V245" s="3" t="str">
        <f t="shared" si="48"/>
        <v/>
      </c>
      <c r="W245" s="3" t="str">
        <f t="shared" si="49"/>
        <v/>
      </c>
      <c r="X245" s="3" t="str">
        <f t="shared" si="50"/>
        <v/>
      </c>
      <c r="Y245" s="3" t="str">
        <f t="shared" si="51"/>
        <v>YES</v>
      </c>
    </row>
    <row r="246" spans="1:25">
      <c r="A246" t="s">
        <v>315</v>
      </c>
      <c r="B246">
        <v>25</v>
      </c>
      <c r="C246">
        <v>5</v>
      </c>
      <c r="D246">
        <v>1000</v>
      </c>
      <c r="E246">
        <v>1</v>
      </c>
      <c r="F246" t="s">
        <v>69</v>
      </c>
      <c r="G246" t="s">
        <v>70</v>
      </c>
      <c r="H246" s="2">
        <v>8</v>
      </c>
      <c r="I246" s="2">
        <v>8</v>
      </c>
      <c r="J246" s="2">
        <v>8</v>
      </c>
      <c r="K246" s="2">
        <v>7</v>
      </c>
      <c r="L246" s="2">
        <v>7</v>
      </c>
      <c r="M246" s="2">
        <f t="shared" si="39"/>
        <v>7</v>
      </c>
      <c r="N246" t="e">
        <f t="shared" ca="1" si="40"/>
        <v>#NAME?</v>
      </c>
      <c r="O246" t="str">
        <f t="shared" si="41"/>
        <v/>
      </c>
      <c r="P246" s="2">
        <f t="shared" si="42"/>
        <v>14.285714285714285</v>
      </c>
      <c r="Q246" s="2">
        <f t="shared" si="43"/>
        <v>14.285714285714285</v>
      </c>
      <c r="R246" s="2">
        <f t="shared" si="44"/>
        <v>14.285714285714285</v>
      </c>
      <c r="S246" s="2">
        <f t="shared" si="45"/>
        <v>0</v>
      </c>
      <c r="T246" s="2">
        <f t="shared" si="46"/>
        <v>0</v>
      </c>
      <c r="U246" s="3" t="str">
        <f t="shared" si="47"/>
        <v/>
      </c>
      <c r="V246" s="3" t="str">
        <f t="shared" si="48"/>
        <v/>
      </c>
      <c r="W246" s="3" t="str">
        <f t="shared" si="49"/>
        <v/>
      </c>
      <c r="X246" s="3" t="str">
        <f t="shared" si="50"/>
        <v>YES</v>
      </c>
      <c r="Y246" s="3" t="str">
        <f t="shared" si="51"/>
        <v>YES</v>
      </c>
    </row>
    <row r="247" spans="1:25">
      <c r="A247" t="s">
        <v>316</v>
      </c>
      <c r="B247">
        <v>25</v>
      </c>
      <c r="C247">
        <v>5</v>
      </c>
      <c r="D247">
        <v>1000</v>
      </c>
      <c r="E247">
        <v>1</v>
      </c>
      <c r="F247" t="s">
        <v>69</v>
      </c>
      <c r="G247" t="s">
        <v>70</v>
      </c>
      <c r="H247" s="2">
        <v>7</v>
      </c>
      <c r="I247" s="2">
        <v>7</v>
      </c>
      <c r="J247" s="2">
        <v>7</v>
      </c>
      <c r="K247" s="2">
        <v>7</v>
      </c>
      <c r="L247" s="2">
        <v>7</v>
      </c>
      <c r="M247" s="2">
        <f t="shared" si="39"/>
        <v>7</v>
      </c>
      <c r="N247" t="e">
        <f t="shared" ca="1" si="40"/>
        <v>#NAME?</v>
      </c>
      <c r="O247" t="str">
        <f t="shared" si="41"/>
        <v/>
      </c>
      <c r="P247" s="2">
        <f t="shared" si="42"/>
        <v>0</v>
      </c>
      <c r="Q247" s="2">
        <f t="shared" si="43"/>
        <v>0</v>
      </c>
      <c r="R247" s="2">
        <f t="shared" si="44"/>
        <v>0</v>
      </c>
      <c r="S247" s="2">
        <f t="shared" si="45"/>
        <v>0</v>
      </c>
      <c r="T247" s="2">
        <f t="shared" si="46"/>
        <v>0</v>
      </c>
      <c r="U247" s="3" t="str">
        <f t="shared" si="47"/>
        <v>YES</v>
      </c>
      <c r="V247" s="3" t="str">
        <f t="shared" si="48"/>
        <v>YES</v>
      </c>
      <c r="W247" s="3" t="str">
        <f t="shared" si="49"/>
        <v>YES</v>
      </c>
      <c r="X247" s="3" t="str">
        <f t="shared" si="50"/>
        <v>YES</v>
      </c>
      <c r="Y247" s="3" t="str">
        <f t="shared" si="51"/>
        <v>YES</v>
      </c>
    </row>
    <row r="248" spans="1:25">
      <c r="A248" t="s">
        <v>317</v>
      </c>
      <c r="B248">
        <v>25</v>
      </c>
      <c r="C248">
        <v>5</v>
      </c>
      <c r="D248">
        <v>1000</v>
      </c>
      <c r="E248">
        <v>10</v>
      </c>
      <c r="F248" t="s">
        <v>69</v>
      </c>
      <c r="G248" t="s">
        <v>70</v>
      </c>
      <c r="H248" s="2">
        <v>126</v>
      </c>
      <c r="I248" s="2">
        <v>126</v>
      </c>
      <c r="J248" s="2">
        <v>122</v>
      </c>
      <c r="K248" s="2">
        <v>118</v>
      </c>
      <c r="L248" s="2">
        <v>104</v>
      </c>
      <c r="M248" s="2">
        <f t="shared" si="39"/>
        <v>104</v>
      </c>
      <c r="N248" t="e">
        <f t="shared" ca="1" si="40"/>
        <v>#NAME?</v>
      </c>
      <c r="O248" t="str">
        <f t="shared" si="41"/>
        <v>MSIG Cost</v>
      </c>
      <c r="P248" s="2">
        <f t="shared" si="42"/>
        <v>21.153846153846153</v>
      </c>
      <c r="Q248" s="2">
        <f t="shared" si="43"/>
        <v>21.153846153846153</v>
      </c>
      <c r="R248" s="2">
        <f t="shared" si="44"/>
        <v>17.307692307692307</v>
      </c>
      <c r="S248" s="2">
        <f t="shared" si="45"/>
        <v>13.461538461538462</v>
      </c>
      <c r="T248" s="2">
        <f t="shared" si="46"/>
        <v>0</v>
      </c>
      <c r="U248" s="3" t="str">
        <f t="shared" si="47"/>
        <v/>
      </c>
      <c r="V248" s="3" t="str">
        <f t="shared" si="48"/>
        <v/>
      </c>
      <c r="W248" s="3" t="str">
        <f t="shared" si="49"/>
        <v/>
      </c>
      <c r="X248" s="3" t="str">
        <f t="shared" si="50"/>
        <v/>
      </c>
      <c r="Y248" s="3" t="str">
        <f t="shared" si="51"/>
        <v>YES</v>
      </c>
    </row>
    <row r="249" spans="1:25">
      <c r="A249" t="s">
        <v>318</v>
      </c>
      <c r="B249">
        <v>25</v>
      </c>
      <c r="C249">
        <v>5</v>
      </c>
      <c r="D249">
        <v>1000</v>
      </c>
      <c r="E249">
        <v>10</v>
      </c>
      <c r="F249" t="s">
        <v>69</v>
      </c>
      <c r="G249" t="s">
        <v>70</v>
      </c>
      <c r="H249" s="2">
        <v>110</v>
      </c>
      <c r="I249" s="2">
        <v>112</v>
      </c>
      <c r="J249" s="2">
        <v>109</v>
      </c>
      <c r="K249" s="2">
        <v>110</v>
      </c>
      <c r="L249" s="2">
        <v>95</v>
      </c>
      <c r="M249" s="2">
        <f t="shared" si="39"/>
        <v>95</v>
      </c>
      <c r="N249" t="e">
        <f t="shared" ca="1" si="40"/>
        <v>#NAME?</v>
      </c>
      <c r="O249" t="str">
        <f t="shared" si="41"/>
        <v>MSIG Cost</v>
      </c>
      <c r="P249" s="2">
        <f t="shared" si="42"/>
        <v>15.789473684210526</v>
      </c>
      <c r="Q249" s="2">
        <f t="shared" si="43"/>
        <v>17.894736842105264</v>
      </c>
      <c r="R249" s="2">
        <f t="shared" si="44"/>
        <v>14.736842105263156</v>
      </c>
      <c r="S249" s="2">
        <f t="shared" si="45"/>
        <v>15.789473684210526</v>
      </c>
      <c r="T249" s="2">
        <f t="shared" si="46"/>
        <v>0</v>
      </c>
      <c r="U249" s="3" t="str">
        <f t="shared" si="47"/>
        <v/>
      </c>
      <c r="V249" s="3" t="str">
        <f t="shared" si="48"/>
        <v/>
      </c>
      <c r="W249" s="3" t="str">
        <f t="shared" si="49"/>
        <v/>
      </c>
      <c r="X249" s="3" t="str">
        <f t="shared" si="50"/>
        <v/>
      </c>
      <c r="Y249" s="3" t="str">
        <f t="shared" si="51"/>
        <v>YES</v>
      </c>
    </row>
    <row r="250" spans="1:25">
      <c r="A250" t="s">
        <v>319</v>
      </c>
      <c r="B250">
        <v>25</v>
      </c>
      <c r="C250">
        <v>5</v>
      </c>
      <c r="D250">
        <v>1000</v>
      </c>
      <c r="E250">
        <v>1</v>
      </c>
      <c r="F250" t="s">
        <v>69</v>
      </c>
      <c r="G250" t="s">
        <v>70</v>
      </c>
      <c r="H250" s="2">
        <v>6</v>
      </c>
      <c r="I250" s="2">
        <v>6</v>
      </c>
      <c r="J250" s="2">
        <v>5</v>
      </c>
      <c r="K250" s="2">
        <v>6</v>
      </c>
      <c r="L250" s="2">
        <v>5</v>
      </c>
      <c r="M250" s="2">
        <f t="shared" si="39"/>
        <v>5</v>
      </c>
      <c r="N250" t="e">
        <f t="shared" ca="1" si="40"/>
        <v>#NAME?</v>
      </c>
      <c r="O250" t="str">
        <f t="shared" si="41"/>
        <v/>
      </c>
      <c r="P250" s="2">
        <f t="shared" si="42"/>
        <v>20</v>
      </c>
      <c r="Q250" s="2">
        <f t="shared" si="43"/>
        <v>20</v>
      </c>
      <c r="R250" s="2">
        <f t="shared" si="44"/>
        <v>0</v>
      </c>
      <c r="S250" s="2">
        <f t="shared" si="45"/>
        <v>20</v>
      </c>
      <c r="T250" s="2">
        <f t="shared" si="46"/>
        <v>0</v>
      </c>
      <c r="U250" s="3" t="str">
        <f t="shared" si="47"/>
        <v/>
      </c>
      <c r="V250" s="3" t="str">
        <f t="shared" si="48"/>
        <v/>
      </c>
      <c r="W250" s="3" t="str">
        <f t="shared" si="49"/>
        <v>YES</v>
      </c>
      <c r="X250" s="3" t="str">
        <f t="shared" si="50"/>
        <v/>
      </c>
      <c r="Y250" s="3" t="str">
        <f t="shared" si="51"/>
        <v>YES</v>
      </c>
    </row>
    <row r="251" spans="1:25">
      <c r="A251" t="s">
        <v>320</v>
      </c>
      <c r="B251">
        <v>25</v>
      </c>
      <c r="C251">
        <v>5</v>
      </c>
      <c r="D251">
        <v>1000</v>
      </c>
      <c r="E251">
        <v>1</v>
      </c>
      <c r="F251" t="s">
        <v>69</v>
      </c>
      <c r="G251" t="s">
        <v>70</v>
      </c>
      <c r="H251" s="2">
        <v>5</v>
      </c>
      <c r="I251" s="2">
        <v>5</v>
      </c>
      <c r="J251" s="2">
        <v>5</v>
      </c>
      <c r="K251" s="2">
        <v>7</v>
      </c>
      <c r="L251" s="2">
        <v>5</v>
      </c>
      <c r="M251" s="2">
        <f t="shared" si="39"/>
        <v>5</v>
      </c>
      <c r="N251" t="e">
        <f t="shared" ca="1" si="40"/>
        <v>#NAME?</v>
      </c>
      <c r="O251" t="str">
        <f t="shared" si="41"/>
        <v/>
      </c>
      <c r="P251" s="2">
        <f t="shared" si="42"/>
        <v>0</v>
      </c>
      <c r="Q251" s="2">
        <f t="shared" si="43"/>
        <v>0</v>
      </c>
      <c r="R251" s="2">
        <f t="shared" si="44"/>
        <v>0</v>
      </c>
      <c r="S251" s="2">
        <f t="shared" si="45"/>
        <v>40</v>
      </c>
      <c r="T251" s="2">
        <f t="shared" si="46"/>
        <v>0</v>
      </c>
      <c r="U251" s="3" t="str">
        <f t="shared" si="47"/>
        <v>YES</v>
      </c>
      <c r="V251" s="3" t="str">
        <f t="shared" si="48"/>
        <v>YES</v>
      </c>
      <c r="W251" s="3" t="str">
        <f t="shared" si="49"/>
        <v>YES</v>
      </c>
      <c r="X251" s="3" t="str">
        <f t="shared" si="50"/>
        <v/>
      </c>
      <c r="Y251" s="3" t="str">
        <f t="shared" si="51"/>
        <v>YES</v>
      </c>
    </row>
    <row r="252" spans="1:25">
      <c r="A252" t="s">
        <v>321</v>
      </c>
      <c r="B252">
        <v>25</v>
      </c>
      <c r="C252">
        <v>5</v>
      </c>
      <c r="D252">
        <v>1000</v>
      </c>
      <c r="E252">
        <v>10</v>
      </c>
      <c r="F252" t="s">
        <v>69</v>
      </c>
      <c r="G252" t="s">
        <v>70</v>
      </c>
      <c r="H252" s="2">
        <v>103</v>
      </c>
      <c r="I252" s="2">
        <v>103</v>
      </c>
      <c r="J252" s="2">
        <v>103</v>
      </c>
      <c r="K252" s="2">
        <v>79</v>
      </c>
      <c r="L252" s="2">
        <v>82</v>
      </c>
      <c r="M252" s="2">
        <f t="shared" si="39"/>
        <v>79</v>
      </c>
      <c r="N252" t="e">
        <f t="shared" ca="1" si="40"/>
        <v>#NAME?</v>
      </c>
      <c r="O252" t="str">
        <f t="shared" si="41"/>
        <v>Best C-TP Cost</v>
      </c>
      <c r="P252" s="2">
        <f t="shared" si="42"/>
        <v>30.37974683544304</v>
      </c>
      <c r="Q252" s="2">
        <f t="shared" si="43"/>
        <v>30.37974683544304</v>
      </c>
      <c r="R252" s="2">
        <f t="shared" si="44"/>
        <v>30.37974683544304</v>
      </c>
      <c r="S252" s="2">
        <f t="shared" si="45"/>
        <v>0</v>
      </c>
      <c r="T252" s="2">
        <f t="shared" si="46"/>
        <v>3.79746835443038</v>
      </c>
      <c r="U252" s="3" t="str">
        <f t="shared" si="47"/>
        <v/>
      </c>
      <c r="V252" s="3" t="str">
        <f t="shared" si="48"/>
        <v/>
      </c>
      <c r="W252" s="3" t="str">
        <f t="shared" si="49"/>
        <v/>
      </c>
      <c r="X252" s="3" t="str">
        <f t="shared" si="50"/>
        <v>YES</v>
      </c>
      <c r="Y252" s="3" t="str">
        <f t="shared" si="51"/>
        <v/>
      </c>
    </row>
    <row r="253" spans="1:25">
      <c r="A253" t="s">
        <v>322</v>
      </c>
      <c r="B253">
        <v>25</v>
      </c>
      <c r="C253">
        <v>5</v>
      </c>
      <c r="D253">
        <v>1000</v>
      </c>
      <c r="E253">
        <v>10</v>
      </c>
      <c r="F253" t="s">
        <v>69</v>
      </c>
      <c r="G253" t="s">
        <v>70</v>
      </c>
      <c r="H253" s="2">
        <v>90</v>
      </c>
      <c r="I253" s="2">
        <v>89</v>
      </c>
      <c r="J253" s="2">
        <v>85</v>
      </c>
      <c r="K253" s="2">
        <v>84</v>
      </c>
      <c r="L253" s="2">
        <v>75</v>
      </c>
      <c r="M253" s="2">
        <f t="shared" si="39"/>
        <v>75</v>
      </c>
      <c r="N253" t="e">
        <f t="shared" ca="1" si="40"/>
        <v>#NAME?</v>
      </c>
      <c r="O253" t="str">
        <f t="shared" si="41"/>
        <v>MSIG Cost</v>
      </c>
      <c r="P253" s="2">
        <f t="shared" si="42"/>
        <v>20</v>
      </c>
      <c r="Q253" s="2">
        <f t="shared" si="43"/>
        <v>18.666666666666668</v>
      </c>
      <c r="R253" s="2">
        <f t="shared" si="44"/>
        <v>13.333333333333334</v>
      </c>
      <c r="S253" s="2">
        <f t="shared" si="45"/>
        <v>12</v>
      </c>
      <c r="T253" s="2">
        <f t="shared" si="46"/>
        <v>0</v>
      </c>
      <c r="U253" s="3" t="str">
        <f t="shared" si="47"/>
        <v/>
      </c>
      <c r="V253" s="3" t="str">
        <f t="shared" si="48"/>
        <v/>
      </c>
      <c r="W253" s="3" t="str">
        <f t="shared" si="49"/>
        <v/>
      </c>
      <c r="X253" s="3" t="str">
        <f t="shared" si="50"/>
        <v/>
      </c>
      <c r="Y253" s="3" t="str">
        <f t="shared" si="51"/>
        <v>YES</v>
      </c>
    </row>
    <row r="254" spans="1:25">
      <c r="A254" t="s">
        <v>323</v>
      </c>
      <c r="B254">
        <v>25</v>
      </c>
      <c r="C254">
        <v>5</v>
      </c>
      <c r="D254">
        <v>1000</v>
      </c>
      <c r="E254">
        <v>1</v>
      </c>
      <c r="F254" t="s">
        <v>69</v>
      </c>
      <c r="G254" t="s">
        <v>70</v>
      </c>
      <c r="H254" s="2">
        <v>4</v>
      </c>
      <c r="I254" s="2">
        <v>4</v>
      </c>
      <c r="J254" s="2">
        <v>4</v>
      </c>
      <c r="K254" s="2">
        <v>5</v>
      </c>
      <c r="L254" s="2">
        <v>4</v>
      </c>
      <c r="M254" s="2">
        <f t="shared" si="39"/>
        <v>4</v>
      </c>
      <c r="N254" t="e">
        <f t="shared" ca="1" si="40"/>
        <v>#NAME?</v>
      </c>
      <c r="O254" t="str">
        <f t="shared" si="41"/>
        <v/>
      </c>
      <c r="P254" s="2">
        <f t="shared" si="42"/>
        <v>0</v>
      </c>
      <c r="Q254" s="2">
        <f t="shared" si="43"/>
        <v>0</v>
      </c>
      <c r="R254" s="2">
        <f t="shared" si="44"/>
        <v>0</v>
      </c>
      <c r="S254" s="2">
        <f t="shared" si="45"/>
        <v>25</v>
      </c>
      <c r="T254" s="2">
        <f t="shared" si="46"/>
        <v>0</v>
      </c>
      <c r="U254" s="3" t="str">
        <f t="shared" si="47"/>
        <v>YES</v>
      </c>
      <c r="V254" s="3" t="str">
        <f t="shared" si="48"/>
        <v>YES</v>
      </c>
      <c r="W254" s="3" t="str">
        <f t="shared" si="49"/>
        <v>YES</v>
      </c>
      <c r="X254" s="3" t="str">
        <f t="shared" si="50"/>
        <v/>
      </c>
      <c r="Y254" s="3" t="str">
        <f t="shared" si="51"/>
        <v>YES</v>
      </c>
    </row>
    <row r="255" spans="1:25">
      <c r="A255" t="s">
        <v>324</v>
      </c>
      <c r="B255">
        <v>25</v>
      </c>
      <c r="C255">
        <v>5</v>
      </c>
      <c r="D255">
        <v>1000</v>
      </c>
      <c r="E255">
        <v>1</v>
      </c>
      <c r="F255" t="s">
        <v>69</v>
      </c>
      <c r="G255" t="s">
        <v>70</v>
      </c>
      <c r="H255" s="2">
        <v>4</v>
      </c>
      <c r="I255" s="2">
        <v>4</v>
      </c>
      <c r="J255" s="2">
        <v>4</v>
      </c>
      <c r="K255" s="2">
        <v>7</v>
      </c>
      <c r="L255" s="2">
        <v>4</v>
      </c>
      <c r="M255" s="2">
        <f t="shared" si="39"/>
        <v>4</v>
      </c>
      <c r="N255" t="e">
        <f t="shared" ca="1" si="40"/>
        <v>#NAME?</v>
      </c>
      <c r="O255" t="str">
        <f t="shared" si="41"/>
        <v/>
      </c>
      <c r="P255" s="2">
        <f t="shared" si="42"/>
        <v>0</v>
      </c>
      <c r="Q255" s="2">
        <f t="shared" si="43"/>
        <v>0</v>
      </c>
      <c r="R255" s="2">
        <f t="shared" si="44"/>
        <v>0</v>
      </c>
      <c r="S255" s="2">
        <f t="shared" si="45"/>
        <v>75</v>
      </c>
      <c r="T255" s="2">
        <f t="shared" si="46"/>
        <v>0</v>
      </c>
      <c r="U255" s="3" t="str">
        <f t="shared" si="47"/>
        <v>YES</v>
      </c>
      <c r="V255" s="3" t="str">
        <f t="shared" si="48"/>
        <v>YES</v>
      </c>
      <c r="W255" s="3" t="str">
        <f t="shared" si="49"/>
        <v>YES</v>
      </c>
      <c r="X255" s="3" t="str">
        <f t="shared" si="50"/>
        <v/>
      </c>
      <c r="Y255" s="3" t="str">
        <f t="shared" si="51"/>
        <v>YES</v>
      </c>
    </row>
    <row r="256" spans="1:25">
      <c r="A256" t="s">
        <v>325</v>
      </c>
      <c r="B256">
        <v>25</v>
      </c>
      <c r="C256">
        <v>5</v>
      </c>
      <c r="D256">
        <v>1000</v>
      </c>
      <c r="E256">
        <v>10</v>
      </c>
      <c r="F256" t="s">
        <v>69</v>
      </c>
      <c r="G256" t="s">
        <v>70</v>
      </c>
      <c r="H256" s="2">
        <v>90</v>
      </c>
      <c r="I256" s="2">
        <v>90</v>
      </c>
      <c r="J256" s="2">
        <v>84</v>
      </c>
      <c r="K256" s="2">
        <v>79</v>
      </c>
      <c r="L256" s="2">
        <v>78</v>
      </c>
      <c r="M256" s="2">
        <f t="shared" si="39"/>
        <v>78</v>
      </c>
      <c r="N256" t="e">
        <f t="shared" ca="1" si="40"/>
        <v>#NAME?</v>
      </c>
      <c r="O256" t="str">
        <f t="shared" si="41"/>
        <v>MSIG Cost</v>
      </c>
      <c r="P256" s="2">
        <f t="shared" si="42"/>
        <v>15.384615384615385</v>
      </c>
      <c r="Q256" s="2">
        <f t="shared" si="43"/>
        <v>15.384615384615385</v>
      </c>
      <c r="R256" s="2">
        <f t="shared" si="44"/>
        <v>7.6923076923076925</v>
      </c>
      <c r="S256" s="2">
        <f t="shared" si="45"/>
        <v>1.2820512820512819</v>
      </c>
      <c r="T256" s="2">
        <f t="shared" si="46"/>
        <v>0</v>
      </c>
      <c r="U256" s="3" t="str">
        <f t="shared" si="47"/>
        <v/>
      </c>
      <c r="V256" s="3" t="str">
        <f t="shared" si="48"/>
        <v/>
      </c>
      <c r="W256" s="3" t="str">
        <f t="shared" si="49"/>
        <v/>
      </c>
      <c r="X256" s="3" t="str">
        <f t="shared" si="50"/>
        <v/>
      </c>
      <c r="Y256" s="3" t="str">
        <f t="shared" si="51"/>
        <v>YES</v>
      </c>
    </row>
    <row r="257" spans="1:25">
      <c r="A257" t="s">
        <v>326</v>
      </c>
      <c r="B257">
        <v>25</v>
      </c>
      <c r="C257">
        <v>5</v>
      </c>
      <c r="D257">
        <v>1000</v>
      </c>
      <c r="E257">
        <v>10</v>
      </c>
      <c r="F257" t="s">
        <v>69</v>
      </c>
      <c r="G257" t="s">
        <v>70</v>
      </c>
      <c r="H257" s="2">
        <v>88</v>
      </c>
      <c r="I257" s="2">
        <v>90</v>
      </c>
      <c r="J257" s="2">
        <v>89</v>
      </c>
      <c r="K257" s="2">
        <v>84</v>
      </c>
      <c r="L257" s="2">
        <v>67</v>
      </c>
      <c r="M257" s="2">
        <f t="shared" si="39"/>
        <v>67</v>
      </c>
      <c r="N257" t="e">
        <f t="shared" ca="1" si="40"/>
        <v>#NAME?</v>
      </c>
      <c r="O257" t="str">
        <f t="shared" si="41"/>
        <v>MSIG Cost</v>
      </c>
      <c r="P257" s="2">
        <f t="shared" si="42"/>
        <v>31.343283582089555</v>
      </c>
      <c r="Q257" s="2">
        <f t="shared" si="43"/>
        <v>34.328358208955223</v>
      </c>
      <c r="R257" s="2">
        <f t="shared" si="44"/>
        <v>32.835820895522389</v>
      </c>
      <c r="S257" s="2">
        <f t="shared" si="45"/>
        <v>25.373134328358208</v>
      </c>
      <c r="T257" s="2">
        <f t="shared" si="46"/>
        <v>0</v>
      </c>
      <c r="U257" s="3" t="str">
        <f t="shared" si="47"/>
        <v/>
      </c>
      <c r="V257" s="3" t="str">
        <f t="shared" si="48"/>
        <v/>
      </c>
      <c r="W257" s="3" t="str">
        <f t="shared" si="49"/>
        <v/>
      </c>
      <c r="X257" s="3" t="str">
        <f t="shared" si="50"/>
        <v/>
      </c>
      <c r="Y257" s="3" t="str">
        <f t="shared" si="51"/>
        <v>YES</v>
      </c>
    </row>
    <row r="258" spans="1:25">
      <c r="A258" t="s">
        <v>327</v>
      </c>
      <c r="B258">
        <v>50</v>
      </c>
      <c r="C258">
        <v>10</v>
      </c>
      <c r="D258">
        <v>1000</v>
      </c>
      <c r="E258">
        <v>1</v>
      </c>
      <c r="F258" t="s">
        <v>69</v>
      </c>
      <c r="G258" t="s">
        <v>70</v>
      </c>
      <c r="H258" s="2">
        <v>20</v>
      </c>
      <c r="I258" s="2">
        <v>20</v>
      </c>
      <c r="J258" s="2">
        <v>21</v>
      </c>
      <c r="K258" s="2">
        <v>17</v>
      </c>
      <c r="L258" s="2">
        <v>17</v>
      </c>
      <c r="M258" s="2">
        <f t="shared" ref="M258:M321" si="52">MIN(H258:L258)</f>
        <v>17</v>
      </c>
      <c r="N258" t="e">
        <f t="shared" ref="N258:N321" ca="1" si="53">_xludf.TEXTJOIN(", ",TRUE,IF(H258=M258,"S-FFD",""),IF(I258=M258,"S-BFD",""),IF(J258=M258,"S-WFD",""),IF(K258=M258,"Best C-TP",""),IF(L258=M258,"MSIG",""))</f>
        <v>#NAME?</v>
      </c>
      <c r="O258" t="str">
        <f t="shared" ref="O258:O321" si="54">IF(COUNTIF(H258:L258,M258)=1,INDEX($H$1:$L$1,1,MATCH(M258,H258:L258,0)),"")</f>
        <v/>
      </c>
      <c r="P258" s="2">
        <f t="shared" ref="P258:P321" si="55">(H258-$M258)/$M258*100</f>
        <v>17.647058823529413</v>
      </c>
      <c r="Q258" s="2">
        <f t="shared" ref="Q258:Q321" si="56">(I258-$M258)/$M258*100</f>
        <v>17.647058823529413</v>
      </c>
      <c r="R258" s="2">
        <f t="shared" ref="R258:R321" si="57">(J258-$M258)/$M258*100</f>
        <v>23.52941176470588</v>
      </c>
      <c r="S258" s="2">
        <f t="shared" ref="S258:S321" si="58">(K258-$M258)/$M258*100</f>
        <v>0</v>
      </c>
      <c r="T258" s="2">
        <f t="shared" ref="T258:T321" si="59">(L258-$M258)/$M258*100</f>
        <v>0</v>
      </c>
      <c r="U258" s="3" t="str">
        <f t="shared" ref="U258:U321" si="60">IF(H258=$M258,"YES","")</f>
        <v/>
      </c>
      <c r="V258" s="3" t="str">
        <f t="shared" ref="V258:V321" si="61">IF(I258=$M258,"YES","")</f>
        <v/>
      </c>
      <c r="W258" s="3" t="str">
        <f t="shared" ref="W258:W321" si="62">IF(J258=$M258,"YES","")</f>
        <v/>
      </c>
      <c r="X258" s="3" t="str">
        <f t="shared" ref="X258:X321" si="63">IF(K258=$M258,"YES","")</f>
        <v>YES</v>
      </c>
      <c r="Y258" s="3" t="str">
        <f t="shared" ref="Y258:Y321" si="64">IF(L258=$M258,"YES","")</f>
        <v>YES</v>
      </c>
    </row>
    <row r="259" spans="1:25">
      <c r="A259" t="s">
        <v>328</v>
      </c>
      <c r="B259">
        <v>50</v>
      </c>
      <c r="C259">
        <v>10</v>
      </c>
      <c r="D259">
        <v>1000</v>
      </c>
      <c r="E259">
        <v>1</v>
      </c>
      <c r="F259" t="s">
        <v>69</v>
      </c>
      <c r="G259" t="s">
        <v>70</v>
      </c>
      <c r="H259" s="2">
        <v>19</v>
      </c>
      <c r="I259" s="2">
        <v>19</v>
      </c>
      <c r="J259" s="2">
        <v>19</v>
      </c>
      <c r="K259" s="2">
        <v>17</v>
      </c>
      <c r="L259" s="2">
        <v>17</v>
      </c>
      <c r="M259" s="2">
        <f t="shared" si="52"/>
        <v>17</v>
      </c>
      <c r="N259" t="e">
        <f t="shared" ca="1" si="53"/>
        <v>#NAME?</v>
      </c>
      <c r="O259" t="str">
        <f t="shared" si="54"/>
        <v/>
      </c>
      <c r="P259" s="2">
        <f t="shared" si="55"/>
        <v>11.76470588235294</v>
      </c>
      <c r="Q259" s="2">
        <f t="shared" si="56"/>
        <v>11.76470588235294</v>
      </c>
      <c r="R259" s="2">
        <f t="shared" si="57"/>
        <v>11.76470588235294</v>
      </c>
      <c r="S259" s="2">
        <f t="shared" si="58"/>
        <v>0</v>
      </c>
      <c r="T259" s="2">
        <f t="shared" si="59"/>
        <v>0</v>
      </c>
      <c r="U259" s="3" t="str">
        <f t="shared" si="60"/>
        <v/>
      </c>
      <c r="V259" s="3" t="str">
        <f t="shared" si="61"/>
        <v/>
      </c>
      <c r="W259" s="3" t="str">
        <f t="shared" si="62"/>
        <v/>
      </c>
      <c r="X259" s="3" t="str">
        <f t="shared" si="63"/>
        <v>YES</v>
      </c>
      <c r="Y259" s="3" t="str">
        <f t="shared" si="64"/>
        <v>YES</v>
      </c>
    </row>
    <row r="260" spans="1:25">
      <c r="A260" t="s">
        <v>329</v>
      </c>
      <c r="B260">
        <v>50</v>
      </c>
      <c r="C260">
        <v>10</v>
      </c>
      <c r="D260">
        <v>1000</v>
      </c>
      <c r="E260">
        <v>10</v>
      </c>
      <c r="F260" t="s">
        <v>69</v>
      </c>
      <c r="G260" t="s">
        <v>70</v>
      </c>
      <c r="H260" s="2">
        <v>300</v>
      </c>
      <c r="I260" s="2">
        <v>306</v>
      </c>
      <c r="J260" s="2">
        <v>315</v>
      </c>
      <c r="K260" s="2">
        <v>242</v>
      </c>
      <c r="L260" s="2">
        <v>232</v>
      </c>
      <c r="M260" s="2">
        <f t="shared" si="52"/>
        <v>232</v>
      </c>
      <c r="N260" t="e">
        <f t="shared" ca="1" si="53"/>
        <v>#NAME?</v>
      </c>
      <c r="O260" t="str">
        <f t="shared" si="54"/>
        <v>MSIG Cost</v>
      </c>
      <c r="P260" s="2">
        <f t="shared" si="55"/>
        <v>29.310344827586203</v>
      </c>
      <c r="Q260" s="2">
        <f t="shared" si="56"/>
        <v>31.896551724137932</v>
      </c>
      <c r="R260" s="2">
        <f t="shared" si="57"/>
        <v>35.775862068965516</v>
      </c>
      <c r="S260" s="2">
        <f t="shared" si="58"/>
        <v>4.3103448275862073</v>
      </c>
      <c r="T260" s="2">
        <f t="shared" si="59"/>
        <v>0</v>
      </c>
      <c r="U260" s="3" t="str">
        <f t="shared" si="60"/>
        <v/>
      </c>
      <c r="V260" s="3" t="str">
        <f t="shared" si="61"/>
        <v/>
      </c>
      <c r="W260" s="3" t="str">
        <f t="shared" si="62"/>
        <v/>
      </c>
      <c r="X260" s="3" t="str">
        <f t="shared" si="63"/>
        <v/>
      </c>
      <c r="Y260" s="3" t="str">
        <f t="shared" si="64"/>
        <v>YES</v>
      </c>
    </row>
    <row r="261" spans="1:25">
      <c r="A261" t="s">
        <v>330</v>
      </c>
      <c r="B261">
        <v>50</v>
      </c>
      <c r="C261">
        <v>10</v>
      </c>
      <c r="D261">
        <v>1000</v>
      </c>
      <c r="E261">
        <v>10</v>
      </c>
      <c r="F261" t="s">
        <v>69</v>
      </c>
      <c r="G261" t="s">
        <v>70</v>
      </c>
      <c r="H261" s="2">
        <v>315</v>
      </c>
      <c r="I261" s="2">
        <v>317</v>
      </c>
      <c r="J261" s="2">
        <v>332</v>
      </c>
      <c r="K261" s="2">
        <v>242</v>
      </c>
      <c r="L261" s="2">
        <v>237</v>
      </c>
      <c r="M261" s="2">
        <f t="shared" si="52"/>
        <v>237</v>
      </c>
      <c r="N261" t="e">
        <f t="shared" ca="1" si="53"/>
        <v>#NAME?</v>
      </c>
      <c r="O261" t="str">
        <f t="shared" si="54"/>
        <v>MSIG Cost</v>
      </c>
      <c r="P261" s="2">
        <f t="shared" si="55"/>
        <v>32.911392405063289</v>
      </c>
      <c r="Q261" s="2">
        <f t="shared" si="56"/>
        <v>33.755274261603375</v>
      </c>
      <c r="R261" s="2">
        <f t="shared" si="57"/>
        <v>40.084388185654007</v>
      </c>
      <c r="S261" s="2">
        <f t="shared" si="58"/>
        <v>2.109704641350211</v>
      </c>
      <c r="T261" s="2">
        <f t="shared" si="59"/>
        <v>0</v>
      </c>
      <c r="U261" s="3" t="str">
        <f t="shared" si="60"/>
        <v/>
      </c>
      <c r="V261" s="3" t="str">
        <f t="shared" si="61"/>
        <v/>
      </c>
      <c r="W261" s="3" t="str">
        <f t="shared" si="62"/>
        <v/>
      </c>
      <c r="X261" s="3" t="str">
        <f t="shared" si="63"/>
        <v/>
      </c>
      <c r="Y261" s="3" t="str">
        <f t="shared" si="64"/>
        <v>YES</v>
      </c>
    </row>
    <row r="262" spans="1:25">
      <c r="A262" t="s">
        <v>331</v>
      </c>
      <c r="B262">
        <v>50</v>
      </c>
      <c r="C262">
        <v>10</v>
      </c>
      <c r="D262">
        <v>1000</v>
      </c>
      <c r="E262">
        <v>1</v>
      </c>
      <c r="F262" t="s">
        <v>69</v>
      </c>
      <c r="G262" t="s">
        <v>70</v>
      </c>
      <c r="H262" s="2">
        <v>16</v>
      </c>
      <c r="I262" s="2">
        <v>16</v>
      </c>
      <c r="J262" s="2">
        <v>16</v>
      </c>
      <c r="K262" s="2">
        <v>16</v>
      </c>
      <c r="L262" s="2">
        <v>16</v>
      </c>
      <c r="M262" s="2">
        <f t="shared" si="52"/>
        <v>16</v>
      </c>
      <c r="N262" t="e">
        <f t="shared" ca="1" si="53"/>
        <v>#NAME?</v>
      </c>
      <c r="O262" t="str">
        <f t="shared" si="54"/>
        <v/>
      </c>
      <c r="P262" s="2">
        <f t="shared" si="55"/>
        <v>0</v>
      </c>
      <c r="Q262" s="2">
        <f t="shared" si="56"/>
        <v>0</v>
      </c>
      <c r="R262" s="2">
        <f t="shared" si="57"/>
        <v>0</v>
      </c>
      <c r="S262" s="2">
        <f t="shared" si="58"/>
        <v>0</v>
      </c>
      <c r="T262" s="2">
        <f t="shared" si="59"/>
        <v>0</v>
      </c>
      <c r="U262" s="3" t="str">
        <f t="shared" si="60"/>
        <v>YES</v>
      </c>
      <c r="V262" s="3" t="str">
        <f t="shared" si="61"/>
        <v>YES</v>
      </c>
      <c r="W262" s="3" t="str">
        <f t="shared" si="62"/>
        <v>YES</v>
      </c>
      <c r="X262" s="3" t="str">
        <f t="shared" si="63"/>
        <v>YES</v>
      </c>
      <c r="Y262" s="3" t="str">
        <f t="shared" si="64"/>
        <v>YES</v>
      </c>
    </row>
    <row r="263" spans="1:25">
      <c r="A263" t="s">
        <v>332</v>
      </c>
      <c r="B263">
        <v>50</v>
      </c>
      <c r="C263">
        <v>10</v>
      </c>
      <c r="D263">
        <v>1000</v>
      </c>
      <c r="E263">
        <v>1</v>
      </c>
      <c r="F263" t="s">
        <v>69</v>
      </c>
      <c r="G263" t="s">
        <v>70</v>
      </c>
      <c r="H263" s="2">
        <v>15</v>
      </c>
      <c r="I263" s="2">
        <v>15</v>
      </c>
      <c r="J263" s="2">
        <v>15</v>
      </c>
      <c r="K263" s="2">
        <v>14</v>
      </c>
      <c r="L263" s="2">
        <v>14</v>
      </c>
      <c r="M263" s="2">
        <f t="shared" si="52"/>
        <v>14</v>
      </c>
      <c r="N263" t="e">
        <f t="shared" ca="1" si="53"/>
        <v>#NAME?</v>
      </c>
      <c r="O263" t="str">
        <f t="shared" si="54"/>
        <v/>
      </c>
      <c r="P263" s="2">
        <f t="shared" si="55"/>
        <v>7.1428571428571423</v>
      </c>
      <c r="Q263" s="2">
        <f t="shared" si="56"/>
        <v>7.1428571428571423</v>
      </c>
      <c r="R263" s="2">
        <f t="shared" si="57"/>
        <v>7.1428571428571423</v>
      </c>
      <c r="S263" s="2">
        <f t="shared" si="58"/>
        <v>0</v>
      </c>
      <c r="T263" s="2">
        <f t="shared" si="59"/>
        <v>0</v>
      </c>
      <c r="U263" s="3" t="str">
        <f t="shared" si="60"/>
        <v/>
      </c>
      <c r="V263" s="3" t="str">
        <f t="shared" si="61"/>
        <v/>
      </c>
      <c r="W263" s="3" t="str">
        <f t="shared" si="62"/>
        <v/>
      </c>
      <c r="X263" s="3" t="str">
        <f t="shared" si="63"/>
        <v>YES</v>
      </c>
      <c r="Y263" s="3" t="str">
        <f t="shared" si="64"/>
        <v>YES</v>
      </c>
    </row>
    <row r="264" spans="1:25">
      <c r="A264" t="s">
        <v>333</v>
      </c>
      <c r="B264">
        <v>50</v>
      </c>
      <c r="C264">
        <v>10</v>
      </c>
      <c r="D264">
        <v>1000</v>
      </c>
      <c r="E264">
        <v>10</v>
      </c>
      <c r="F264" t="s">
        <v>69</v>
      </c>
      <c r="G264" t="s">
        <v>70</v>
      </c>
      <c r="H264" s="2">
        <v>260</v>
      </c>
      <c r="I264" s="2">
        <v>264</v>
      </c>
      <c r="J264" s="2">
        <v>267</v>
      </c>
      <c r="K264" s="2">
        <v>218</v>
      </c>
      <c r="L264" s="2">
        <v>204</v>
      </c>
      <c r="M264" s="2">
        <f t="shared" si="52"/>
        <v>204</v>
      </c>
      <c r="N264" t="e">
        <f t="shared" ca="1" si="53"/>
        <v>#NAME?</v>
      </c>
      <c r="O264" t="str">
        <f t="shared" si="54"/>
        <v>MSIG Cost</v>
      </c>
      <c r="P264" s="2">
        <f t="shared" si="55"/>
        <v>27.450980392156865</v>
      </c>
      <c r="Q264" s="2">
        <f t="shared" si="56"/>
        <v>29.411764705882355</v>
      </c>
      <c r="R264" s="2">
        <f t="shared" si="57"/>
        <v>30.882352941176471</v>
      </c>
      <c r="S264" s="2">
        <f t="shared" si="58"/>
        <v>6.8627450980392162</v>
      </c>
      <c r="T264" s="2">
        <f t="shared" si="59"/>
        <v>0</v>
      </c>
      <c r="U264" s="3" t="str">
        <f t="shared" si="60"/>
        <v/>
      </c>
      <c r="V264" s="3" t="str">
        <f t="shared" si="61"/>
        <v/>
      </c>
      <c r="W264" s="3" t="str">
        <f t="shared" si="62"/>
        <v/>
      </c>
      <c r="X264" s="3" t="str">
        <f t="shared" si="63"/>
        <v/>
      </c>
      <c r="Y264" s="3" t="str">
        <f t="shared" si="64"/>
        <v>YES</v>
      </c>
    </row>
    <row r="265" spans="1:25">
      <c r="A265" t="s">
        <v>334</v>
      </c>
      <c r="B265">
        <v>50</v>
      </c>
      <c r="C265">
        <v>10</v>
      </c>
      <c r="D265">
        <v>1000</v>
      </c>
      <c r="E265">
        <v>10</v>
      </c>
      <c r="F265" t="s">
        <v>69</v>
      </c>
      <c r="G265" t="s">
        <v>70</v>
      </c>
      <c r="H265" s="2">
        <v>296</v>
      </c>
      <c r="I265" s="2">
        <v>288</v>
      </c>
      <c r="J265" s="2">
        <v>293</v>
      </c>
      <c r="K265" s="2">
        <v>218</v>
      </c>
      <c r="L265" s="2">
        <v>217</v>
      </c>
      <c r="M265" s="2">
        <f t="shared" si="52"/>
        <v>217</v>
      </c>
      <c r="N265" t="e">
        <f t="shared" ca="1" si="53"/>
        <v>#NAME?</v>
      </c>
      <c r="O265" t="str">
        <f t="shared" si="54"/>
        <v>MSIG Cost</v>
      </c>
      <c r="P265" s="2">
        <f t="shared" si="55"/>
        <v>36.405529953917046</v>
      </c>
      <c r="Q265" s="2">
        <f t="shared" si="56"/>
        <v>32.718894009216591</v>
      </c>
      <c r="R265" s="2">
        <f t="shared" si="57"/>
        <v>35.023041474654377</v>
      </c>
      <c r="S265" s="2">
        <f t="shared" si="58"/>
        <v>0.46082949308755761</v>
      </c>
      <c r="T265" s="2">
        <f t="shared" si="59"/>
        <v>0</v>
      </c>
      <c r="U265" s="3" t="str">
        <f t="shared" si="60"/>
        <v/>
      </c>
      <c r="V265" s="3" t="str">
        <f t="shared" si="61"/>
        <v/>
      </c>
      <c r="W265" s="3" t="str">
        <f t="shared" si="62"/>
        <v/>
      </c>
      <c r="X265" s="3" t="str">
        <f t="shared" si="63"/>
        <v/>
      </c>
      <c r="Y265" s="3" t="str">
        <f t="shared" si="64"/>
        <v>YES</v>
      </c>
    </row>
    <row r="266" spans="1:25">
      <c r="A266" t="s">
        <v>335</v>
      </c>
      <c r="B266">
        <v>50</v>
      </c>
      <c r="C266">
        <v>10</v>
      </c>
      <c r="D266">
        <v>1000</v>
      </c>
      <c r="E266">
        <v>1</v>
      </c>
      <c r="F266" t="s">
        <v>69</v>
      </c>
      <c r="G266" t="s">
        <v>70</v>
      </c>
      <c r="H266" s="2">
        <v>11</v>
      </c>
      <c r="I266" s="2">
        <v>11</v>
      </c>
      <c r="J266" s="2">
        <v>12</v>
      </c>
      <c r="K266" s="2">
        <v>10</v>
      </c>
      <c r="L266" s="2">
        <v>10</v>
      </c>
      <c r="M266" s="2">
        <f t="shared" si="52"/>
        <v>10</v>
      </c>
      <c r="N266" t="e">
        <f t="shared" ca="1" si="53"/>
        <v>#NAME?</v>
      </c>
      <c r="O266" t="str">
        <f t="shared" si="54"/>
        <v/>
      </c>
      <c r="P266" s="2">
        <f t="shared" si="55"/>
        <v>10</v>
      </c>
      <c r="Q266" s="2">
        <f t="shared" si="56"/>
        <v>10</v>
      </c>
      <c r="R266" s="2">
        <f t="shared" si="57"/>
        <v>20</v>
      </c>
      <c r="S266" s="2">
        <f t="shared" si="58"/>
        <v>0</v>
      </c>
      <c r="T266" s="2">
        <f t="shared" si="59"/>
        <v>0</v>
      </c>
      <c r="U266" s="3" t="str">
        <f t="shared" si="60"/>
        <v/>
      </c>
      <c r="V266" s="3" t="str">
        <f t="shared" si="61"/>
        <v/>
      </c>
      <c r="W266" s="3" t="str">
        <f t="shared" si="62"/>
        <v/>
      </c>
      <c r="X266" s="3" t="str">
        <f t="shared" si="63"/>
        <v>YES</v>
      </c>
      <c r="Y266" s="3" t="str">
        <f t="shared" si="64"/>
        <v>YES</v>
      </c>
    </row>
    <row r="267" spans="1:25">
      <c r="A267" t="s">
        <v>336</v>
      </c>
      <c r="B267">
        <v>50</v>
      </c>
      <c r="C267">
        <v>10</v>
      </c>
      <c r="D267">
        <v>1000</v>
      </c>
      <c r="E267">
        <v>1</v>
      </c>
      <c r="F267" t="s">
        <v>69</v>
      </c>
      <c r="G267" t="s">
        <v>70</v>
      </c>
      <c r="H267" s="2">
        <v>11</v>
      </c>
      <c r="I267" s="2">
        <v>11</v>
      </c>
      <c r="J267" s="2">
        <v>12</v>
      </c>
      <c r="K267" s="2">
        <v>10</v>
      </c>
      <c r="L267" s="2">
        <v>10</v>
      </c>
      <c r="M267" s="2">
        <f t="shared" si="52"/>
        <v>10</v>
      </c>
      <c r="N267" t="e">
        <f t="shared" ca="1" si="53"/>
        <v>#NAME?</v>
      </c>
      <c r="O267" t="str">
        <f t="shared" si="54"/>
        <v/>
      </c>
      <c r="P267" s="2">
        <f t="shared" si="55"/>
        <v>10</v>
      </c>
      <c r="Q267" s="2">
        <f t="shared" si="56"/>
        <v>10</v>
      </c>
      <c r="R267" s="2">
        <f t="shared" si="57"/>
        <v>20</v>
      </c>
      <c r="S267" s="2">
        <f t="shared" si="58"/>
        <v>0</v>
      </c>
      <c r="T267" s="2">
        <f t="shared" si="59"/>
        <v>0</v>
      </c>
      <c r="U267" s="3" t="str">
        <f t="shared" si="60"/>
        <v/>
      </c>
      <c r="V267" s="3" t="str">
        <f t="shared" si="61"/>
        <v/>
      </c>
      <c r="W267" s="3" t="str">
        <f t="shared" si="62"/>
        <v/>
      </c>
      <c r="X267" s="3" t="str">
        <f t="shared" si="63"/>
        <v>YES</v>
      </c>
      <c r="Y267" s="3" t="str">
        <f t="shared" si="64"/>
        <v>YES</v>
      </c>
    </row>
    <row r="268" spans="1:25">
      <c r="A268" t="s">
        <v>337</v>
      </c>
      <c r="B268">
        <v>50</v>
      </c>
      <c r="C268">
        <v>10</v>
      </c>
      <c r="D268">
        <v>1000</v>
      </c>
      <c r="E268">
        <v>10</v>
      </c>
      <c r="F268" t="s">
        <v>69</v>
      </c>
      <c r="G268" t="s">
        <v>70</v>
      </c>
      <c r="H268" s="2">
        <v>234</v>
      </c>
      <c r="I268" s="2">
        <v>239</v>
      </c>
      <c r="J268" s="2">
        <v>241</v>
      </c>
      <c r="K268" s="2">
        <v>159</v>
      </c>
      <c r="L268" s="2">
        <v>168</v>
      </c>
      <c r="M268" s="2">
        <f t="shared" si="52"/>
        <v>159</v>
      </c>
      <c r="N268" t="e">
        <f t="shared" ca="1" si="53"/>
        <v>#NAME?</v>
      </c>
      <c r="O268" t="str">
        <f t="shared" si="54"/>
        <v>Best C-TP Cost</v>
      </c>
      <c r="P268" s="2">
        <f t="shared" si="55"/>
        <v>47.169811320754718</v>
      </c>
      <c r="Q268" s="2">
        <f t="shared" si="56"/>
        <v>50.314465408805034</v>
      </c>
      <c r="R268" s="2">
        <f t="shared" si="57"/>
        <v>51.572327044025158</v>
      </c>
      <c r="S268" s="2">
        <f t="shared" si="58"/>
        <v>0</v>
      </c>
      <c r="T268" s="2">
        <f t="shared" si="59"/>
        <v>5.6603773584905666</v>
      </c>
      <c r="U268" s="3" t="str">
        <f t="shared" si="60"/>
        <v/>
      </c>
      <c r="V268" s="3" t="str">
        <f t="shared" si="61"/>
        <v/>
      </c>
      <c r="W268" s="3" t="str">
        <f t="shared" si="62"/>
        <v/>
      </c>
      <c r="X268" s="3" t="str">
        <f t="shared" si="63"/>
        <v>YES</v>
      </c>
      <c r="Y268" s="3" t="str">
        <f t="shared" si="64"/>
        <v/>
      </c>
    </row>
    <row r="269" spans="1:25">
      <c r="A269" t="s">
        <v>338</v>
      </c>
      <c r="B269">
        <v>50</v>
      </c>
      <c r="C269">
        <v>10</v>
      </c>
      <c r="D269">
        <v>1000</v>
      </c>
      <c r="E269">
        <v>10</v>
      </c>
      <c r="F269" t="s">
        <v>69</v>
      </c>
      <c r="G269" t="s">
        <v>70</v>
      </c>
      <c r="H269" s="2">
        <v>223</v>
      </c>
      <c r="I269" s="2">
        <v>249</v>
      </c>
      <c r="J269" s="2">
        <v>250</v>
      </c>
      <c r="K269" s="2">
        <v>159</v>
      </c>
      <c r="L269" s="2">
        <v>165</v>
      </c>
      <c r="M269" s="2">
        <f t="shared" si="52"/>
        <v>159</v>
      </c>
      <c r="N269" t="e">
        <f t="shared" ca="1" si="53"/>
        <v>#NAME?</v>
      </c>
      <c r="O269" t="str">
        <f t="shared" si="54"/>
        <v>Best C-TP Cost</v>
      </c>
      <c r="P269" s="2">
        <f t="shared" si="55"/>
        <v>40.25157232704403</v>
      </c>
      <c r="Q269" s="2">
        <f t="shared" si="56"/>
        <v>56.60377358490566</v>
      </c>
      <c r="R269" s="2">
        <f t="shared" si="57"/>
        <v>57.232704402515722</v>
      </c>
      <c r="S269" s="2">
        <f t="shared" si="58"/>
        <v>0</v>
      </c>
      <c r="T269" s="2">
        <f t="shared" si="59"/>
        <v>3.7735849056603774</v>
      </c>
      <c r="U269" s="3" t="str">
        <f t="shared" si="60"/>
        <v/>
      </c>
      <c r="V269" s="3" t="str">
        <f t="shared" si="61"/>
        <v/>
      </c>
      <c r="W269" s="3" t="str">
        <f t="shared" si="62"/>
        <v/>
      </c>
      <c r="X269" s="3" t="str">
        <f t="shared" si="63"/>
        <v>YES</v>
      </c>
      <c r="Y269" s="3" t="str">
        <f t="shared" si="64"/>
        <v/>
      </c>
    </row>
    <row r="270" spans="1:25">
      <c r="A270" t="s">
        <v>339</v>
      </c>
      <c r="B270">
        <v>50</v>
      </c>
      <c r="C270">
        <v>10</v>
      </c>
      <c r="D270">
        <v>1000</v>
      </c>
      <c r="E270">
        <v>1</v>
      </c>
      <c r="F270" t="s">
        <v>69</v>
      </c>
      <c r="G270" t="s">
        <v>70</v>
      </c>
      <c r="H270" s="2">
        <v>8</v>
      </c>
      <c r="I270" s="2">
        <v>8</v>
      </c>
      <c r="J270" s="2">
        <v>8</v>
      </c>
      <c r="K270" s="2">
        <v>9</v>
      </c>
      <c r="L270" s="2">
        <v>8</v>
      </c>
      <c r="M270" s="2">
        <f t="shared" si="52"/>
        <v>8</v>
      </c>
      <c r="N270" t="e">
        <f t="shared" ca="1" si="53"/>
        <v>#NAME?</v>
      </c>
      <c r="O270" t="str">
        <f t="shared" si="54"/>
        <v/>
      </c>
      <c r="P270" s="2">
        <f t="shared" si="55"/>
        <v>0</v>
      </c>
      <c r="Q270" s="2">
        <f t="shared" si="56"/>
        <v>0</v>
      </c>
      <c r="R270" s="2">
        <f t="shared" si="57"/>
        <v>0</v>
      </c>
      <c r="S270" s="2">
        <f t="shared" si="58"/>
        <v>12.5</v>
      </c>
      <c r="T270" s="2">
        <f t="shared" si="59"/>
        <v>0</v>
      </c>
      <c r="U270" s="3" t="str">
        <f t="shared" si="60"/>
        <v>YES</v>
      </c>
      <c r="V270" s="3" t="str">
        <f t="shared" si="61"/>
        <v>YES</v>
      </c>
      <c r="W270" s="3" t="str">
        <f t="shared" si="62"/>
        <v>YES</v>
      </c>
      <c r="X270" s="3" t="str">
        <f t="shared" si="63"/>
        <v/>
      </c>
      <c r="Y270" s="3" t="str">
        <f t="shared" si="64"/>
        <v>YES</v>
      </c>
    </row>
    <row r="271" spans="1:25">
      <c r="A271" t="s">
        <v>340</v>
      </c>
      <c r="B271">
        <v>50</v>
      </c>
      <c r="C271">
        <v>10</v>
      </c>
      <c r="D271">
        <v>1000</v>
      </c>
      <c r="E271">
        <v>1</v>
      </c>
      <c r="F271" t="s">
        <v>69</v>
      </c>
      <c r="G271" t="s">
        <v>70</v>
      </c>
      <c r="H271" s="2">
        <v>8</v>
      </c>
      <c r="I271" s="2">
        <v>8</v>
      </c>
      <c r="J271" s="2">
        <v>8</v>
      </c>
      <c r="K271" s="2">
        <v>10</v>
      </c>
      <c r="L271" s="2">
        <v>8</v>
      </c>
      <c r="M271" s="2">
        <f t="shared" si="52"/>
        <v>8</v>
      </c>
      <c r="N271" t="e">
        <f t="shared" ca="1" si="53"/>
        <v>#NAME?</v>
      </c>
      <c r="O271" t="str">
        <f t="shared" si="54"/>
        <v/>
      </c>
      <c r="P271" s="2">
        <f t="shared" si="55"/>
        <v>0</v>
      </c>
      <c r="Q271" s="2">
        <f t="shared" si="56"/>
        <v>0</v>
      </c>
      <c r="R271" s="2">
        <f t="shared" si="57"/>
        <v>0</v>
      </c>
      <c r="S271" s="2">
        <f t="shared" si="58"/>
        <v>25</v>
      </c>
      <c r="T271" s="2">
        <f t="shared" si="59"/>
        <v>0</v>
      </c>
      <c r="U271" s="3" t="str">
        <f t="shared" si="60"/>
        <v>YES</v>
      </c>
      <c r="V271" s="3" t="str">
        <f t="shared" si="61"/>
        <v>YES</v>
      </c>
      <c r="W271" s="3" t="str">
        <f t="shared" si="62"/>
        <v>YES</v>
      </c>
      <c r="X271" s="3" t="str">
        <f t="shared" si="63"/>
        <v/>
      </c>
      <c r="Y271" s="3" t="str">
        <f t="shared" si="64"/>
        <v>YES</v>
      </c>
    </row>
    <row r="272" spans="1:25">
      <c r="A272" t="s">
        <v>341</v>
      </c>
      <c r="B272">
        <v>50</v>
      </c>
      <c r="C272">
        <v>10</v>
      </c>
      <c r="D272">
        <v>1000</v>
      </c>
      <c r="E272">
        <v>10</v>
      </c>
      <c r="F272" t="s">
        <v>69</v>
      </c>
      <c r="G272" t="s">
        <v>70</v>
      </c>
      <c r="H272" s="2">
        <v>205</v>
      </c>
      <c r="I272" s="2">
        <v>220</v>
      </c>
      <c r="J272" s="2">
        <v>219</v>
      </c>
      <c r="K272" s="2">
        <v>149</v>
      </c>
      <c r="L272" s="2">
        <v>148</v>
      </c>
      <c r="M272" s="2">
        <f t="shared" si="52"/>
        <v>148</v>
      </c>
      <c r="N272" t="e">
        <f t="shared" ca="1" si="53"/>
        <v>#NAME?</v>
      </c>
      <c r="O272" t="str">
        <f t="shared" si="54"/>
        <v>MSIG Cost</v>
      </c>
      <c r="P272" s="2">
        <f t="shared" si="55"/>
        <v>38.513513513513516</v>
      </c>
      <c r="Q272" s="2">
        <f t="shared" si="56"/>
        <v>48.648648648648653</v>
      </c>
      <c r="R272" s="2">
        <f t="shared" si="57"/>
        <v>47.972972972972968</v>
      </c>
      <c r="S272" s="2">
        <f t="shared" si="58"/>
        <v>0.67567567567567566</v>
      </c>
      <c r="T272" s="2">
        <f t="shared" si="59"/>
        <v>0</v>
      </c>
      <c r="U272" s="3" t="str">
        <f t="shared" si="60"/>
        <v/>
      </c>
      <c r="V272" s="3" t="str">
        <f t="shared" si="61"/>
        <v/>
      </c>
      <c r="W272" s="3" t="str">
        <f t="shared" si="62"/>
        <v/>
      </c>
      <c r="X272" s="3" t="str">
        <f t="shared" si="63"/>
        <v/>
      </c>
      <c r="Y272" s="3" t="str">
        <f t="shared" si="64"/>
        <v>YES</v>
      </c>
    </row>
    <row r="273" spans="1:25">
      <c r="A273" t="s">
        <v>342</v>
      </c>
      <c r="B273">
        <v>50</v>
      </c>
      <c r="C273">
        <v>10</v>
      </c>
      <c r="D273">
        <v>1000</v>
      </c>
      <c r="E273">
        <v>10</v>
      </c>
      <c r="F273" t="s">
        <v>69</v>
      </c>
      <c r="G273" t="s">
        <v>70</v>
      </c>
      <c r="H273" s="2">
        <v>224</v>
      </c>
      <c r="I273" s="2">
        <v>227</v>
      </c>
      <c r="J273" s="2">
        <v>213</v>
      </c>
      <c r="K273" s="2">
        <v>149</v>
      </c>
      <c r="L273" s="2">
        <v>151</v>
      </c>
      <c r="M273" s="2">
        <f t="shared" si="52"/>
        <v>149</v>
      </c>
      <c r="N273" t="e">
        <f t="shared" ca="1" si="53"/>
        <v>#NAME?</v>
      </c>
      <c r="O273" t="str">
        <f t="shared" si="54"/>
        <v>Best C-TP Cost</v>
      </c>
      <c r="P273" s="2">
        <f t="shared" si="55"/>
        <v>50.335570469798661</v>
      </c>
      <c r="Q273" s="2">
        <f t="shared" si="56"/>
        <v>52.348993288590606</v>
      </c>
      <c r="R273" s="2">
        <f t="shared" si="57"/>
        <v>42.95302013422819</v>
      </c>
      <c r="S273" s="2">
        <f t="shared" si="58"/>
        <v>0</v>
      </c>
      <c r="T273" s="2">
        <f t="shared" si="59"/>
        <v>1.3422818791946309</v>
      </c>
      <c r="U273" s="3" t="str">
        <f t="shared" si="60"/>
        <v/>
      </c>
      <c r="V273" s="3" t="str">
        <f t="shared" si="61"/>
        <v/>
      </c>
      <c r="W273" s="3" t="str">
        <f t="shared" si="62"/>
        <v/>
      </c>
      <c r="X273" s="3" t="str">
        <f t="shared" si="63"/>
        <v>YES</v>
      </c>
      <c r="Y273" s="3" t="str">
        <f t="shared" si="64"/>
        <v/>
      </c>
    </row>
    <row r="274" spans="1:25">
      <c r="A274" t="s">
        <v>343</v>
      </c>
      <c r="B274">
        <v>50</v>
      </c>
      <c r="C274">
        <v>5</v>
      </c>
      <c r="D274">
        <v>1000</v>
      </c>
      <c r="E274">
        <v>1</v>
      </c>
      <c r="F274" t="s">
        <v>69</v>
      </c>
      <c r="G274" t="s">
        <v>70</v>
      </c>
      <c r="H274" s="2">
        <v>19</v>
      </c>
      <c r="I274" s="2">
        <v>19</v>
      </c>
      <c r="J274" s="2">
        <v>19</v>
      </c>
      <c r="K274" s="2">
        <v>17</v>
      </c>
      <c r="L274" s="2">
        <v>17</v>
      </c>
      <c r="M274" s="2">
        <f t="shared" si="52"/>
        <v>17</v>
      </c>
      <c r="N274" t="e">
        <f t="shared" ca="1" si="53"/>
        <v>#NAME?</v>
      </c>
      <c r="O274" t="str">
        <f t="shared" si="54"/>
        <v/>
      </c>
      <c r="P274" s="2">
        <f t="shared" si="55"/>
        <v>11.76470588235294</v>
      </c>
      <c r="Q274" s="2">
        <f t="shared" si="56"/>
        <v>11.76470588235294</v>
      </c>
      <c r="R274" s="2">
        <f t="shared" si="57"/>
        <v>11.76470588235294</v>
      </c>
      <c r="S274" s="2">
        <f t="shared" si="58"/>
        <v>0</v>
      </c>
      <c r="T274" s="2">
        <f t="shared" si="59"/>
        <v>0</v>
      </c>
      <c r="U274" s="3" t="str">
        <f t="shared" si="60"/>
        <v/>
      </c>
      <c r="V274" s="3" t="str">
        <f t="shared" si="61"/>
        <v/>
      </c>
      <c r="W274" s="3" t="str">
        <f t="shared" si="62"/>
        <v/>
      </c>
      <c r="X274" s="3" t="str">
        <f t="shared" si="63"/>
        <v>YES</v>
      </c>
      <c r="Y274" s="3" t="str">
        <f t="shared" si="64"/>
        <v>YES</v>
      </c>
    </row>
    <row r="275" spans="1:25">
      <c r="A275" t="s">
        <v>344</v>
      </c>
      <c r="B275">
        <v>50</v>
      </c>
      <c r="C275">
        <v>5</v>
      </c>
      <c r="D275">
        <v>1000</v>
      </c>
      <c r="E275">
        <v>1</v>
      </c>
      <c r="F275" t="s">
        <v>69</v>
      </c>
      <c r="G275" t="s">
        <v>70</v>
      </c>
      <c r="H275" s="2">
        <v>18</v>
      </c>
      <c r="I275" s="2">
        <v>18</v>
      </c>
      <c r="J275" s="2">
        <v>19</v>
      </c>
      <c r="K275" s="2">
        <v>17</v>
      </c>
      <c r="L275" s="2">
        <v>16</v>
      </c>
      <c r="M275" s="2">
        <f t="shared" si="52"/>
        <v>16</v>
      </c>
      <c r="N275" t="e">
        <f t="shared" ca="1" si="53"/>
        <v>#NAME?</v>
      </c>
      <c r="O275" t="str">
        <f t="shared" si="54"/>
        <v>MSIG Cost</v>
      </c>
      <c r="P275" s="2">
        <f t="shared" si="55"/>
        <v>12.5</v>
      </c>
      <c r="Q275" s="2">
        <f t="shared" si="56"/>
        <v>12.5</v>
      </c>
      <c r="R275" s="2">
        <f t="shared" si="57"/>
        <v>18.75</v>
      </c>
      <c r="S275" s="2">
        <f t="shared" si="58"/>
        <v>6.25</v>
      </c>
      <c r="T275" s="2">
        <f t="shared" si="59"/>
        <v>0</v>
      </c>
      <c r="U275" s="3" t="str">
        <f t="shared" si="60"/>
        <v/>
      </c>
      <c r="V275" s="3" t="str">
        <f t="shared" si="61"/>
        <v/>
      </c>
      <c r="W275" s="3" t="str">
        <f t="shared" si="62"/>
        <v/>
      </c>
      <c r="X275" s="3" t="str">
        <f t="shared" si="63"/>
        <v/>
      </c>
      <c r="Y275" s="3" t="str">
        <f t="shared" si="64"/>
        <v>YES</v>
      </c>
    </row>
    <row r="276" spans="1:25">
      <c r="A276" t="s">
        <v>345</v>
      </c>
      <c r="B276">
        <v>50</v>
      </c>
      <c r="C276">
        <v>5</v>
      </c>
      <c r="D276">
        <v>1000</v>
      </c>
      <c r="E276">
        <v>10</v>
      </c>
      <c r="F276" t="s">
        <v>69</v>
      </c>
      <c r="G276" t="s">
        <v>70</v>
      </c>
      <c r="H276" s="2">
        <v>292</v>
      </c>
      <c r="I276" s="2">
        <v>289</v>
      </c>
      <c r="J276" s="2">
        <v>283</v>
      </c>
      <c r="K276" s="2">
        <v>225</v>
      </c>
      <c r="L276" s="2">
        <v>213</v>
      </c>
      <c r="M276" s="2">
        <f t="shared" si="52"/>
        <v>213</v>
      </c>
      <c r="N276" t="e">
        <f t="shared" ca="1" si="53"/>
        <v>#NAME?</v>
      </c>
      <c r="O276" t="str">
        <f t="shared" si="54"/>
        <v>MSIG Cost</v>
      </c>
      <c r="P276" s="2">
        <f t="shared" si="55"/>
        <v>37.089201877934272</v>
      </c>
      <c r="Q276" s="2">
        <f t="shared" si="56"/>
        <v>35.68075117370892</v>
      </c>
      <c r="R276" s="2">
        <f t="shared" si="57"/>
        <v>32.863849765258216</v>
      </c>
      <c r="S276" s="2">
        <f t="shared" si="58"/>
        <v>5.6338028169014089</v>
      </c>
      <c r="T276" s="2">
        <f t="shared" si="59"/>
        <v>0</v>
      </c>
      <c r="U276" s="3" t="str">
        <f t="shared" si="60"/>
        <v/>
      </c>
      <c r="V276" s="3" t="str">
        <f t="shared" si="61"/>
        <v/>
      </c>
      <c r="W276" s="3" t="str">
        <f t="shared" si="62"/>
        <v/>
      </c>
      <c r="X276" s="3" t="str">
        <f t="shared" si="63"/>
        <v/>
      </c>
      <c r="Y276" s="3" t="str">
        <f t="shared" si="64"/>
        <v>YES</v>
      </c>
    </row>
    <row r="277" spans="1:25">
      <c r="A277" t="s">
        <v>346</v>
      </c>
      <c r="B277">
        <v>50</v>
      </c>
      <c r="C277">
        <v>5</v>
      </c>
      <c r="D277">
        <v>1000</v>
      </c>
      <c r="E277">
        <v>10</v>
      </c>
      <c r="F277" t="s">
        <v>69</v>
      </c>
      <c r="G277" t="s">
        <v>70</v>
      </c>
      <c r="H277" s="2">
        <v>293</v>
      </c>
      <c r="I277" s="2">
        <v>301</v>
      </c>
      <c r="J277" s="2">
        <v>305</v>
      </c>
      <c r="K277" s="2">
        <v>212</v>
      </c>
      <c r="L277" s="2">
        <v>209</v>
      </c>
      <c r="M277" s="2">
        <f t="shared" si="52"/>
        <v>209</v>
      </c>
      <c r="N277" t="e">
        <f t="shared" ca="1" si="53"/>
        <v>#NAME?</v>
      </c>
      <c r="O277" t="str">
        <f t="shared" si="54"/>
        <v>MSIG Cost</v>
      </c>
      <c r="P277" s="2">
        <f t="shared" si="55"/>
        <v>40.191387559808611</v>
      </c>
      <c r="Q277" s="2">
        <f t="shared" si="56"/>
        <v>44.019138755980862</v>
      </c>
      <c r="R277" s="2">
        <f t="shared" si="57"/>
        <v>45.933014354066984</v>
      </c>
      <c r="S277" s="2">
        <f t="shared" si="58"/>
        <v>1.4354066985645932</v>
      </c>
      <c r="T277" s="2">
        <f t="shared" si="59"/>
        <v>0</v>
      </c>
      <c r="U277" s="3" t="str">
        <f t="shared" si="60"/>
        <v/>
      </c>
      <c r="V277" s="3" t="str">
        <f t="shared" si="61"/>
        <v/>
      </c>
      <c r="W277" s="3" t="str">
        <f t="shared" si="62"/>
        <v/>
      </c>
      <c r="X277" s="3" t="str">
        <f t="shared" si="63"/>
        <v/>
      </c>
      <c r="Y277" s="3" t="str">
        <f t="shared" si="64"/>
        <v>YES</v>
      </c>
    </row>
    <row r="278" spans="1:25">
      <c r="A278" t="s">
        <v>347</v>
      </c>
      <c r="B278">
        <v>50</v>
      </c>
      <c r="C278">
        <v>5</v>
      </c>
      <c r="D278">
        <v>1000</v>
      </c>
      <c r="E278">
        <v>1</v>
      </c>
      <c r="F278" t="s">
        <v>91</v>
      </c>
      <c r="G278" t="s">
        <v>70</v>
      </c>
      <c r="H278" s="2">
        <v>15</v>
      </c>
      <c r="I278" s="2">
        <v>15</v>
      </c>
      <c r="J278" s="2">
        <v>15</v>
      </c>
      <c r="K278" s="2">
        <v>16</v>
      </c>
      <c r="L278" s="2">
        <v>15</v>
      </c>
      <c r="M278" s="2">
        <f t="shared" si="52"/>
        <v>15</v>
      </c>
      <c r="N278" t="e">
        <f t="shared" ca="1" si="53"/>
        <v>#NAME?</v>
      </c>
      <c r="O278" t="str">
        <f t="shared" si="54"/>
        <v/>
      </c>
      <c r="P278" s="2">
        <f t="shared" si="55"/>
        <v>0</v>
      </c>
      <c r="Q278" s="2">
        <f t="shared" si="56"/>
        <v>0</v>
      </c>
      <c r="R278" s="2">
        <f t="shared" si="57"/>
        <v>0</v>
      </c>
      <c r="S278" s="2">
        <f t="shared" si="58"/>
        <v>6.666666666666667</v>
      </c>
      <c r="T278" s="2">
        <f t="shared" si="59"/>
        <v>0</v>
      </c>
      <c r="U278" s="3" t="str">
        <f t="shared" si="60"/>
        <v>YES</v>
      </c>
      <c r="V278" s="3" t="str">
        <f t="shared" si="61"/>
        <v>YES</v>
      </c>
      <c r="W278" s="3" t="str">
        <f t="shared" si="62"/>
        <v>YES</v>
      </c>
      <c r="X278" s="3" t="str">
        <f t="shared" si="63"/>
        <v/>
      </c>
      <c r="Y278" s="3" t="str">
        <f t="shared" si="64"/>
        <v>YES</v>
      </c>
    </row>
    <row r="279" spans="1:25">
      <c r="A279" t="s">
        <v>348</v>
      </c>
      <c r="B279">
        <v>50</v>
      </c>
      <c r="C279">
        <v>5</v>
      </c>
      <c r="D279">
        <v>1000</v>
      </c>
      <c r="E279">
        <v>1</v>
      </c>
      <c r="F279" t="s">
        <v>69</v>
      </c>
      <c r="G279" t="s">
        <v>70</v>
      </c>
      <c r="H279" s="2">
        <v>15</v>
      </c>
      <c r="I279" s="2">
        <v>15</v>
      </c>
      <c r="J279" s="2">
        <v>15</v>
      </c>
      <c r="K279" s="2">
        <v>14</v>
      </c>
      <c r="L279" s="2">
        <v>14</v>
      </c>
      <c r="M279" s="2">
        <f t="shared" si="52"/>
        <v>14</v>
      </c>
      <c r="N279" t="e">
        <f t="shared" ca="1" si="53"/>
        <v>#NAME?</v>
      </c>
      <c r="O279" t="str">
        <f t="shared" si="54"/>
        <v/>
      </c>
      <c r="P279" s="2">
        <f t="shared" si="55"/>
        <v>7.1428571428571423</v>
      </c>
      <c r="Q279" s="2">
        <f t="shared" si="56"/>
        <v>7.1428571428571423</v>
      </c>
      <c r="R279" s="2">
        <f t="shared" si="57"/>
        <v>7.1428571428571423</v>
      </c>
      <c r="S279" s="2">
        <f t="shared" si="58"/>
        <v>0</v>
      </c>
      <c r="T279" s="2">
        <f t="shared" si="59"/>
        <v>0</v>
      </c>
      <c r="U279" s="3" t="str">
        <f t="shared" si="60"/>
        <v/>
      </c>
      <c r="V279" s="3" t="str">
        <f t="shared" si="61"/>
        <v/>
      </c>
      <c r="W279" s="3" t="str">
        <f t="shared" si="62"/>
        <v/>
      </c>
      <c r="X279" s="3" t="str">
        <f t="shared" si="63"/>
        <v>YES</v>
      </c>
      <c r="Y279" s="3" t="str">
        <f t="shared" si="64"/>
        <v>YES</v>
      </c>
    </row>
    <row r="280" spans="1:25">
      <c r="A280" t="s">
        <v>349</v>
      </c>
      <c r="B280">
        <v>50</v>
      </c>
      <c r="C280">
        <v>5</v>
      </c>
      <c r="D280">
        <v>1000</v>
      </c>
      <c r="E280">
        <v>10</v>
      </c>
      <c r="F280" t="s">
        <v>69</v>
      </c>
      <c r="G280" t="s">
        <v>70</v>
      </c>
      <c r="H280" s="2">
        <v>249</v>
      </c>
      <c r="I280" s="2">
        <v>258</v>
      </c>
      <c r="J280" s="2">
        <v>241</v>
      </c>
      <c r="K280" s="2">
        <v>221</v>
      </c>
      <c r="L280" s="2">
        <v>189</v>
      </c>
      <c r="M280" s="2">
        <f t="shared" si="52"/>
        <v>189</v>
      </c>
      <c r="N280" t="e">
        <f t="shared" ca="1" si="53"/>
        <v>#NAME?</v>
      </c>
      <c r="O280" t="str">
        <f t="shared" si="54"/>
        <v>MSIG Cost</v>
      </c>
      <c r="P280" s="2">
        <f t="shared" si="55"/>
        <v>31.746031746031743</v>
      </c>
      <c r="Q280" s="2">
        <f t="shared" si="56"/>
        <v>36.507936507936506</v>
      </c>
      <c r="R280" s="2">
        <f t="shared" si="57"/>
        <v>27.513227513227513</v>
      </c>
      <c r="S280" s="2">
        <f t="shared" si="58"/>
        <v>16.93121693121693</v>
      </c>
      <c r="T280" s="2">
        <f t="shared" si="59"/>
        <v>0</v>
      </c>
      <c r="U280" s="3" t="str">
        <f t="shared" si="60"/>
        <v/>
      </c>
      <c r="V280" s="3" t="str">
        <f t="shared" si="61"/>
        <v/>
      </c>
      <c r="W280" s="3" t="str">
        <f t="shared" si="62"/>
        <v/>
      </c>
      <c r="X280" s="3" t="str">
        <f t="shared" si="63"/>
        <v/>
      </c>
      <c r="Y280" s="3" t="str">
        <f t="shared" si="64"/>
        <v>YES</v>
      </c>
    </row>
    <row r="281" spans="1:25">
      <c r="A281" t="s">
        <v>350</v>
      </c>
      <c r="B281">
        <v>50</v>
      </c>
      <c r="C281">
        <v>5</v>
      </c>
      <c r="D281">
        <v>1000</v>
      </c>
      <c r="E281">
        <v>10</v>
      </c>
      <c r="F281" t="s">
        <v>69</v>
      </c>
      <c r="G281" t="s">
        <v>70</v>
      </c>
      <c r="H281" s="2">
        <v>265</v>
      </c>
      <c r="I281" s="2">
        <v>265</v>
      </c>
      <c r="J281" s="2">
        <v>261</v>
      </c>
      <c r="K281" s="2">
        <v>204</v>
      </c>
      <c r="L281" s="2">
        <v>193</v>
      </c>
      <c r="M281" s="2">
        <f t="shared" si="52"/>
        <v>193</v>
      </c>
      <c r="N281" t="e">
        <f t="shared" ca="1" si="53"/>
        <v>#NAME?</v>
      </c>
      <c r="O281" t="str">
        <f t="shared" si="54"/>
        <v>MSIG Cost</v>
      </c>
      <c r="P281" s="2">
        <f t="shared" si="55"/>
        <v>37.305699481865283</v>
      </c>
      <c r="Q281" s="2">
        <f t="shared" si="56"/>
        <v>37.305699481865283</v>
      </c>
      <c r="R281" s="2">
        <f t="shared" si="57"/>
        <v>35.233160621761655</v>
      </c>
      <c r="S281" s="2">
        <f t="shared" si="58"/>
        <v>5.6994818652849739</v>
      </c>
      <c r="T281" s="2">
        <f t="shared" si="59"/>
        <v>0</v>
      </c>
      <c r="U281" s="3" t="str">
        <f t="shared" si="60"/>
        <v/>
      </c>
      <c r="V281" s="3" t="str">
        <f t="shared" si="61"/>
        <v/>
      </c>
      <c r="W281" s="3" t="str">
        <f t="shared" si="62"/>
        <v/>
      </c>
      <c r="X281" s="3" t="str">
        <f t="shared" si="63"/>
        <v/>
      </c>
      <c r="Y281" s="3" t="str">
        <f t="shared" si="64"/>
        <v>YES</v>
      </c>
    </row>
    <row r="282" spans="1:25">
      <c r="A282" t="s">
        <v>351</v>
      </c>
      <c r="B282">
        <v>50</v>
      </c>
      <c r="C282">
        <v>5</v>
      </c>
      <c r="D282">
        <v>1000</v>
      </c>
      <c r="E282">
        <v>1</v>
      </c>
      <c r="F282" t="s">
        <v>69</v>
      </c>
      <c r="G282" t="s">
        <v>70</v>
      </c>
      <c r="H282" s="2">
        <v>10</v>
      </c>
      <c r="I282" s="2">
        <v>10</v>
      </c>
      <c r="J282" s="2">
        <v>10</v>
      </c>
      <c r="K282" s="2">
        <v>10</v>
      </c>
      <c r="L282" s="2">
        <v>9</v>
      </c>
      <c r="M282" s="2">
        <f t="shared" si="52"/>
        <v>9</v>
      </c>
      <c r="N282" t="e">
        <f t="shared" ca="1" si="53"/>
        <v>#NAME?</v>
      </c>
      <c r="O282" t="str">
        <f t="shared" si="54"/>
        <v>MSIG Cost</v>
      </c>
      <c r="P282" s="2">
        <f t="shared" si="55"/>
        <v>11.111111111111111</v>
      </c>
      <c r="Q282" s="2">
        <f t="shared" si="56"/>
        <v>11.111111111111111</v>
      </c>
      <c r="R282" s="2">
        <f t="shared" si="57"/>
        <v>11.111111111111111</v>
      </c>
      <c r="S282" s="2">
        <f t="shared" si="58"/>
        <v>11.111111111111111</v>
      </c>
      <c r="T282" s="2">
        <f t="shared" si="59"/>
        <v>0</v>
      </c>
      <c r="U282" s="3" t="str">
        <f t="shared" si="60"/>
        <v/>
      </c>
      <c r="V282" s="3" t="str">
        <f t="shared" si="61"/>
        <v/>
      </c>
      <c r="W282" s="3" t="str">
        <f t="shared" si="62"/>
        <v/>
      </c>
      <c r="X282" s="3" t="str">
        <f t="shared" si="63"/>
        <v/>
      </c>
      <c r="Y282" s="3" t="str">
        <f t="shared" si="64"/>
        <v>YES</v>
      </c>
    </row>
    <row r="283" spans="1:25">
      <c r="A283" t="s">
        <v>352</v>
      </c>
      <c r="B283">
        <v>50</v>
      </c>
      <c r="C283">
        <v>5</v>
      </c>
      <c r="D283">
        <v>1000</v>
      </c>
      <c r="E283">
        <v>1</v>
      </c>
      <c r="F283" t="s">
        <v>69</v>
      </c>
      <c r="G283" t="s">
        <v>70</v>
      </c>
      <c r="H283" s="2">
        <v>10</v>
      </c>
      <c r="I283" s="2">
        <v>11</v>
      </c>
      <c r="J283" s="2">
        <v>10</v>
      </c>
      <c r="K283" s="2">
        <v>11</v>
      </c>
      <c r="L283" s="2">
        <v>9</v>
      </c>
      <c r="M283" s="2">
        <f t="shared" si="52"/>
        <v>9</v>
      </c>
      <c r="N283" t="e">
        <f t="shared" ca="1" si="53"/>
        <v>#NAME?</v>
      </c>
      <c r="O283" t="str">
        <f t="shared" si="54"/>
        <v>MSIG Cost</v>
      </c>
      <c r="P283" s="2">
        <f t="shared" si="55"/>
        <v>11.111111111111111</v>
      </c>
      <c r="Q283" s="2">
        <f t="shared" si="56"/>
        <v>22.222222222222221</v>
      </c>
      <c r="R283" s="2">
        <f t="shared" si="57"/>
        <v>11.111111111111111</v>
      </c>
      <c r="S283" s="2">
        <f t="shared" si="58"/>
        <v>22.222222222222221</v>
      </c>
      <c r="T283" s="2">
        <f t="shared" si="59"/>
        <v>0</v>
      </c>
      <c r="U283" s="3" t="str">
        <f t="shared" si="60"/>
        <v/>
      </c>
      <c r="V283" s="3" t="str">
        <f t="shared" si="61"/>
        <v/>
      </c>
      <c r="W283" s="3" t="str">
        <f t="shared" si="62"/>
        <v/>
      </c>
      <c r="X283" s="3" t="str">
        <f t="shared" si="63"/>
        <v/>
      </c>
      <c r="Y283" s="3" t="str">
        <f t="shared" si="64"/>
        <v>YES</v>
      </c>
    </row>
    <row r="284" spans="1:25">
      <c r="A284" t="s">
        <v>353</v>
      </c>
      <c r="B284">
        <v>50</v>
      </c>
      <c r="C284">
        <v>5</v>
      </c>
      <c r="D284">
        <v>1000</v>
      </c>
      <c r="E284">
        <v>10</v>
      </c>
      <c r="F284" t="s">
        <v>69</v>
      </c>
      <c r="G284" t="s">
        <v>70</v>
      </c>
      <c r="H284" s="2">
        <v>201</v>
      </c>
      <c r="I284" s="2">
        <v>202</v>
      </c>
      <c r="J284" s="2">
        <v>180</v>
      </c>
      <c r="K284" s="2">
        <v>139</v>
      </c>
      <c r="L284" s="2">
        <v>137</v>
      </c>
      <c r="M284" s="2">
        <f t="shared" si="52"/>
        <v>137</v>
      </c>
      <c r="N284" t="e">
        <f t="shared" ca="1" si="53"/>
        <v>#NAME?</v>
      </c>
      <c r="O284" t="str">
        <f t="shared" si="54"/>
        <v>MSIG Cost</v>
      </c>
      <c r="P284" s="2">
        <f t="shared" si="55"/>
        <v>46.715328467153284</v>
      </c>
      <c r="Q284" s="2">
        <f t="shared" si="56"/>
        <v>47.445255474452551</v>
      </c>
      <c r="R284" s="2">
        <f t="shared" si="57"/>
        <v>31.386861313868614</v>
      </c>
      <c r="S284" s="2">
        <f t="shared" si="58"/>
        <v>1.4598540145985401</v>
      </c>
      <c r="T284" s="2">
        <f t="shared" si="59"/>
        <v>0</v>
      </c>
      <c r="U284" s="3" t="str">
        <f t="shared" si="60"/>
        <v/>
      </c>
      <c r="V284" s="3" t="str">
        <f t="shared" si="61"/>
        <v/>
      </c>
      <c r="W284" s="3" t="str">
        <f t="shared" si="62"/>
        <v/>
      </c>
      <c r="X284" s="3" t="str">
        <f t="shared" si="63"/>
        <v/>
      </c>
      <c r="Y284" s="3" t="str">
        <f t="shared" si="64"/>
        <v>YES</v>
      </c>
    </row>
    <row r="285" spans="1:25">
      <c r="A285" t="s">
        <v>354</v>
      </c>
      <c r="B285">
        <v>50</v>
      </c>
      <c r="C285">
        <v>5</v>
      </c>
      <c r="D285">
        <v>1000</v>
      </c>
      <c r="E285">
        <v>10</v>
      </c>
      <c r="F285" t="s">
        <v>69</v>
      </c>
      <c r="G285" t="s">
        <v>70</v>
      </c>
      <c r="H285" s="2">
        <v>162</v>
      </c>
      <c r="I285" s="2">
        <v>177</v>
      </c>
      <c r="J285" s="2">
        <v>157</v>
      </c>
      <c r="K285" s="2">
        <v>136</v>
      </c>
      <c r="L285" s="2">
        <v>124</v>
      </c>
      <c r="M285" s="2">
        <f t="shared" si="52"/>
        <v>124</v>
      </c>
      <c r="N285" t="e">
        <f t="shared" ca="1" si="53"/>
        <v>#NAME?</v>
      </c>
      <c r="O285" t="str">
        <f t="shared" si="54"/>
        <v>MSIG Cost</v>
      </c>
      <c r="P285" s="2">
        <f t="shared" si="55"/>
        <v>30.64516129032258</v>
      </c>
      <c r="Q285" s="2">
        <f t="shared" si="56"/>
        <v>42.741935483870968</v>
      </c>
      <c r="R285" s="2">
        <f t="shared" si="57"/>
        <v>26.612903225806448</v>
      </c>
      <c r="S285" s="2">
        <f t="shared" si="58"/>
        <v>9.67741935483871</v>
      </c>
      <c r="T285" s="2">
        <f t="shared" si="59"/>
        <v>0</v>
      </c>
      <c r="U285" s="3" t="str">
        <f t="shared" si="60"/>
        <v/>
      </c>
      <c r="V285" s="3" t="str">
        <f t="shared" si="61"/>
        <v/>
      </c>
      <c r="W285" s="3" t="str">
        <f t="shared" si="62"/>
        <v/>
      </c>
      <c r="X285" s="3" t="str">
        <f t="shared" si="63"/>
        <v/>
      </c>
      <c r="Y285" s="3" t="str">
        <f t="shared" si="64"/>
        <v>YES</v>
      </c>
    </row>
    <row r="286" spans="1:25">
      <c r="A286" t="s">
        <v>355</v>
      </c>
      <c r="B286">
        <v>50</v>
      </c>
      <c r="C286">
        <v>5</v>
      </c>
      <c r="D286">
        <v>1000</v>
      </c>
      <c r="E286">
        <v>1</v>
      </c>
      <c r="F286" t="s">
        <v>69</v>
      </c>
      <c r="G286" t="s">
        <v>70</v>
      </c>
      <c r="H286" s="2">
        <v>8</v>
      </c>
      <c r="I286" s="2">
        <v>7</v>
      </c>
      <c r="J286" s="2">
        <v>7</v>
      </c>
      <c r="K286" s="2">
        <v>9</v>
      </c>
      <c r="L286" s="2">
        <v>7</v>
      </c>
      <c r="M286" s="2">
        <f t="shared" si="52"/>
        <v>7</v>
      </c>
      <c r="N286" t="e">
        <f t="shared" ca="1" si="53"/>
        <v>#NAME?</v>
      </c>
      <c r="O286" t="str">
        <f t="shared" si="54"/>
        <v/>
      </c>
      <c r="P286" s="2">
        <f t="shared" si="55"/>
        <v>14.285714285714285</v>
      </c>
      <c r="Q286" s="2">
        <f t="shared" si="56"/>
        <v>0</v>
      </c>
      <c r="R286" s="2">
        <f t="shared" si="57"/>
        <v>0</v>
      </c>
      <c r="S286" s="2">
        <f t="shared" si="58"/>
        <v>28.571428571428569</v>
      </c>
      <c r="T286" s="2">
        <f t="shared" si="59"/>
        <v>0</v>
      </c>
      <c r="U286" s="3" t="str">
        <f t="shared" si="60"/>
        <v/>
      </c>
      <c r="V286" s="3" t="str">
        <f t="shared" si="61"/>
        <v>YES</v>
      </c>
      <c r="W286" s="3" t="str">
        <f t="shared" si="62"/>
        <v>YES</v>
      </c>
      <c r="X286" s="3" t="str">
        <f t="shared" si="63"/>
        <v/>
      </c>
      <c r="Y286" s="3" t="str">
        <f t="shared" si="64"/>
        <v>YES</v>
      </c>
    </row>
    <row r="287" spans="1:25">
      <c r="A287" t="s">
        <v>356</v>
      </c>
      <c r="B287">
        <v>50</v>
      </c>
      <c r="C287">
        <v>5</v>
      </c>
      <c r="D287">
        <v>1000</v>
      </c>
      <c r="E287">
        <v>1</v>
      </c>
      <c r="F287" t="s">
        <v>69</v>
      </c>
      <c r="G287" t="s">
        <v>70</v>
      </c>
      <c r="H287" s="2">
        <v>8</v>
      </c>
      <c r="I287" s="2">
        <v>8</v>
      </c>
      <c r="J287" s="2">
        <v>8</v>
      </c>
      <c r="K287" s="2">
        <v>10</v>
      </c>
      <c r="L287" s="2">
        <v>8</v>
      </c>
      <c r="M287" s="2">
        <f t="shared" si="52"/>
        <v>8</v>
      </c>
      <c r="N287" t="e">
        <f t="shared" ca="1" si="53"/>
        <v>#NAME?</v>
      </c>
      <c r="O287" t="str">
        <f t="shared" si="54"/>
        <v/>
      </c>
      <c r="P287" s="2">
        <f t="shared" si="55"/>
        <v>0</v>
      </c>
      <c r="Q287" s="2">
        <f t="shared" si="56"/>
        <v>0</v>
      </c>
      <c r="R287" s="2">
        <f t="shared" si="57"/>
        <v>0</v>
      </c>
      <c r="S287" s="2">
        <f t="shared" si="58"/>
        <v>25</v>
      </c>
      <c r="T287" s="2">
        <f t="shared" si="59"/>
        <v>0</v>
      </c>
      <c r="U287" s="3" t="str">
        <f t="shared" si="60"/>
        <v>YES</v>
      </c>
      <c r="V287" s="3" t="str">
        <f t="shared" si="61"/>
        <v>YES</v>
      </c>
      <c r="W287" s="3" t="str">
        <f t="shared" si="62"/>
        <v>YES</v>
      </c>
      <c r="X287" s="3" t="str">
        <f t="shared" si="63"/>
        <v/>
      </c>
      <c r="Y287" s="3" t="str">
        <f t="shared" si="64"/>
        <v>YES</v>
      </c>
    </row>
    <row r="288" spans="1:25">
      <c r="A288" t="s">
        <v>357</v>
      </c>
      <c r="B288">
        <v>50</v>
      </c>
      <c r="C288">
        <v>5</v>
      </c>
      <c r="D288">
        <v>1000</v>
      </c>
      <c r="E288">
        <v>10</v>
      </c>
      <c r="F288" t="s">
        <v>69</v>
      </c>
      <c r="G288" t="s">
        <v>70</v>
      </c>
      <c r="H288" s="2">
        <v>159</v>
      </c>
      <c r="I288" s="2">
        <v>164</v>
      </c>
      <c r="J288" s="2">
        <v>158</v>
      </c>
      <c r="K288" s="2">
        <v>130</v>
      </c>
      <c r="L288" s="2">
        <v>117</v>
      </c>
      <c r="M288" s="2">
        <f t="shared" si="52"/>
        <v>117</v>
      </c>
      <c r="N288" t="e">
        <f t="shared" ca="1" si="53"/>
        <v>#NAME?</v>
      </c>
      <c r="O288" t="str">
        <f t="shared" si="54"/>
        <v>MSIG Cost</v>
      </c>
      <c r="P288" s="2">
        <f t="shared" si="55"/>
        <v>35.897435897435898</v>
      </c>
      <c r="Q288" s="2">
        <f t="shared" si="56"/>
        <v>40.17094017094017</v>
      </c>
      <c r="R288" s="2">
        <f t="shared" si="57"/>
        <v>35.042735042735039</v>
      </c>
      <c r="S288" s="2">
        <f t="shared" si="58"/>
        <v>11.111111111111111</v>
      </c>
      <c r="T288" s="2">
        <f t="shared" si="59"/>
        <v>0</v>
      </c>
      <c r="U288" s="3" t="str">
        <f t="shared" si="60"/>
        <v/>
      </c>
      <c r="V288" s="3" t="str">
        <f t="shared" si="61"/>
        <v/>
      </c>
      <c r="W288" s="3" t="str">
        <f t="shared" si="62"/>
        <v/>
      </c>
      <c r="X288" s="3" t="str">
        <f t="shared" si="63"/>
        <v/>
      </c>
      <c r="Y288" s="3" t="str">
        <f t="shared" si="64"/>
        <v>YES</v>
      </c>
    </row>
    <row r="289" spans="1:25">
      <c r="A289" t="s">
        <v>358</v>
      </c>
      <c r="B289">
        <v>50</v>
      </c>
      <c r="C289">
        <v>5</v>
      </c>
      <c r="D289">
        <v>1000</v>
      </c>
      <c r="E289">
        <v>10</v>
      </c>
      <c r="F289" t="s">
        <v>69</v>
      </c>
      <c r="G289" t="s">
        <v>70</v>
      </c>
      <c r="H289" s="2">
        <v>140</v>
      </c>
      <c r="I289" s="2">
        <v>134</v>
      </c>
      <c r="J289" s="2">
        <v>141</v>
      </c>
      <c r="K289" s="2">
        <v>136</v>
      </c>
      <c r="L289" s="2">
        <v>102</v>
      </c>
      <c r="M289" s="2">
        <f t="shared" si="52"/>
        <v>102</v>
      </c>
      <c r="N289" t="e">
        <f t="shared" ca="1" si="53"/>
        <v>#NAME?</v>
      </c>
      <c r="O289" t="str">
        <f t="shared" si="54"/>
        <v>MSIG Cost</v>
      </c>
      <c r="P289" s="2">
        <f t="shared" si="55"/>
        <v>37.254901960784316</v>
      </c>
      <c r="Q289" s="2">
        <f t="shared" si="56"/>
        <v>31.372549019607842</v>
      </c>
      <c r="R289" s="2">
        <f t="shared" si="57"/>
        <v>38.235294117647058</v>
      </c>
      <c r="S289" s="2">
        <f t="shared" si="58"/>
        <v>33.333333333333329</v>
      </c>
      <c r="T289" s="2">
        <f t="shared" si="59"/>
        <v>0</v>
      </c>
      <c r="U289" s="3" t="str">
        <f t="shared" si="60"/>
        <v/>
      </c>
      <c r="V289" s="3" t="str">
        <f t="shared" si="61"/>
        <v/>
      </c>
      <c r="W289" s="3" t="str">
        <f t="shared" si="62"/>
        <v/>
      </c>
      <c r="X289" s="3" t="str">
        <f t="shared" si="63"/>
        <v/>
      </c>
      <c r="Y289" s="3" t="str">
        <f t="shared" si="64"/>
        <v>YES</v>
      </c>
    </row>
    <row r="290" spans="1:25">
      <c r="A290" t="s">
        <v>359</v>
      </c>
      <c r="B290">
        <v>75</v>
      </c>
      <c r="C290">
        <v>10</v>
      </c>
      <c r="D290">
        <v>1000</v>
      </c>
      <c r="E290">
        <v>1</v>
      </c>
      <c r="F290" t="s">
        <v>69</v>
      </c>
      <c r="G290" t="s">
        <v>70</v>
      </c>
      <c r="H290" s="2">
        <v>26</v>
      </c>
      <c r="I290" s="2">
        <v>26</v>
      </c>
      <c r="J290" s="2">
        <v>26</v>
      </c>
      <c r="K290" s="2">
        <v>23</v>
      </c>
      <c r="L290" s="2">
        <v>24</v>
      </c>
      <c r="M290" s="2">
        <f t="shared" si="52"/>
        <v>23</v>
      </c>
      <c r="N290" t="e">
        <f t="shared" ca="1" si="53"/>
        <v>#NAME?</v>
      </c>
      <c r="O290" t="str">
        <f t="shared" si="54"/>
        <v>Best C-TP Cost</v>
      </c>
      <c r="P290" s="2">
        <f t="shared" si="55"/>
        <v>13.043478260869565</v>
      </c>
      <c r="Q290" s="2">
        <f t="shared" si="56"/>
        <v>13.043478260869565</v>
      </c>
      <c r="R290" s="2">
        <f t="shared" si="57"/>
        <v>13.043478260869565</v>
      </c>
      <c r="S290" s="2">
        <f t="shared" si="58"/>
        <v>0</v>
      </c>
      <c r="T290" s="2">
        <f t="shared" si="59"/>
        <v>4.3478260869565215</v>
      </c>
      <c r="U290" s="3" t="str">
        <f t="shared" si="60"/>
        <v/>
      </c>
      <c r="V290" s="3" t="str">
        <f t="shared" si="61"/>
        <v/>
      </c>
      <c r="W290" s="3" t="str">
        <f t="shared" si="62"/>
        <v/>
      </c>
      <c r="X290" s="3" t="str">
        <f t="shared" si="63"/>
        <v>YES</v>
      </c>
      <c r="Y290" s="3" t="str">
        <f t="shared" si="64"/>
        <v/>
      </c>
    </row>
    <row r="291" spans="1:25">
      <c r="A291" t="s">
        <v>360</v>
      </c>
      <c r="B291">
        <v>75</v>
      </c>
      <c r="C291">
        <v>10</v>
      </c>
      <c r="D291">
        <v>1000</v>
      </c>
      <c r="E291">
        <v>1</v>
      </c>
      <c r="F291" t="s">
        <v>69</v>
      </c>
      <c r="G291" t="s">
        <v>70</v>
      </c>
      <c r="H291" s="2">
        <v>27</v>
      </c>
      <c r="I291" s="2">
        <v>27</v>
      </c>
      <c r="J291" s="2">
        <v>28</v>
      </c>
      <c r="K291" s="2">
        <v>24</v>
      </c>
      <c r="L291" s="2">
        <v>25</v>
      </c>
      <c r="M291" s="2">
        <f t="shared" si="52"/>
        <v>24</v>
      </c>
      <c r="N291" t="e">
        <f t="shared" ca="1" si="53"/>
        <v>#NAME?</v>
      </c>
      <c r="O291" t="str">
        <f t="shared" si="54"/>
        <v>Best C-TP Cost</v>
      </c>
      <c r="P291" s="2">
        <f t="shared" si="55"/>
        <v>12.5</v>
      </c>
      <c r="Q291" s="2">
        <f t="shared" si="56"/>
        <v>12.5</v>
      </c>
      <c r="R291" s="2">
        <f t="shared" si="57"/>
        <v>16.666666666666664</v>
      </c>
      <c r="S291" s="2">
        <f t="shared" si="58"/>
        <v>0</v>
      </c>
      <c r="T291" s="2">
        <f t="shared" si="59"/>
        <v>4.1666666666666661</v>
      </c>
      <c r="U291" s="3" t="str">
        <f t="shared" si="60"/>
        <v/>
      </c>
      <c r="V291" s="3" t="str">
        <f t="shared" si="61"/>
        <v/>
      </c>
      <c r="W291" s="3" t="str">
        <f t="shared" si="62"/>
        <v/>
      </c>
      <c r="X291" s="3" t="str">
        <f t="shared" si="63"/>
        <v>YES</v>
      </c>
      <c r="Y291" s="3" t="str">
        <f t="shared" si="64"/>
        <v/>
      </c>
    </row>
    <row r="292" spans="1:25">
      <c r="A292" t="s">
        <v>361</v>
      </c>
      <c r="B292">
        <v>75</v>
      </c>
      <c r="C292">
        <v>10</v>
      </c>
      <c r="D292">
        <v>1000</v>
      </c>
      <c r="E292">
        <v>10</v>
      </c>
      <c r="F292" t="s">
        <v>91</v>
      </c>
      <c r="G292" t="s">
        <v>70</v>
      </c>
      <c r="H292" s="2">
        <v>451</v>
      </c>
      <c r="I292" s="2">
        <v>459</v>
      </c>
      <c r="J292" s="2">
        <v>448</v>
      </c>
      <c r="K292" s="2">
        <v>342</v>
      </c>
      <c r="L292" s="2">
        <v>306</v>
      </c>
      <c r="M292" s="2">
        <f t="shared" si="52"/>
        <v>306</v>
      </c>
      <c r="N292" t="e">
        <f t="shared" ca="1" si="53"/>
        <v>#NAME?</v>
      </c>
      <c r="O292" t="str">
        <f t="shared" si="54"/>
        <v>MSIG Cost</v>
      </c>
      <c r="P292" s="2">
        <f t="shared" si="55"/>
        <v>47.385620915032675</v>
      </c>
      <c r="Q292" s="2">
        <f t="shared" si="56"/>
        <v>50</v>
      </c>
      <c r="R292" s="2">
        <f t="shared" si="57"/>
        <v>46.405228758169933</v>
      </c>
      <c r="S292" s="2">
        <f t="shared" si="58"/>
        <v>11.76470588235294</v>
      </c>
      <c r="T292" s="2">
        <f t="shared" si="59"/>
        <v>0</v>
      </c>
      <c r="U292" s="3" t="str">
        <f t="shared" si="60"/>
        <v/>
      </c>
      <c r="V292" s="3" t="str">
        <f t="shared" si="61"/>
        <v/>
      </c>
      <c r="W292" s="3" t="str">
        <f t="shared" si="62"/>
        <v/>
      </c>
      <c r="X292" s="3" t="str">
        <f t="shared" si="63"/>
        <v/>
      </c>
      <c r="Y292" s="3" t="str">
        <f t="shared" si="64"/>
        <v>YES</v>
      </c>
    </row>
    <row r="293" spans="1:25">
      <c r="A293" t="s">
        <v>362</v>
      </c>
      <c r="B293">
        <v>75</v>
      </c>
      <c r="C293">
        <v>10</v>
      </c>
      <c r="D293">
        <v>1000</v>
      </c>
      <c r="E293">
        <v>10</v>
      </c>
      <c r="F293" t="s">
        <v>69</v>
      </c>
      <c r="G293" t="s">
        <v>70</v>
      </c>
      <c r="H293" s="2">
        <v>440</v>
      </c>
      <c r="I293" s="2">
        <v>431</v>
      </c>
      <c r="J293" s="2">
        <v>464</v>
      </c>
      <c r="K293" s="2">
        <v>338</v>
      </c>
      <c r="L293" s="2">
        <v>317</v>
      </c>
      <c r="M293" s="2">
        <f t="shared" si="52"/>
        <v>317</v>
      </c>
      <c r="N293" t="e">
        <f t="shared" ca="1" si="53"/>
        <v>#NAME?</v>
      </c>
      <c r="O293" t="str">
        <f t="shared" si="54"/>
        <v>MSIG Cost</v>
      </c>
      <c r="P293" s="2">
        <f t="shared" si="55"/>
        <v>38.801261829652994</v>
      </c>
      <c r="Q293" s="2">
        <f t="shared" si="56"/>
        <v>35.962145110410091</v>
      </c>
      <c r="R293" s="2">
        <f t="shared" si="57"/>
        <v>46.372239747634069</v>
      </c>
      <c r="S293" s="2">
        <f t="shared" si="58"/>
        <v>6.624605678233439</v>
      </c>
      <c r="T293" s="2">
        <f t="shared" si="59"/>
        <v>0</v>
      </c>
      <c r="U293" s="3" t="str">
        <f t="shared" si="60"/>
        <v/>
      </c>
      <c r="V293" s="3" t="str">
        <f t="shared" si="61"/>
        <v/>
      </c>
      <c r="W293" s="3" t="str">
        <f t="shared" si="62"/>
        <v/>
      </c>
      <c r="X293" s="3" t="str">
        <f t="shared" si="63"/>
        <v/>
      </c>
      <c r="Y293" s="3" t="str">
        <f t="shared" si="64"/>
        <v>YES</v>
      </c>
    </row>
    <row r="294" spans="1:25">
      <c r="A294" t="s">
        <v>363</v>
      </c>
      <c r="B294">
        <v>75</v>
      </c>
      <c r="C294">
        <v>10</v>
      </c>
      <c r="D294">
        <v>1000</v>
      </c>
      <c r="E294">
        <v>1</v>
      </c>
      <c r="F294" t="s">
        <v>69</v>
      </c>
      <c r="G294" t="s">
        <v>70</v>
      </c>
      <c r="H294" s="2">
        <v>21</v>
      </c>
      <c r="I294" s="2">
        <v>21</v>
      </c>
      <c r="J294" s="2">
        <v>21</v>
      </c>
      <c r="K294" s="2">
        <v>21</v>
      </c>
      <c r="L294" s="2">
        <v>20</v>
      </c>
      <c r="M294" s="2">
        <f t="shared" si="52"/>
        <v>20</v>
      </c>
      <c r="N294" t="e">
        <f t="shared" ca="1" si="53"/>
        <v>#NAME?</v>
      </c>
      <c r="O294" t="str">
        <f t="shared" si="54"/>
        <v>MSIG Cost</v>
      </c>
      <c r="P294" s="2">
        <f t="shared" si="55"/>
        <v>5</v>
      </c>
      <c r="Q294" s="2">
        <f t="shared" si="56"/>
        <v>5</v>
      </c>
      <c r="R294" s="2">
        <f t="shared" si="57"/>
        <v>5</v>
      </c>
      <c r="S294" s="2">
        <f t="shared" si="58"/>
        <v>5</v>
      </c>
      <c r="T294" s="2">
        <f t="shared" si="59"/>
        <v>0</v>
      </c>
      <c r="U294" s="3" t="str">
        <f t="shared" si="60"/>
        <v/>
      </c>
      <c r="V294" s="3" t="str">
        <f t="shared" si="61"/>
        <v/>
      </c>
      <c r="W294" s="3" t="str">
        <f t="shared" si="62"/>
        <v/>
      </c>
      <c r="X294" s="3" t="str">
        <f t="shared" si="63"/>
        <v/>
      </c>
      <c r="Y294" s="3" t="str">
        <f t="shared" si="64"/>
        <v>YES</v>
      </c>
    </row>
    <row r="295" spans="1:25">
      <c r="A295" t="s">
        <v>364</v>
      </c>
      <c r="B295">
        <v>75</v>
      </c>
      <c r="C295">
        <v>10</v>
      </c>
      <c r="D295">
        <v>1000</v>
      </c>
      <c r="E295">
        <v>1</v>
      </c>
      <c r="F295" t="s">
        <v>69</v>
      </c>
      <c r="G295" t="s">
        <v>70</v>
      </c>
      <c r="H295" s="2">
        <v>22</v>
      </c>
      <c r="I295" s="2">
        <v>22</v>
      </c>
      <c r="J295" s="2">
        <v>22</v>
      </c>
      <c r="K295" s="2">
        <v>21</v>
      </c>
      <c r="L295" s="2">
        <v>21</v>
      </c>
      <c r="M295" s="2">
        <f t="shared" si="52"/>
        <v>21</v>
      </c>
      <c r="N295" t="e">
        <f t="shared" ca="1" si="53"/>
        <v>#NAME?</v>
      </c>
      <c r="O295" t="str">
        <f t="shared" si="54"/>
        <v/>
      </c>
      <c r="P295" s="2">
        <f t="shared" si="55"/>
        <v>4.7619047619047619</v>
      </c>
      <c r="Q295" s="2">
        <f t="shared" si="56"/>
        <v>4.7619047619047619</v>
      </c>
      <c r="R295" s="2">
        <f t="shared" si="57"/>
        <v>4.7619047619047619</v>
      </c>
      <c r="S295" s="2">
        <f t="shared" si="58"/>
        <v>0</v>
      </c>
      <c r="T295" s="2">
        <f t="shared" si="59"/>
        <v>0</v>
      </c>
      <c r="U295" s="3" t="str">
        <f t="shared" si="60"/>
        <v/>
      </c>
      <c r="V295" s="3" t="str">
        <f t="shared" si="61"/>
        <v/>
      </c>
      <c r="W295" s="3" t="str">
        <f t="shared" si="62"/>
        <v/>
      </c>
      <c r="X295" s="3" t="str">
        <f t="shared" si="63"/>
        <v>YES</v>
      </c>
      <c r="Y295" s="3" t="str">
        <f t="shared" si="64"/>
        <v>YES</v>
      </c>
    </row>
    <row r="296" spans="1:25">
      <c r="A296" t="s">
        <v>365</v>
      </c>
      <c r="B296">
        <v>75</v>
      </c>
      <c r="C296">
        <v>10</v>
      </c>
      <c r="D296">
        <v>1000</v>
      </c>
      <c r="E296">
        <v>10</v>
      </c>
      <c r="F296" t="s">
        <v>91</v>
      </c>
      <c r="G296" t="s">
        <v>70</v>
      </c>
      <c r="H296" s="2">
        <v>416</v>
      </c>
      <c r="I296" s="2">
        <v>404</v>
      </c>
      <c r="J296" s="2">
        <v>418</v>
      </c>
      <c r="K296" s="2">
        <v>306</v>
      </c>
      <c r="L296" s="2">
        <v>274</v>
      </c>
      <c r="M296" s="2">
        <f t="shared" si="52"/>
        <v>274</v>
      </c>
      <c r="N296" t="e">
        <f t="shared" ca="1" si="53"/>
        <v>#NAME?</v>
      </c>
      <c r="O296" t="str">
        <f t="shared" si="54"/>
        <v>MSIG Cost</v>
      </c>
      <c r="P296" s="2">
        <f t="shared" si="55"/>
        <v>51.824817518248182</v>
      </c>
      <c r="Q296" s="2">
        <f t="shared" si="56"/>
        <v>47.445255474452551</v>
      </c>
      <c r="R296" s="2">
        <f t="shared" si="57"/>
        <v>52.554744525547449</v>
      </c>
      <c r="S296" s="2">
        <f t="shared" si="58"/>
        <v>11.678832116788321</v>
      </c>
      <c r="T296" s="2">
        <f t="shared" si="59"/>
        <v>0</v>
      </c>
      <c r="U296" s="3" t="str">
        <f t="shared" si="60"/>
        <v/>
      </c>
      <c r="V296" s="3" t="str">
        <f t="shared" si="61"/>
        <v/>
      </c>
      <c r="W296" s="3" t="str">
        <f t="shared" si="62"/>
        <v/>
      </c>
      <c r="X296" s="3" t="str">
        <f t="shared" si="63"/>
        <v/>
      </c>
      <c r="Y296" s="3" t="str">
        <f t="shared" si="64"/>
        <v>YES</v>
      </c>
    </row>
    <row r="297" spans="1:25">
      <c r="A297" t="s">
        <v>366</v>
      </c>
      <c r="B297">
        <v>75</v>
      </c>
      <c r="C297">
        <v>10</v>
      </c>
      <c r="D297">
        <v>1000</v>
      </c>
      <c r="E297">
        <v>10</v>
      </c>
      <c r="F297" t="s">
        <v>69</v>
      </c>
      <c r="G297" t="s">
        <v>70</v>
      </c>
      <c r="H297" s="2">
        <v>398</v>
      </c>
      <c r="I297" s="2">
        <v>398</v>
      </c>
      <c r="J297" s="2">
        <v>386</v>
      </c>
      <c r="K297" s="2">
        <v>299</v>
      </c>
      <c r="L297" s="2">
        <v>279</v>
      </c>
      <c r="M297" s="2">
        <f t="shared" si="52"/>
        <v>279</v>
      </c>
      <c r="N297" t="e">
        <f t="shared" ca="1" si="53"/>
        <v>#NAME?</v>
      </c>
      <c r="O297" t="str">
        <f t="shared" si="54"/>
        <v>MSIG Cost</v>
      </c>
      <c r="P297" s="2">
        <f t="shared" si="55"/>
        <v>42.652329749103941</v>
      </c>
      <c r="Q297" s="2">
        <f t="shared" si="56"/>
        <v>42.652329749103941</v>
      </c>
      <c r="R297" s="2">
        <f t="shared" si="57"/>
        <v>38.351254480286741</v>
      </c>
      <c r="S297" s="2">
        <f t="shared" si="58"/>
        <v>7.1684587813620064</v>
      </c>
      <c r="T297" s="2">
        <f t="shared" si="59"/>
        <v>0</v>
      </c>
      <c r="U297" s="3" t="str">
        <f t="shared" si="60"/>
        <v/>
      </c>
      <c r="V297" s="3" t="str">
        <f t="shared" si="61"/>
        <v/>
      </c>
      <c r="W297" s="3" t="str">
        <f t="shared" si="62"/>
        <v/>
      </c>
      <c r="X297" s="3" t="str">
        <f t="shared" si="63"/>
        <v/>
      </c>
      <c r="Y297" s="3" t="str">
        <f t="shared" si="64"/>
        <v>YES</v>
      </c>
    </row>
    <row r="298" spans="1:25">
      <c r="A298" t="s">
        <v>367</v>
      </c>
      <c r="B298">
        <v>75</v>
      </c>
      <c r="C298">
        <v>10</v>
      </c>
      <c r="D298">
        <v>1000</v>
      </c>
      <c r="E298">
        <v>1</v>
      </c>
      <c r="F298" t="s">
        <v>91</v>
      </c>
      <c r="G298" t="s">
        <v>70</v>
      </c>
      <c r="H298" s="2">
        <v>17</v>
      </c>
      <c r="I298" s="2">
        <v>16</v>
      </c>
      <c r="J298" s="2">
        <v>16</v>
      </c>
      <c r="K298" s="2">
        <v>14</v>
      </c>
      <c r="L298" s="2">
        <v>13</v>
      </c>
      <c r="M298" s="2">
        <f t="shared" si="52"/>
        <v>13</v>
      </c>
      <c r="N298" t="e">
        <f t="shared" ca="1" si="53"/>
        <v>#NAME?</v>
      </c>
      <c r="O298" t="str">
        <f t="shared" si="54"/>
        <v>MSIG Cost</v>
      </c>
      <c r="P298" s="2">
        <f t="shared" si="55"/>
        <v>30.76923076923077</v>
      </c>
      <c r="Q298" s="2">
        <f t="shared" si="56"/>
        <v>23.076923076923077</v>
      </c>
      <c r="R298" s="2">
        <f t="shared" si="57"/>
        <v>23.076923076923077</v>
      </c>
      <c r="S298" s="2">
        <f t="shared" si="58"/>
        <v>7.6923076923076925</v>
      </c>
      <c r="T298" s="2">
        <f t="shared" si="59"/>
        <v>0</v>
      </c>
      <c r="U298" s="3" t="str">
        <f t="shared" si="60"/>
        <v/>
      </c>
      <c r="V298" s="3" t="str">
        <f t="shared" si="61"/>
        <v/>
      </c>
      <c r="W298" s="3" t="str">
        <f t="shared" si="62"/>
        <v/>
      </c>
      <c r="X298" s="3" t="str">
        <f t="shared" si="63"/>
        <v/>
      </c>
      <c r="Y298" s="3" t="str">
        <f t="shared" si="64"/>
        <v>YES</v>
      </c>
    </row>
    <row r="299" spans="1:25">
      <c r="A299" t="s">
        <v>368</v>
      </c>
      <c r="B299">
        <v>75</v>
      </c>
      <c r="C299">
        <v>10</v>
      </c>
      <c r="D299">
        <v>1000</v>
      </c>
      <c r="E299">
        <v>1</v>
      </c>
      <c r="F299" t="s">
        <v>69</v>
      </c>
      <c r="G299" t="s">
        <v>70</v>
      </c>
      <c r="H299" s="2">
        <v>16</v>
      </c>
      <c r="I299" s="2">
        <v>16</v>
      </c>
      <c r="J299" s="2">
        <v>16</v>
      </c>
      <c r="K299" s="2">
        <v>15</v>
      </c>
      <c r="L299" s="2">
        <v>13</v>
      </c>
      <c r="M299" s="2">
        <f t="shared" si="52"/>
        <v>13</v>
      </c>
      <c r="N299" t="e">
        <f t="shared" ca="1" si="53"/>
        <v>#NAME?</v>
      </c>
      <c r="O299" t="str">
        <f t="shared" si="54"/>
        <v>MSIG Cost</v>
      </c>
      <c r="P299" s="2">
        <f t="shared" si="55"/>
        <v>23.076923076923077</v>
      </c>
      <c r="Q299" s="2">
        <f t="shared" si="56"/>
        <v>23.076923076923077</v>
      </c>
      <c r="R299" s="2">
        <f t="shared" si="57"/>
        <v>23.076923076923077</v>
      </c>
      <c r="S299" s="2">
        <f t="shared" si="58"/>
        <v>15.384615384615385</v>
      </c>
      <c r="T299" s="2">
        <f t="shared" si="59"/>
        <v>0</v>
      </c>
      <c r="U299" s="3" t="str">
        <f t="shared" si="60"/>
        <v/>
      </c>
      <c r="V299" s="3" t="str">
        <f t="shared" si="61"/>
        <v/>
      </c>
      <c r="W299" s="3" t="str">
        <f t="shared" si="62"/>
        <v/>
      </c>
      <c r="X299" s="3" t="str">
        <f t="shared" si="63"/>
        <v/>
      </c>
      <c r="Y299" s="3" t="str">
        <f t="shared" si="64"/>
        <v>YES</v>
      </c>
    </row>
    <row r="300" spans="1:25">
      <c r="A300" t="s">
        <v>369</v>
      </c>
      <c r="B300">
        <v>75</v>
      </c>
      <c r="C300">
        <v>10</v>
      </c>
      <c r="D300">
        <v>1000</v>
      </c>
      <c r="E300">
        <v>10</v>
      </c>
      <c r="F300" t="s">
        <v>91</v>
      </c>
      <c r="G300" t="s">
        <v>70</v>
      </c>
      <c r="H300" s="2">
        <v>313</v>
      </c>
      <c r="I300" s="2">
        <v>319</v>
      </c>
      <c r="J300" s="2">
        <v>341</v>
      </c>
      <c r="K300" s="2">
        <v>224</v>
      </c>
      <c r="L300" s="2">
        <v>198</v>
      </c>
      <c r="M300" s="2">
        <f t="shared" si="52"/>
        <v>198</v>
      </c>
      <c r="N300" t="e">
        <f t="shared" ca="1" si="53"/>
        <v>#NAME?</v>
      </c>
      <c r="O300" t="str">
        <f t="shared" si="54"/>
        <v>MSIG Cost</v>
      </c>
      <c r="P300" s="2">
        <f t="shared" si="55"/>
        <v>58.080808080808076</v>
      </c>
      <c r="Q300" s="2">
        <f t="shared" si="56"/>
        <v>61.111111111111114</v>
      </c>
      <c r="R300" s="2">
        <f t="shared" si="57"/>
        <v>72.222222222222214</v>
      </c>
      <c r="S300" s="2">
        <f t="shared" si="58"/>
        <v>13.131313131313133</v>
      </c>
      <c r="T300" s="2">
        <f t="shared" si="59"/>
        <v>0</v>
      </c>
      <c r="U300" s="3" t="str">
        <f t="shared" si="60"/>
        <v/>
      </c>
      <c r="V300" s="3" t="str">
        <f t="shared" si="61"/>
        <v/>
      </c>
      <c r="W300" s="3" t="str">
        <f t="shared" si="62"/>
        <v/>
      </c>
      <c r="X300" s="3" t="str">
        <f t="shared" si="63"/>
        <v/>
      </c>
      <c r="Y300" s="3" t="str">
        <f t="shared" si="64"/>
        <v>YES</v>
      </c>
    </row>
    <row r="301" spans="1:25">
      <c r="A301" t="s">
        <v>370</v>
      </c>
      <c r="B301">
        <v>75</v>
      </c>
      <c r="C301">
        <v>10</v>
      </c>
      <c r="D301">
        <v>1000</v>
      </c>
      <c r="E301">
        <v>10</v>
      </c>
      <c r="F301" t="s">
        <v>91</v>
      </c>
      <c r="G301" t="s">
        <v>70</v>
      </c>
      <c r="H301" s="2">
        <v>308</v>
      </c>
      <c r="I301" s="2">
        <v>330</v>
      </c>
      <c r="J301" s="2">
        <v>306</v>
      </c>
      <c r="K301" s="2">
        <v>216</v>
      </c>
      <c r="L301" s="2">
        <v>197</v>
      </c>
      <c r="M301" s="2">
        <f t="shared" si="52"/>
        <v>197</v>
      </c>
      <c r="N301" t="e">
        <f t="shared" ca="1" si="53"/>
        <v>#NAME?</v>
      </c>
      <c r="O301" t="str">
        <f t="shared" si="54"/>
        <v>MSIG Cost</v>
      </c>
      <c r="P301" s="2">
        <f t="shared" si="55"/>
        <v>56.345177664974621</v>
      </c>
      <c r="Q301" s="2">
        <f t="shared" si="56"/>
        <v>67.512690355329951</v>
      </c>
      <c r="R301" s="2">
        <f t="shared" si="57"/>
        <v>55.329949238578678</v>
      </c>
      <c r="S301" s="2">
        <f t="shared" si="58"/>
        <v>9.6446700507614214</v>
      </c>
      <c r="T301" s="2">
        <f t="shared" si="59"/>
        <v>0</v>
      </c>
      <c r="U301" s="3" t="str">
        <f t="shared" si="60"/>
        <v/>
      </c>
      <c r="V301" s="3" t="str">
        <f t="shared" si="61"/>
        <v/>
      </c>
      <c r="W301" s="3" t="str">
        <f t="shared" si="62"/>
        <v/>
      </c>
      <c r="X301" s="3" t="str">
        <f t="shared" si="63"/>
        <v/>
      </c>
      <c r="Y301" s="3" t="str">
        <f t="shared" si="64"/>
        <v>YES</v>
      </c>
    </row>
    <row r="302" spans="1:25">
      <c r="A302" t="s">
        <v>371</v>
      </c>
      <c r="B302">
        <v>75</v>
      </c>
      <c r="C302">
        <v>10</v>
      </c>
      <c r="D302">
        <v>1000</v>
      </c>
      <c r="E302">
        <v>1</v>
      </c>
      <c r="F302" t="s">
        <v>91</v>
      </c>
      <c r="G302" t="s">
        <v>70</v>
      </c>
      <c r="H302" s="2">
        <v>11</v>
      </c>
      <c r="I302" s="2">
        <v>11</v>
      </c>
      <c r="J302" s="2">
        <v>11</v>
      </c>
      <c r="K302" s="2">
        <v>12</v>
      </c>
      <c r="L302" s="2">
        <v>11</v>
      </c>
      <c r="M302" s="2">
        <f t="shared" si="52"/>
        <v>11</v>
      </c>
      <c r="N302" t="e">
        <f t="shared" ca="1" si="53"/>
        <v>#NAME?</v>
      </c>
      <c r="O302" t="str">
        <f t="shared" si="54"/>
        <v/>
      </c>
      <c r="P302" s="2">
        <f t="shared" si="55"/>
        <v>0</v>
      </c>
      <c r="Q302" s="2">
        <f t="shared" si="56"/>
        <v>0</v>
      </c>
      <c r="R302" s="2">
        <f t="shared" si="57"/>
        <v>0</v>
      </c>
      <c r="S302" s="2">
        <f t="shared" si="58"/>
        <v>9.0909090909090917</v>
      </c>
      <c r="T302" s="2">
        <f t="shared" si="59"/>
        <v>0</v>
      </c>
      <c r="U302" s="3" t="str">
        <f t="shared" si="60"/>
        <v>YES</v>
      </c>
      <c r="V302" s="3" t="str">
        <f t="shared" si="61"/>
        <v>YES</v>
      </c>
      <c r="W302" s="3" t="str">
        <f t="shared" si="62"/>
        <v>YES</v>
      </c>
      <c r="X302" s="3" t="str">
        <f t="shared" si="63"/>
        <v/>
      </c>
      <c r="Y302" s="3" t="str">
        <f t="shared" si="64"/>
        <v>YES</v>
      </c>
    </row>
    <row r="303" spans="1:25">
      <c r="A303" t="s">
        <v>372</v>
      </c>
      <c r="B303">
        <v>75</v>
      </c>
      <c r="C303">
        <v>10</v>
      </c>
      <c r="D303">
        <v>1000</v>
      </c>
      <c r="E303">
        <v>1</v>
      </c>
      <c r="F303" t="s">
        <v>69</v>
      </c>
      <c r="G303" t="s">
        <v>70</v>
      </c>
      <c r="H303" s="2">
        <v>11</v>
      </c>
      <c r="I303" s="2">
        <v>12</v>
      </c>
      <c r="J303" s="2">
        <v>11</v>
      </c>
      <c r="K303" s="2">
        <v>13</v>
      </c>
      <c r="L303" s="2">
        <v>11</v>
      </c>
      <c r="M303" s="2">
        <f t="shared" si="52"/>
        <v>11</v>
      </c>
      <c r="N303" t="e">
        <f t="shared" ca="1" si="53"/>
        <v>#NAME?</v>
      </c>
      <c r="O303" t="str">
        <f t="shared" si="54"/>
        <v/>
      </c>
      <c r="P303" s="2">
        <f t="shared" si="55"/>
        <v>0</v>
      </c>
      <c r="Q303" s="2">
        <f t="shared" si="56"/>
        <v>9.0909090909090917</v>
      </c>
      <c r="R303" s="2">
        <f t="shared" si="57"/>
        <v>0</v>
      </c>
      <c r="S303" s="2">
        <f t="shared" si="58"/>
        <v>18.181818181818183</v>
      </c>
      <c r="T303" s="2">
        <f t="shared" si="59"/>
        <v>0</v>
      </c>
      <c r="U303" s="3" t="str">
        <f t="shared" si="60"/>
        <v>YES</v>
      </c>
      <c r="V303" s="3" t="str">
        <f t="shared" si="61"/>
        <v/>
      </c>
      <c r="W303" s="3" t="str">
        <f t="shared" si="62"/>
        <v>YES</v>
      </c>
      <c r="X303" s="3" t="str">
        <f t="shared" si="63"/>
        <v/>
      </c>
      <c r="Y303" s="3" t="str">
        <f t="shared" si="64"/>
        <v>YES</v>
      </c>
    </row>
    <row r="304" spans="1:25">
      <c r="A304" t="s">
        <v>373</v>
      </c>
      <c r="B304">
        <v>75</v>
      </c>
      <c r="C304">
        <v>10</v>
      </c>
      <c r="D304">
        <v>1000</v>
      </c>
      <c r="E304">
        <v>10</v>
      </c>
      <c r="F304" t="s">
        <v>91</v>
      </c>
      <c r="G304" t="s">
        <v>70</v>
      </c>
      <c r="H304" s="2">
        <v>298</v>
      </c>
      <c r="I304" s="2">
        <v>288</v>
      </c>
      <c r="J304" s="2">
        <v>293</v>
      </c>
      <c r="K304" s="2">
        <v>224</v>
      </c>
      <c r="L304" s="2">
        <v>191</v>
      </c>
      <c r="M304" s="2">
        <f t="shared" si="52"/>
        <v>191</v>
      </c>
      <c r="N304" t="e">
        <f t="shared" ca="1" si="53"/>
        <v>#NAME?</v>
      </c>
      <c r="O304" t="str">
        <f t="shared" si="54"/>
        <v>MSIG Cost</v>
      </c>
      <c r="P304" s="2">
        <f t="shared" si="55"/>
        <v>56.02094240837696</v>
      </c>
      <c r="Q304" s="2">
        <f t="shared" si="56"/>
        <v>50.785340314136128</v>
      </c>
      <c r="R304" s="2">
        <f t="shared" si="57"/>
        <v>53.403141361256544</v>
      </c>
      <c r="S304" s="2">
        <f t="shared" si="58"/>
        <v>17.277486910994764</v>
      </c>
      <c r="T304" s="2">
        <f t="shared" si="59"/>
        <v>0</v>
      </c>
      <c r="U304" s="3" t="str">
        <f t="shared" si="60"/>
        <v/>
      </c>
      <c r="V304" s="3" t="str">
        <f t="shared" si="61"/>
        <v/>
      </c>
      <c r="W304" s="3" t="str">
        <f t="shared" si="62"/>
        <v/>
      </c>
      <c r="X304" s="3" t="str">
        <f t="shared" si="63"/>
        <v/>
      </c>
      <c r="Y304" s="3" t="str">
        <f t="shared" si="64"/>
        <v>YES</v>
      </c>
    </row>
    <row r="305" spans="1:25">
      <c r="A305" t="s">
        <v>374</v>
      </c>
      <c r="B305">
        <v>75</v>
      </c>
      <c r="C305">
        <v>10</v>
      </c>
      <c r="D305">
        <v>1000</v>
      </c>
      <c r="E305">
        <v>10</v>
      </c>
      <c r="F305" t="s">
        <v>69</v>
      </c>
      <c r="G305" t="s">
        <v>70</v>
      </c>
      <c r="H305" s="2">
        <v>276</v>
      </c>
      <c r="I305" s="2">
        <v>279</v>
      </c>
      <c r="J305" s="2">
        <v>269</v>
      </c>
      <c r="K305" s="2">
        <v>204</v>
      </c>
      <c r="L305" s="2">
        <v>180</v>
      </c>
      <c r="M305" s="2">
        <f t="shared" si="52"/>
        <v>180</v>
      </c>
      <c r="N305" t="e">
        <f t="shared" ca="1" si="53"/>
        <v>#NAME?</v>
      </c>
      <c r="O305" t="str">
        <f t="shared" si="54"/>
        <v>MSIG Cost</v>
      </c>
      <c r="P305" s="2">
        <f t="shared" si="55"/>
        <v>53.333333333333336</v>
      </c>
      <c r="Q305" s="2">
        <f t="shared" si="56"/>
        <v>55.000000000000007</v>
      </c>
      <c r="R305" s="2">
        <f t="shared" si="57"/>
        <v>49.444444444444443</v>
      </c>
      <c r="S305" s="2">
        <f t="shared" si="58"/>
        <v>13.333333333333334</v>
      </c>
      <c r="T305" s="2">
        <f t="shared" si="59"/>
        <v>0</v>
      </c>
      <c r="U305" s="3" t="str">
        <f t="shared" si="60"/>
        <v/>
      </c>
      <c r="V305" s="3" t="str">
        <f t="shared" si="61"/>
        <v/>
      </c>
      <c r="W305" s="3" t="str">
        <f t="shared" si="62"/>
        <v/>
      </c>
      <c r="X305" s="3" t="str">
        <f t="shared" si="63"/>
        <v/>
      </c>
      <c r="Y305" s="3" t="str">
        <f t="shared" si="64"/>
        <v>YES</v>
      </c>
    </row>
    <row r="306" spans="1:25">
      <c r="A306" t="s">
        <v>375</v>
      </c>
      <c r="B306">
        <v>75</v>
      </c>
      <c r="C306">
        <v>5</v>
      </c>
      <c r="D306">
        <v>1000</v>
      </c>
      <c r="E306">
        <v>1</v>
      </c>
      <c r="F306" t="s">
        <v>69</v>
      </c>
      <c r="G306" t="s">
        <v>70</v>
      </c>
      <c r="H306" s="2">
        <v>26</v>
      </c>
      <c r="I306" s="2">
        <v>27</v>
      </c>
      <c r="J306" s="2">
        <v>26</v>
      </c>
      <c r="K306" s="2">
        <v>24</v>
      </c>
      <c r="L306" s="2">
        <v>23</v>
      </c>
      <c r="M306" s="2">
        <f t="shared" si="52"/>
        <v>23</v>
      </c>
      <c r="N306" t="e">
        <f t="shared" ca="1" si="53"/>
        <v>#NAME?</v>
      </c>
      <c r="O306" t="str">
        <f t="shared" si="54"/>
        <v>MSIG Cost</v>
      </c>
      <c r="P306" s="2">
        <f t="shared" si="55"/>
        <v>13.043478260869565</v>
      </c>
      <c r="Q306" s="2">
        <f t="shared" si="56"/>
        <v>17.391304347826086</v>
      </c>
      <c r="R306" s="2">
        <f t="shared" si="57"/>
        <v>13.043478260869565</v>
      </c>
      <c r="S306" s="2">
        <f t="shared" si="58"/>
        <v>4.3478260869565215</v>
      </c>
      <c r="T306" s="2">
        <f t="shared" si="59"/>
        <v>0</v>
      </c>
      <c r="U306" s="3" t="str">
        <f t="shared" si="60"/>
        <v/>
      </c>
      <c r="V306" s="3" t="str">
        <f t="shared" si="61"/>
        <v/>
      </c>
      <c r="W306" s="3" t="str">
        <f t="shared" si="62"/>
        <v/>
      </c>
      <c r="X306" s="3" t="str">
        <f t="shared" si="63"/>
        <v/>
      </c>
      <c r="Y306" s="3" t="str">
        <f t="shared" si="64"/>
        <v>YES</v>
      </c>
    </row>
    <row r="307" spans="1:25">
      <c r="A307" t="s">
        <v>376</v>
      </c>
      <c r="B307">
        <v>75</v>
      </c>
      <c r="C307">
        <v>5</v>
      </c>
      <c r="D307">
        <v>1000</v>
      </c>
      <c r="E307">
        <v>1</v>
      </c>
      <c r="F307" t="s">
        <v>69</v>
      </c>
      <c r="G307" t="s">
        <v>70</v>
      </c>
      <c r="H307" s="2">
        <v>25</v>
      </c>
      <c r="I307" s="2">
        <v>24</v>
      </c>
      <c r="J307" s="2">
        <v>24</v>
      </c>
      <c r="K307" s="2">
        <v>23</v>
      </c>
      <c r="L307" s="2">
        <v>22</v>
      </c>
      <c r="M307" s="2">
        <f t="shared" si="52"/>
        <v>22</v>
      </c>
      <c r="N307" t="e">
        <f t="shared" ca="1" si="53"/>
        <v>#NAME?</v>
      </c>
      <c r="O307" t="str">
        <f t="shared" si="54"/>
        <v>MSIG Cost</v>
      </c>
      <c r="P307" s="2">
        <f t="shared" si="55"/>
        <v>13.636363636363635</v>
      </c>
      <c r="Q307" s="2">
        <f t="shared" si="56"/>
        <v>9.0909090909090917</v>
      </c>
      <c r="R307" s="2">
        <f t="shared" si="57"/>
        <v>9.0909090909090917</v>
      </c>
      <c r="S307" s="2">
        <f t="shared" si="58"/>
        <v>4.5454545454545459</v>
      </c>
      <c r="T307" s="2">
        <f t="shared" si="59"/>
        <v>0</v>
      </c>
      <c r="U307" s="3" t="str">
        <f t="shared" si="60"/>
        <v/>
      </c>
      <c r="V307" s="3" t="str">
        <f t="shared" si="61"/>
        <v/>
      </c>
      <c r="W307" s="3" t="str">
        <f t="shared" si="62"/>
        <v/>
      </c>
      <c r="X307" s="3" t="str">
        <f t="shared" si="63"/>
        <v/>
      </c>
      <c r="Y307" s="3" t="str">
        <f t="shared" si="64"/>
        <v>YES</v>
      </c>
    </row>
    <row r="308" spans="1:25">
      <c r="A308" t="s">
        <v>377</v>
      </c>
      <c r="B308">
        <v>75</v>
      </c>
      <c r="C308">
        <v>5</v>
      </c>
      <c r="D308">
        <v>1000</v>
      </c>
      <c r="E308">
        <v>10</v>
      </c>
      <c r="F308" t="s">
        <v>69</v>
      </c>
      <c r="G308" t="s">
        <v>70</v>
      </c>
      <c r="H308" s="2">
        <v>427</v>
      </c>
      <c r="I308" s="2">
        <v>428</v>
      </c>
      <c r="J308" s="2">
        <v>414</v>
      </c>
      <c r="K308" s="2">
        <v>316</v>
      </c>
      <c r="L308" s="2">
        <v>291</v>
      </c>
      <c r="M308" s="2">
        <f t="shared" si="52"/>
        <v>291</v>
      </c>
      <c r="N308" t="e">
        <f t="shared" ca="1" si="53"/>
        <v>#NAME?</v>
      </c>
      <c r="O308" t="str">
        <f t="shared" si="54"/>
        <v>MSIG Cost</v>
      </c>
      <c r="P308" s="2">
        <f t="shared" si="55"/>
        <v>46.735395189003434</v>
      </c>
      <c r="Q308" s="2">
        <f t="shared" si="56"/>
        <v>47.079037800687281</v>
      </c>
      <c r="R308" s="2">
        <f t="shared" si="57"/>
        <v>42.268041237113401</v>
      </c>
      <c r="S308" s="2">
        <f t="shared" si="58"/>
        <v>8.5910652920962196</v>
      </c>
      <c r="T308" s="2">
        <f t="shared" si="59"/>
        <v>0</v>
      </c>
      <c r="U308" s="3" t="str">
        <f t="shared" si="60"/>
        <v/>
      </c>
      <c r="V308" s="3" t="str">
        <f t="shared" si="61"/>
        <v/>
      </c>
      <c r="W308" s="3" t="str">
        <f t="shared" si="62"/>
        <v/>
      </c>
      <c r="X308" s="3" t="str">
        <f t="shared" si="63"/>
        <v/>
      </c>
      <c r="Y308" s="3" t="str">
        <f t="shared" si="64"/>
        <v>YES</v>
      </c>
    </row>
    <row r="309" spans="1:25">
      <c r="A309" t="s">
        <v>378</v>
      </c>
      <c r="B309">
        <v>75</v>
      </c>
      <c r="C309">
        <v>5</v>
      </c>
      <c r="D309">
        <v>1000</v>
      </c>
      <c r="E309">
        <v>10</v>
      </c>
      <c r="F309" t="s">
        <v>91</v>
      </c>
      <c r="G309" t="s">
        <v>70</v>
      </c>
      <c r="H309" s="2">
        <v>371</v>
      </c>
      <c r="I309" s="2">
        <v>370</v>
      </c>
      <c r="J309" s="2">
        <v>377</v>
      </c>
      <c r="K309" s="2">
        <v>290</v>
      </c>
      <c r="L309" s="2">
        <v>264</v>
      </c>
      <c r="M309" s="2">
        <f t="shared" si="52"/>
        <v>264</v>
      </c>
      <c r="N309" t="e">
        <f t="shared" ca="1" si="53"/>
        <v>#NAME?</v>
      </c>
      <c r="O309" t="str">
        <f t="shared" si="54"/>
        <v>MSIG Cost</v>
      </c>
      <c r="P309" s="2">
        <f t="shared" si="55"/>
        <v>40.530303030303031</v>
      </c>
      <c r="Q309" s="2">
        <f t="shared" si="56"/>
        <v>40.151515151515149</v>
      </c>
      <c r="R309" s="2">
        <f t="shared" si="57"/>
        <v>42.803030303030305</v>
      </c>
      <c r="S309" s="2">
        <f t="shared" si="58"/>
        <v>9.8484848484848477</v>
      </c>
      <c r="T309" s="2">
        <f t="shared" si="59"/>
        <v>0</v>
      </c>
      <c r="U309" s="3" t="str">
        <f t="shared" si="60"/>
        <v/>
      </c>
      <c r="V309" s="3" t="str">
        <f t="shared" si="61"/>
        <v/>
      </c>
      <c r="W309" s="3" t="str">
        <f t="shared" si="62"/>
        <v/>
      </c>
      <c r="X309" s="3" t="str">
        <f t="shared" si="63"/>
        <v/>
      </c>
      <c r="Y309" s="3" t="str">
        <f t="shared" si="64"/>
        <v>YES</v>
      </c>
    </row>
    <row r="310" spans="1:25">
      <c r="A310" t="s">
        <v>379</v>
      </c>
      <c r="B310">
        <v>75</v>
      </c>
      <c r="C310">
        <v>5</v>
      </c>
      <c r="D310">
        <v>1000</v>
      </c>
      <c r="E310">
        <v>1</v>
      </c>
      <c r="F310" t="s">
        <v>69</v>
      </c>
      <c r="G310" t="s">
        <v>70</v>
      </c>
      <c r="H310" s="2">
        <v>21</v>
      </c>
      <c r="I310" s="2">
        <v>22</v>
      </c>
      <c r="J310" s="2">
        <v>22</v>
      </c>
      <c r="K310" s="2">
        <v>22</v>
      </c>
      <c r="L310" s="2">
        <v>20</v>
      </c>
      <c r="M310" s="2">
        <f t="shared" si="52"/>
        <v>20</v>
      </c>
      <c r="N310" t="e">
        <f t="shared" ca="1" si="53"/>
        <v>#NAME?</v>
      </c>
      <c r="O310" t="str">
        <f t="shared" si="54"/>
        <v>MSIG Cost</v>
      </c>
      <c r="P310" s="2">
        <f t="shared" si="55"/>
        <v>5</v>
      </c>
      <c r="Q310" s="2">
        <f t="shared" si="56"/>
        <v>10</v>
      </c>
      <c r="R310" s="2">
        <f t="shared" si="57"/>
        <v>10</v>
      </c>
      <c r="S310" s="2">
        <f t="shared" si="58"/>
        <v>10</v>
      </c>
      <c r="T310" s="2">
        <f t="shared" si="59"/>
        <v>0</v>
      </c>
      <c r="U310" s="3" t="str">
        <f t="shared" si="60"/>
        <v/>
      </c>
      <c r="V310" s="3" t="str">
        <f t="shared" si="61"/>
        <v/>
      </c>
      <c r="W310" s="3" t="str">
        <f t="shared" si="62"/>
        <v/>
      </c>
      <c r="X310" s="3" t="str">
        <f t="shared" si="63"/>
        <v/>
      </c>
      <c r="Y310" s="3" t="str">
        <f t="shared" si="64"/>
        <v>YES</v>
      </c>
    </row>
    <row r="311" spans="1:25">
      <c r="A311" t="s">
        <v>380</v>
      </c>
      <c r="B311">
        <v>75</v>
      </c>
      <c r="C311">
        <v>5</v>
      </c>
      <c r="D311">
        <v>1000</v>
      </c>
      <c r="E311">
        <v>1</v>
      </c>
      <c r="F311" t="s">
        <v>69</v>
      </c>
      <c r="G311" t="s">
        <v>70</v>
      </c>
      <c r="H311" s="2">
        <v>21</v>
      </c>
      <c r="I311" s="2">
        <v>21</v>
      </c>
      <c r="J311" s="2">
        <v>21</v>
      </c>
      <c r="K311" s="2">
        <v>21</v>
      </c>
      <c r="L311" s="2">
        <v>20</v>
      </c>
      <c r="M311" s="2">
        <f t="shared" si="52"/>
        <v>20</v>
      </c>
      <c r="N311" t="e">
        <f t="shared" ca="1" si="53"/>
        <v>#NAME?</v>
      </c>
      <c r="O311" t="str">
        <f t="shared" si="54"/>
        <v>MSIG Cost</v>
      </c>
      <c r="P311" s="2">
        <f t="shared" si="55"/>
        <v>5</v>
      </c>
      <c r="Q311" s="2">
        <f t="shared" si="56"/>
        <v>5</v>
      </c>
      <c r="R311" s="2">
        <f t="shared" si="57"/>
        <v>5</v>
      </c>
      <c r="S311" s="2">
        <f t="shared" si="58"/>
        <v>5</v>
      </c>
      <c r="T311" s="2">
        <f t="shared" si="59"/>
        <v>0</v>
      </c>
      <c r="U311" s="3" t="str">
        <f t="shared" si="60"/>
        <v/>
      </c>
      <c r="V311" s="3" t="str">
        <f t="shared" si="61"/>
        <v/>
      </c>
      <c r="W311" s="3" t="str">
        <f t="shared" si="62"/>
        <v/>
      </c>
      <c r="X311" s="3" t="str">
        <f t="shared" si="63"/>
        <v/>
      </c>
      <c r="Y311" s="3" t="str">
        <f t="shared" si="64"/>
        <v>YES</v>
      </c>
    </row>
    <row r="312" spans="1:25">
      <c r="A312" t="s">
        <v>381</v>
      </c>
      <c r="B312">
        <v>75</v>
      </c>
      <c r="C312">
        <v>5</v>
      </c>
      <c r="D312">
        <v>1000</v>
      </c>
      <c r="E312">
        <v>10</v>
      </c>
      <c r="F312" t="s">
        <v>69</v>
      </c>
      <c r="G312" t="s">
        <v>70</v>
      </c>
      <c r="H312" s="2">
        <v>371</v>
      </c>
      <c r="I312" s="2">
        <v>390</v>
      </c>
      <c r="J312" s="2">
        <v>381</v>
      </c>
      <c r="K312" s="2">
        <v>286</v>
      </c>
      <c r="L312" s="2">
        <v>259</v>
      </c>
      <c r="M312" s="2">
        <f t="shared" si="52"/>
        <v>259</v>
      </c>
      <c r="N312" t="e">
        <f t="shared" ca="1" si="53"/>
        <v>#NAME?</v>
      </c>
      <c r="O312" t="str">
        <f t="shared" si="54"/>
        <v>MSIG Cost</v>
      </c>
      <c r="P312" s="2">
        <f t="shared" si="55"/>
        <v>43.243243243243242</v>
      </c>
      <c r="Q312" s="2">
        <f t="shared" si="56"/>
        <v>50.579150579150578</v>
      </c>
      <c r="R312" s="2">
        <f t="shared" si="57"/>
        <v>47.104247104247108</v>
      </c>
      <c r="S312" s="2">
        <f t="shared" si="58"/>
        <v>10.424710424710424</v>
      </c>
      <c r="T312" s="2">
        <f t="shared" si="59"/>
        <v>0</v>
      </c>
      <c r="U312" s="3" t="str">
        <f t="shared" si="60"/>
        <v/>
      </c>
      <c r="V312" s="3" t="str">
        <f t="shared" si="61"/>
        <v/>
      </c>
      <c r="W312" s="3" t="str">
        <f t="shared" si="62"/>
        <v/>
      </c>
      <c r="X312" s="3" t="str">
        <f t="shared" si="63"/>
        <v/>
      </c>
      <c r="Y312" s="3" t="str">
        <f t="shared" si="64"/>
        <v>YES</v>
      </c>
    </row>
    <row r="313" spans="1:25">
      <c r="A313" t="s">
        <v>382</v>
      </c>
      <c r="B313">
        <v>75</v>
      </c>
      <c r="C313">
        <v>5</v>
      </c>
      <c r="D313">
        <v>1000</v>
      </c>
      <c r="E313">
        <v>10</v>
      </c>
      <c r="F313" t="s">
        <v>69</v>
      </c>
      <c r="G313" t="s">
        <v>70</v>
      </c>
      <c r="H313" s="2">
        <v>334</v>
      </c>
      <c r="I313" s="2">
        <v>329</v>
      </c>
      <c r="J313" s="2">
        <v>340</v>
      </c>
      <c r="K313" s="2">
        <v>281</v>
      </c>
      <c r="L313" s="2">
        <v>238</v>
      </c>
      <c r="M313" s="2">
        <f t="shared" si="52"/>
        <v>238</v>
      </c>
      <c r="N313" t="e">
        <f t="shared" ca="1" si="53"/>
        <v>#NAME?</v>
      </c>
      <c r="O313" t="str">
        <f t="shared" si="54"/>
        <v>MSIG Cost</v>
      </c>
      <c r="P313" s="2">
        <f t="shared" si="55"/>
        <v>40.336134453781511</v>
      </c>
      <c r="Q313" s="2">
        <f t="shared" si="56"/>
        <v>38.235294117647058</v>
      </c>
      <c r="R313" s="2">
        <f t="shared" si="57"/>
        <v>42.857142857142854</v>
      </c>
      <c r="S313" s="2">
        <f t="shared" si="58"/>
        <v>18.067226890756302</v>
      </c>
      <c r="T313" s="2">
        <f t="shared" si="59"/>
        <v>0</v>
      </c>
      <c r="U313" s="3" t="str">
        <f t="shared" si="60"/>
        <v/>
      </c>
      <c r="V313" s="3" t="str">
        <f t="shared" si="61"/>
        <v/>
      </c>
      <c r="W313" s="3" t="str">
        <f t="shared" si="62"/>
        <v/>
      </c>
      <c r="X313" s="3" t="str">
        <f t="shared" si="63"/>
        <v/>
      </c>
      <c r="Y313" s="3" t="str">
        <f t="shared" si="64"/>
        <v>YES</v>
      </c>
    </row>
    <row r="314" spans="1:25">
      <c r="A314" t="s">
        <v>383</v>
      </c>
      <c r="B314">
        <v>75</v>
      </c>
      <c r="C314">
        <v>5</v>
      </c>
      <c r="D314">
        <v>1000</v>
      </c>
      <c r="E314">
        <v>1</v>
      </c>
      <c r="F314" t="s">
        <v>69</v>
      </c>
      <c r="G314" t="s">
        <v>70</v>
      </c>
      <c r="H314" s="2">
        <v>14</v>
      </c>
      <c r="I314" s="2">
        <v>15</v>
      </c>
      <c r="J314" s="2">
        <v>14</v>
      </c>
      <c r="K314" s="2">
        <v>15</v>
      </c>
      <c r="L314" s="2">
        <v>12</v>
      </c>
      <c r="M314" s="2">
        <f t="shared" si="52"/>
        <v>12</v>
      </c>
      <c r="N314" t="e">
        <f t="shared" ca="1" si="53"/>
        <v>#NAME?</v>
      </c>
      <c r="O314" t="str">
        <f t="shared" si="54"/>
        <v>MSIG Cost</v>
      </c>
      <c r="P314" s="2">
        <f t="shared" si="55"/>
        <v>16.666666666666664</v>
      </c>
      <c r="Q314" s="2">
        <f t="shared" si="56"/>
        <v>25</v>
      </c>
      <c r="R314" s="2">
        <f t="shared" si="57"/>
        <v>16.666666666666664</v>
      </c>
      <c r="S314" s="2">
        <f t="shared" si="58"/>
        <v>25</v>
      </c>
      <c r="T314" s="2">
        <f t="shared" si="59"/>
        <v>0</v>
      </c>
      <c r="U314" s="3" t="str">
        <f t="shared" si="60"/>
        <v/>
      </c>
      <c r="V314" s="3" t="str">
        <f t="shared" si="61"/>
        <v/>
      </c>
      <c r="W314" s="3" t="str">
        <f t="shared" si="62"/>
        <v/>
      </c>
      <c r="X314" s="3" t="str">
        <f t="shared" si="63"/>
        <v/>
      </c>
      <c r="Y314" s="3" t="str">
        <f t="shared" si="64"/>
        <v>YES</v>
      </c>
    </row>
    <row r="315" spans="1:25">
      <c r="A315" t="s">
        <v>384</v>
      </c>
      <c r="B315">
        <v>75</v>
      </c>
      <c r="C315">
        <v>5</v>
      </c>
      <c r="D315">
        <v>1000</v>
      </c>
      <c r="E315">
        <v>1</v>
      </c>
      <c r="F315" t="s">
        <v>69</v>
      </c>
      <c r="G315" t="s">
        <v>70</v>
      </c>
      <c r="H315" s="2">
        <v>15</v>
      </c>
      <c r="I315" s="2">
        <v>15</v>
      </c>
      <c r="J315" s="2">
        <v>15</v>
      </c>
      <c r="K315" s="2">
        <v>15</v>
      </c>
      <c r="L315" s="2">
        <v>12</v>
      </c>
      <c r="M315" s="2">
        <f t="shared" si="52"/>
        <v>12</v>
      </c>
      <c r="N315" t="e">
        <f t="shared" ca="1" si="53"/>
        <v>#NAME?</v>
      </c>
      <c r="O315" t="str">
        <f t="shared" si="54"/>
        <v>MSIG Cost</v>
      </c>
      <c r="P315" s="2">
        <f t="shared" si="55"/>
        <v>25</v>
      </c>
      <c r="Q315" s="2">
        <f t="shared" si="56"/>
        <v>25</v>
      </c>
      <c r="R315" s="2">
        <f t="shared" si="57"/>
        <v>25</v>
      </c>
      <c r="S315" s="2">
        <f t="shared" si="58"/>
        <v>25</v>
      </c>
      <c r="T315" s="2">
        <f t="shared" si="59"/>
        <v>0</v>
      </c>
      <c r="U315" s="3" t="str">
        <f t="shared" si="60"/>
        <v/>
      </c>
      <c r="V315" s="3" t="str">
        <f t="shared" si="61"/>
        <v/>
      </c>
      <c r="W315" s="3" t="str">
        <f t="shared" si="62"/>
        <v/>
      </c>
      <c r="X315" s="3" t="str">
        <f t="shared" si="63"/>
        <v/>
      </c>
      <c r="Y315" s="3" t="str">
        <f t="shared" si="64"/>
        <v>YES</v>
      </c>
    </row>
    <row r="316" spans="1:25">
      <c r="A316" t="s">
        <v>385</v>
      </c>
      <c r="B316">
        <v>75</v>
      </c>
      <c r="C316">
        <v>5</v>
      </c>
      <c r="D316">
        <v>1000</v>
      </c>
      <c r="E316">
        <v>10</v>
      </c>
      <c r="F316" t="s">
        <v>69</v>
      </c>
      <c r="G316" t="s">
        <v>70</v>
      </c>
      <c r="H316" s="2">
        <v>243</v>
      </c>
      <c r="I316" s="2">
        <v>269</v>
      </c>
      <c r="J316" s="2">
        <v>284</v>
      </c>
      <c r="K316" s="2">
        <v>200</v>
      </c>
      <c r="L316" s="2">
        <v>170</v>
      </c>
      <c r="M316" s="2">
        <f t="shared" si="52"/>
        <v>170</v>
      </c>
      <c r="N316" t="e">
        <f t="shared" ca="1" si="53"/>
        <v>#NAME?</v>
      </c>
      <c r="O316" t="str">
        <f t="shared" si="54"/>
        <v>MSIG Cost</v>
      </c>
      <c r="P316" s="2">
        <f t="shared" si="55"/>
        <v>42.941176470588232</v>
      </c>
      <c r="Q316" s="2">
        <f t="shared" si="56"/>
        <v>58.235294117647065</v>
      </c>
      <c r="R316" s="2">
        <f t="shared" si="57"/>
        <v>67.058823529411754</v>
      </c>
      <c r="S316" s="2">
        <f t="shared" si="58"/>
        <v>17.647058823529413</v>
      </c>
      <c r="T316" s="2">
        <f t="shared" si="59"/>
        <v>0</v>
      </c>
      <c r="U316" s="3" t="str">
        <f t="shared" si="60"/>
        <v/>
      </c>
      <c r="V316" s="3" t="str">
        <f t="shared" si="61"/>
        <v/>
      </c>
      <c r="W316" s="3" t="str">
        <f t="shared" si="62"/>
        <v/>
      </c>
      <c r="X316" s="3" t="str">
        <f t="shared" si="63"/>
        <v/>
      </c>
      <c r="Y316" s="3" t="str">
        <f t="shared" si="64"/>
        <v>YES</v>
      </c>
    </row>
    <row r="317" spans="1:25">
      <c r="A317" t="s">
        <v>386</v>
      </c>
      <c r="B317">
        <v>75</v>
      </c>
      <c r="C317">
        <v>5</v>
      </c>
      <c r="D317">
        <v>1000</v>
      </c>
      <c r="E317">
        <v>10</v>
      </c>
      <c r="F317" t="s">
        <v>69</v>
      </c>
      <c r="G317" t="s">
        <v>70</v>
      </c>
      <c r="H317" s="2">
        <v>235</v>
      </c>
      <c r="I317" s="2">
        <v>244</v>
      </c>
      <c r="J317" s="2">
        <v>255</v>
      </c>
      <c r="K317" s="2">
        <v>187</v>
      </c>
      <c r="L317" s="2">
        <v>157</v>
      </c>
      <c r="M317" s="2">
        <f t="shared" si="52"/>
        <v>157</v>
      </c>
      <c r="N317" t="e">
        <f t="shared" ca="1" si="53"/>
        <v>#NAME?</v>
      </c>
      <c r="O317" t="str">
        <f t="shared" si="54"/>
        <v>MSIG Cost</v>
      </c>
      <c r="P317" s="2">
        <f t="shared" si="55"/>
        <v>49.681528662420384</v>
      </c>
      <c r="Q317" s="2">
        <f t="shared" si="56"/>
        <v>55.414012738853501</v>
      </c>
      <c r="R317" s="2">
        <f t="shared" si="57"/>
        <v>62.420382165605091</v>
      </c>
      <c r="S317" s="2">
        <f t="shared" si="58"/>
        <v>19.108280254777071</v>
      </c>
      <c r="T317" s="2">
        <f t="shared" si="59"/>
        <v>0</v>
      </c>
      <c r="U317" s="3" t="str">
        <f t="shared" si="60"/>
        <v/>
      </c>
      <c r="V317" s="3" t="str">
        <f t="shared" si="61"/>
        <v/>
      </c>
      <c r="W317" s="3" t="str">
        <f t="shared" si="62"/>
        <v/>
      </c>
      <c r="X317" s="3" t="str">
        <f t="shared" si="63"/>
        <v/>
      </c>
      <c r="Y317" s="3" t="str">
        <f t="shared" si="64"/>
        <v>YES</v>
      </c>
    </row>
    <row r="318" spans="1:25">
      <c r="A318" t="s">
        <v>387</v>
      </c>
      <c r="B318">
        <v>75</v>
      </c>
      <c r="C318">
        <v>5</v>
      </c>
      <c r="D318">
        <v>1000</v>
      </c>
      <c r="E318">
        <v>1</v>
      </c>
      <c r="F318" t="s">
        <v>69</v>
      </c>
      <c r="G318" t="s">
        <v>70</v>
      </c>
      <c r="H318" s="2">
        <v>10</v>
      </c>
      <c r="I318" s="2">
        <v>10</v>
      </c>
      <c r="J318" s="2">
        <v>10</v>
      </c>
      <c r="K318" s="2">
        <v>14</v>
      </c>
      <c r="L318" s="2">
        <v>10</v>
      </c>
      <c r="M318" s="2">
        <f t="shared" si="52"/>
        <v>10</v>
      </c>
      <c r="N318" t="e">
        <f t="shared" ca="1" si="53"/>
        <v>#NAME?</v>
      </c>
      <c r="O318" t="str">
        <f t="shared" si="54"/>
        <v/>
      </c>
      <c r="P318" s="2">
        <f t="shared" si="55"/>
        <v>0</v>
      </c>
      <c r="Q318" s="2">
        <f t="shared" si="56"/>
        <v>0</v>
      </c>
      <c r="R318" s="2">
        <f t="shared" si="57"/>
        <v>0</v>
      </c>
      <c r="S318" s="2">
        <f t="shared" si="58"/>
        <v>40</v>
      </c>
      <c r="T318" s="2">
        <f t="shared" si="59"/>
        <v>0</v>
      </c>
      <c r="U318" s="3" t="str">
        <f t="shared" si="60"/>
        <v>YES</v>
      </c>
      <c r="V318" s="3" t="str">
        <f t="shared" si="61"/>
        <v>YES</v>
      </c>
      <c r="W318" s="3" t="str">
        <f t="shared" si="62"/>
        <v>YES</v>
      </c>
      <c r="X318" s="3" t="str">
        <f t="shared" si="63"/>
        <v/>
      </c>
      <c r="Y318" s="3" t="str">
        <f t="shared" si="64"/>
        <v>YES</v>
      </c>
    </row>
    <row r="319" spans="1:25">
      <c r="A319" t="s">
        <v>388</v>
      </c>
      <c r="B319">
        <v>75</v>
      </c>
      <c r="C319">
        <v>5</v>
      </c>
      <c r="D319">
        <v>1000</v>
      </c>
      <c r="E319">
        <v>1</v>
      </c>
      <c r="F319" t="s">
        <v>69</v>
      </c>
      <c r="G319" t="s">
        <v>70</v>
      </c>
      <c r="H319" s="2">
        <v>11</v>
      </c>
      <c r="I319" s="2">
        <v>11</v>
      </c>
      <c r="J319" s="2">
        <v>12</v>
      </c>
      <c r="K319" s="2">
        <v>13</v>
      </c>
      <c r="L319" s="2">
        <v>11</v>
      </c>
      <c r="M319" s="2">
        <f t="shared" si="52"/>
        <v>11</v>
      </c>
      <c r="N319" t="e">
        <f t="shared" ca="1" si="53"/>
        <v>#NAME?</v>
      </c>
      <c r="O319" t="str">
        <f t="shared" si="54"/>
        <v/>
      </c>
      <c r="P319" s="2">
        <f t="shared" si="55"/>
        <v>0</v>
      </c>
      <c r="Q319" s="2">
        <f t="shared" si="56"/>
        <v>0</v>
      </c>
      <c r="R319" s="2">
        <f t="shared" si="57"/>
        <v>9.0909090909090917</v>
      </c>
      <c r="S319" s="2">
        <f t="shared" si="58"/>
        <v>18.181818181818183</v>
      </c>
      <c r="T319" s="2">
        <f t="shared" si="59"/>
        <v>0</v>
      </c>
      <c r="U319" s="3" t="str">
        <f t="shared" si="60"/>
        <v>YES</v>
      </c>
      <c r="V319" s="3" t="str">
        <f t="shared" si="61"/>
        <v>YES</v>
      </c>
      <c r="W319" s="3" t="str">
        <f t="shared" si="62"/>
        <v/>
      </c>
      <c r="X319" s="3" t="str">
        <f t="shared" si="63"/>
        <v/>
      </c>
      <c r="Y319" s="3" t="str">
        <f t="shared" si="64"/>
        <v>YES</v>
      </c>
    </row>
    <row r="320" spans="1:25">
      <c r="A320" t="s">
        <v>389</v>
      </c>
      <c r="B320">
        <v>75</v>
      </c>
      <c r="C320">
        <v>5</v>
      </c>
      <c r="D320">
        <v>1000</v>
      </c>
      <c r="E320">
        <v>10</v>
      </c>
      <c r="F320" t="s">
        <v>69</v>
      </c>
      <c r="G320" t="s">
        <v>70</v>
      </c>
      <c r="H320" s="2">
        <v>229</v>
      </c>
      <c r="I320" s="2">
        <v>235</v>
      </c>
      <c r="J320" s="2">
        <v>238</v>
      </c>
      <c r="K320" s="2">
        <v>190</v>
      </c>
      <c r="L320" s="2">
        <v>152</v>
      </c>
      <c r="M320" s="2">
        <f t="shared" si="52"/>
        <v>152</v>
      </c>
      <c r="N320" t="e">
        <f t="shared" ca="1" si="53"/>
        <v>#NAME?</v>
      </c>
      <c r="O320" t="str">
        <f t="shared" si="54"/>
        <v>MSIG Cost</v>
      </c>
      <c r="P320" s="2">
        <f t="shared" si="55"/>
        <v>50.657894736842103</v>
      </c>
      <c r="Q320" s="2">
        <f t="shared" si="56"/>
        <v>54.605263157894733</v>
      </c>
      <c r="R320" s="2">
        <f t="shared" si="57"/>
        <v>56.578947368421048</v>
      </c>
      <c r="S320" s="2">
        <f t="shared" si="58"/>
        <v>25</v>
      </c>
      <c r="T320" s="2">
        <f t="shared" si="59"/>
        <v>0</v>
      </c>
      <c r="U320" s="3" t="str">
        <f t="shared" si="60"/>
        <v/>
      </c>
      <c r="V320" s="3" t="str">
        <f t="shared" si="61"/>
        <v/>
      </c>
      <c r="W320" s="3" t="str">
        <f t="shared" si="62"/>
        <v/>
      </c>
      <c r="X320" s="3" t="str">
        <f t="shared" si="63"/>
        <v/>
      </c>
      <c r="Y320" s="3" t="str">
        <f t="shared" si="64"/>
        <v>YES</v>
      </c>
    </row>
    <row r="321" spans="1:25">
      <c r="A321" t="s">
        <v>390</v>
      </c>
      <c r="B321">
        <v>75</v>
      </c>
      <c r="C321">
        <v>5</v>
      </c>
      <c r="D321">
        <v>1000</v>
      </c>
      <c r="E321">
        <v>10</v>
      </c>
      <c r="F321" t="s">
        <v>69</v>
      </c>
      <c r="G321" t="s">
        <v>70</v>
      </c>
      <c r="H321" s="2">
        <v>218</v>
      </c>
      <c r="I321" s="2">
        <v>203</v>
      </c>
      <c r="J321" s="2">
        <v>206</v>
      </c>
      <c r="K321" s="2">
        <v>177</v>
      </c>
      <c r="L321" s="2">
        <v>135</v>
      </c>
      <c r="M321" s="2">
        <f t="shared" si="52"/>
        <v>135</v>
      </c>
      <c r="N321" t="e">
        <f t="shared" ca="1" si="53"/>
        <v>#NAME?</v>
      </c>
      <c r="O321" t="str">
        <f t="shared" si="54"/>
        <v>MSIG Cost</v>
      </c>
      <c r="P321" s="2">
        <f t="shared" si="55"/>
        <v>61.481481481481481</v>
      </c>
      <c r="Q321" s="2">
        <f t="shared" si="56"/>
        <v>50.370370370370367</v>
      </c>
      <c r="R321" s="2">
        <f t="shared" si="57"/>
        <v>52.592592592592588</v>
      </c>
      <c r="S321" s="2">
        <f t="shared" si="58"/>
        <v>31.111111111111111</v>
      </c>
      <c r="T321" s="2">
        <f t="shared" si="59"/>
        <v>0</v>
      </c>
      <c r="U321" s="3" t="str">
        <f t="shared" si="60"/>
        <v/>
      </c>
      <c r="V321" s="3" t="str">
        <f t="shared" si="61"/>
        <v/>
      </c>
      <c r="W321" s="3" t="str">
        <f t="shared" si="62"/>
        <v/>
      </c>
      <c r="X321" s="3" t="str">
        <f t="shared" si="63"/>
        <v/>
      </c>
      <c r="Y321" s="3" t="str">
        <f t="shared" si="64"/>
        <v>YES</v>
      </c>
    </row>
    <row r="322" spans="1:25">
      <c r="A322" t="s">
        <v>391</v>
      </c>
      <c r="B322">
        <v>100</v>
      </c>
      <c r="C322">
        <v>10</v>
      </c>
      <c r="D322">
        <v>200</v>
      </c>
      <c r="E322">
        <v>1</v>
      </c>
      <c r="F322" t="s">
        <v>69</v>
      </c>
      <c r="G322" t="s">
        <v>70</v>
      </c>
      <c r="H322" s="2">
        <v>21</v>
      </c>
      <c r="I322" s="2">
        <v>21</v>
      </c>
      <c r="J322" s="2">
        <v>21</v>
      </c>
      <c r="K322" s="2">
        <v>17</v>
      </c>
      <c r="L322" s="2">
        <v>17</v>
      </c>
      <c r="M322" s="2">
        <f t="shared" ref="M322:M385" si="65">MIN(H322:L322)</f>
        <v>17</v>
      </c>
      <c r="N322" t="e">
        <f t="shared" ref="N322:N385" ca="1" si="66">_xludf.TEXTJOIN(", ",TRUE,IF(H322=M322,"S-FFD",""),IF(I322=M322,"S-BFD",""),IF(J322=M322,"S-WFD",""),IF(K322=M322,"Best C-TP",""),IF(L322=M322,"MSIG",""))</f>
        <v>#NAME?</v>
      </c>
      <c r="O322" t="str">
        <f t="shared" ref="O322:O385" si="67">IF(COUNTIF(H322:L322,M322)=1,INDEX($H$1:$L$1,1,MATCH(M322,H322:L322,0)),"")</f>
        <v/>
      </c>
      <c r="P322" s="2">
        <f t="shared" ref="P322:P385" si="68">(H322-$M322)/$M322*100</f>
        <v>23.52941176470588</v>
      </c>
      <c r="Q322" s="2">
        <f t="shared" ref="Q322:Q385" si="69">(I322-$M322)/$M322*100</f>
        <v>23.52941176470588</v>
      </c>
      <c r="R322" s="2">
        <f t="shared" ref="R322:R385" si="70">(J322-$M322)/$M322*100</f>
        <v>23.52941176470588</v>
      </c>
      <c r="S322" s="2">
        <f t="shared" ref="S322:S385" si="71">(K322-$M322)/$M322*100</f>
        <v>0</v>
      </c>
      <c r="T322" s="2">
        <f t="shared" ref="T322:T385" si="72">(L322-$M322)/$M322*100</f>
        <v>0</v>
      </c>
      <c r="U322" s="3" t="str">
        <f t="shared" ref="U322:U385" si="73">IF(H322=$M322,"YES","")</f>
        <v/>
      </c>
      <c r="V322" s="3" t="str">
        <f t="shared" ref="V322:V385" si="74">IF(I322=$M322,"YES","")</f>
        <v/>
      </c>
      <c r="W322" s="3" t="str">
        <f t="shared" ref="W322:W385" si="75">IF(J322=$M322,"YES","")</f>
        <v/>
      </c>
      <c r="X322" s="3" t="str">
        <f t="shared" ref="X322:X385" si="76">IF(K322=$M322,"YES","")</f>
        <v>YES</v>
      </c>
      <c r="Y322" s="3" t="str">
        <f t="shared" ref="Y322:Y385" si="77">IF(L322=$M322,"YES","")</f>
        <v>YES</v>
      </c>
    </row>
    <row r="323" spans="1:25">
      <c r="A323" t="s">
        <v>392</v>
      </c>
      <c r="B323">
        <v>100</v>
      </c>
      <c r="C323">
        <v>10</v>
      </c>
      <c r="D323">
        <v>200</v>
      </c>
      <c r="E323">
        <v>1</v>
      </c>
      <c r="F323" t="s">
        <v>69</v>
      </c>
      <c r="G323" t="s">
        <v>70</v>
      </c>
      <c r="H323" s="2">
        <v>21</v>
      </c>
      <c r="I323" s="2">
        <v>22</v>
      </c>
      <c r="J323" s="2">
        <v>21</v>
      </c>
      <c r="K323" s="2">
        <v>20</v>
      </c>
      <c r="L323" s="2">
        <v>17</v>
      </c>
      <c r="M323" s="2">
        <f t="shared" si="65"/>
        <v>17</v>
      </c>
      <c r="N323" t="e">
        <f t="shared" ca="1" si="66"/>
        <v>#NAME?</v>
      </c>
      <c r="O323" t="str">
        <f t="shared" si="67"/>
        <v>MSIG Cost</v>
      </c>
      <c r="P323" s="2">
        <f t="shared" si="68"/>
        <v>23.52941176470588</v>
      </c>
      <c r="Q323" s="2">
        <f t="shared" si="69"/>
        <v>29.411764705882355</v>
      </c>
      <c r="R323" s="2">
        <f t="shared" si="70"/>
        <v>23.52941176470588</v>
      </c>
      <c r="S323" s="2">
        <f t="shared" si="71"/>
        <v>17.647058823529413</v>
      </c>
      <c r="T323" s="2">
        <f t="shared" si="72"/>
        <v>0</v>
      </c>
      <c r="U323" s="3" t="str">
        <f t="shared" si="73"/>
        <v/>
      </c>
      <c r="V323" s="3" t="str">
        <f t="shared" si="74"/>
        <v/>
      </c>
      <c r="W323" s="3" t="str">
        <f t="shared" si="75"/>
        <v/>
      </c>
      <c r="X323" s="3" t="str">
        <f t="shared" si="76"/>
        <v/>
      </c>
      <c r="Y323" s="3" t="str">
        <f t="shared" si="77"/>
        <v>YES</v>
      </c>
    </row>
    <row r="324" spans="1:25">
      <c r="A324" t="s">
        <v>393</v>
      </c>
      <c r="B324">
        <v>100</v>
      </c>
      <c r="C324">
        <v>10</v>
      </c>
      <c r="D324">
        <v>200</v>
      </c>
      <c r="E324">
        <v>10</v>
      </c>
      <c r="F324" t="s">
        <v>69</v>
      </c>
      <c r="G324" t="s">
        <v>70</v>
      </c>
      <c r="H324" s="2">
        <v>381</v>
      </c>
      <c r="I324" s="2">
        <v>395</v>
      </c>
      <c r="J324" s="2">
        <v>354</v>
      </c>
      <c r="K324" s="2">
        <v>277</v>
      </c>
      <c r="L324" s="2">
        <v>230</v>
      </c>
      <c r="M324" s="2">
        <f t="shared" si="65"/>
        <v>230</v>
      </c>
      <c r="N324" t="e">
        <f t="shared" ca="1" si="66"/>
        <v>#NAME?</v>
      </c>
      <c r="O324" t="str">
        <f t="shared" si="67"/>
        <v>MSIG Cost</v>
      </c>
      <c r="P324" s="2">
        <f t="shared" si="68"/>
        <v>65.65217391304347</v>
      </c>
      <c r="Q324" s="2">
        <f t="shared" si="69"/>
        <v>71.739130434782609</v>
      </c>
      <c r="R324" s="2">
        <f t="shared" si="70"/>
        <v>53.913043478260867</v>
      </c>
      <c r="S324" s="2">
        <f t="shared" si="71"/>
        <v>20.434782608695652</v>
      </c>
      <c r="T324" s="2">
        <f t="shared" si="72"/>
        <v>0</v>
      </c>
      <c r="U324" s="3" t="str">
        <f t="shared" si="73"/>
        <v/>
      </c>
      <c r="V324" s="3" t="str">
        <f t="shared" si="74"/>
        <v/>
      </c>
      <c r="W324" s="3" t="str">
        <f t="shared" si="75"/>
        <v/>
      </c>
      <c r="X324" s="3" t="str">
        <f t="shared" si="76"/>
        <v/>
      </c>
      <c r="Y324" s="3" t="str">
        <f t="shared" si="77"/>
        <v>YES</v>
      </c>
    </row>
    <row r="325" spans="1:25">
      <c r="A325" t="s">
        <v>394</v>
      </c>
      <c r="B325">
        <v>100</v>
      </c>
      <c r="C325">
        <v>10</v>
      </c>
      <c r="D325">
        <v>200</v>
      </c>
      <c r="E325">
        <v>10</v>
      </c>
      <c r="F325" t="s">
        <v>91</v>
      </c>
      <c r="G325" t="s">
        <v>70</v>
      </c>
      <c r="H325" s="2">
        <v>353</v>
      </c>
      <c r="I325" s="2">
        <v>368</v>
      </c>
      <c r="J325" s="2">
        <v>345</v>
      </c>
      <c r="K325" s="2">
        <v>274</v>
      </c>
      <c r="L325" s="2">
        <v>214</v>
      </c>
      <c r="M325" s="2">
        <f t="shared" si="65"/>
        <v>214</v>
      </c>
      <c r="N325" t="e">
        <f t="shared" ca="1" si="66"/>
        <v>#NAME?</v>
      </c>
      <c r="O325" t="str">
        <f t="shared" si="67"/>
        <v>MSIG Cost</v>
      </c>
      <c r="P325" s="2">
        <f t="shared" si="68"/>
        <v>64.953271028037392</v>
      </c>
      <c r="Q325" s="2">
        <f t="shared" si="69"/>
        <v>71.962616822429908</v>
      </c>
      <c r="R325" s="2">
        <f t="shared" si="70"/>
        <v>61.214953271028037</v>
      </c>
      <c r="S325" s="2">
        <f t="shared" si="71"/>
        <v>28.037383177570092</v>
      </c>
      <c r="T325" s="2">
        <f t="shared" si="72"/>
        <v>0</v>
      </c>
      <c r="U325" s="3" t="str">
        <f t="shared" si="73"/>
        <v/>
      </c>
      <c r="V325" s="3" t="str">
        <f t="shared" si="74"/>
        <v/>
      </c>
      <c r="W325" s="3" t="str">
        <f t="shared" si="75"/>
        <v/>
      </c>
      <c r="X325" s="3" t="str">
        <f t="shared" si="76"/>
        <v/>
      </c>
      <c r="Y325" s="3" t="str">
        <f t="shared" si="77"/>
        <v>YES</v>
      </c>
    </row>
    <row r="326" spans="1:25">
      <c r="A326" t="s">
        <v>395</v>
      </c>
      <c r="B326">
        <v>100</v>
      </c>
      <c r="C326">
        <v>10</v>
      </c>
      <c r="D326">
        <v>200</v>
      </c>
      <c r="E326">
        <v>1</v>
      </c>
      <c r="F326" t="s">
        <v>69</v>
      </c>
      <c r="G326" t="s">
        <v>70</v>
      </c>
      <c r="H326" s="2">
        <v>15</v>
      </c>
      <c r="I326" s="2">
        <v>15</v>
      </c>
      <c r="J326" s="2">
        <v>15</v>
      </c>
      <c r="K326" s="2">
        <v>16</v>
      </c>
      <c r="L326" s="2">
        <v>13</v>
      </c>
      <c r="M326" s="2">
        <f t="shared" si="65"/>
        <v>13</v>
      </c>
      <c r="N326" t="e">
        <f t="shared" ca="1" si="66"/>
        <v>#NAME?</v>
      </c>
      <c r="O326" t="str">
        <f t="shared" si="67"/>
        <v>MSIG Cost</v>
      </c>
      <c r="P326" s="2">
        <f t="shared" si="68"/>
        <v>15.384615384615385</v>
      </c>
      <c r="Q326" s="2">
        <f t="shared" si="69"/>
        <v>15.384615384615385</v>
      </c>
      <c r="R326" s="2">
        <f t="shared" si="70"/>
        <v>15.384615384615385</v>
      </c>
      <c r="S326" s="2">
        <f t="shared" si="71"/>
        <v>23.076923076923077</v>
      </c>
      <c r="T326" s="2">
        <f t="shared" si="72"/>
        <v>0</v>
      </c>
      <c r="U326" s="3" t="str">
        <f t="shared" si="73"/>
        <v/>
      </c>
      <c r="V326" s="3" t="str">
        <f t="shared" si="74"/>
        <v/>
      </c>
      <c r="W326" s="3" t="str">
        <f t="shared" si="75"/>
        <v/>
      </c>
      <c r="X326" s="3" t="str">
        <f t="shared" si="76"/>
        <v/>
      </c>
      <c r="Y326" s="3" t="str">
        <f t="shared" si="77"/>
        <v>YES</v>
      </c>
    </row>
    <row r="327" spans="1:25">
      <c r="A327" t="s">
        <v>396</v>
      </c>
      <c r="B327">
        <v>100</v>
      </c>
      <c r="C327">
        <v>10</v>
      </c>
      <c r="D327">
        <v>200</v>
      </c>
      <c r="E327">
        <v>1</v>
      </c>
      <c r="F327" t="s">
        <v>69</v>
      </c>
      <c r="G327" t="s">
        <v>70</v>
      </c>
      <c r="H327" s="2">
        <v>15</v>
      </c>
      <c r="I327" s="2">
        <v>15</v>
      </c>
      <c r="J327" s="2">
        <v>15</v>
      </c>
      <c r="K327" s="2">
        <v>18</v>
      </c>
      <c r="L327" s="2">
        <v>13</v>
      </c>
      <c r="M327" s="2">
        <f t="shared" si="65"/>
        <v>13</v>
      </c>
      <c r="N327" t="e">
        <f t="shared" ca="1" si="66"/>
        <v>#NAME?</v>
      </c>
      <c r="O327" t="str">
        <f t="shared" si="67"/>
        <v>MSIG Cost</v>
      </c>
      <c r="P327" s="2">
        <f t="shared" si="68"/>
        <v>15.384615384615385</v>
      </c>
      <c r="Q327" s="2">
        <f t="shared" si="69"/>
        <v>15.384615384615385</v>
      </c>
      <c r="R327" s="2">
        <f t="shared" si="70"/>
        <v>15.384615384615385</v>
      </c>
      <c r="S327" s="2">
        <f t="shared" si="71"/>
        <v>38.461538461538467</v>
      </c>
      <c r="T327" s="2">
        <f t="shared" si="72"/>
        <v>0</v>
      </c>
      <c r="U327" s="3" t="str">
        <f t="shared" si="73"/>
        <v/>
      </c>
      <c r="V327" s="3" t="str">
        <f t="shared" si="74"/>
        <v/>
      </c>
      <c r="W327" s="3" t="str">
        <f t="shared" si="75"/>
        <v/>
      </c>
      <c r="X327" s="3" t="str">
        <f t="shared" si="76"/>
        <v/>
      </c>
      <c r="Y327" s="3" t="str">
        <f t="shared" si="77"/>
        <v>YES</v>
      </c>
    </row>
    <row r="328" spans="1:25">
      <c r="A328" t="s">
        <v>397</v>
      </c>
      <c r="B328">
        <v>100</v>
      </c>
      <c r="C328">
        <v>10</v>
      </c>
      <c r="D328">
        <v>200</v>
      </c>
      <c r="E328">
        <v>10</v>
      </c>
      <c r="F328" t="s">
        <v>91</v>
      </c>
      <c r="G328" t="s">
        <v>70</v>
      </c>
      <c r="H328" s="2">
        <v>377</v>
      </c>
      <c r="I328" s="2">
        <v>367</v>
      </c>
      <c r="J328" s="2">
        <v>346</v>
      </c>
      <c r="K328" s="2">
        <v>267</v>
      </c>
      <c r="L328" s="2">
        <v>210</v>
      </c>
      <c r="M328" s="2">
        <f t="shared" si="65"/>
        <v>210</v>
      </c>
      <c r="N328" t="e">
        <f t="shared" ca="1" si="66"/>
        <v>#NAME?</v>
      </c>
      <c r="O328" t="str">
        <f t="shared" si="67"/>
        <v>MSIG Cost</v>
      </c>
      <c r="P328" s="2">
        <f t="shared" si="68"/>
        <v>79.523809523809518</v>
      </c>
      <c r="Q328" s="2">
        <f t="shared" si="69"/>
        <v>74.761904761904759</v>
      </c>
      <c r="R328" s="2">
        <f t="shared" si="70"/>
        <v>64.761904761904759</v>
      </c>
      <c r="S328" s="2">
        <f t="shared" si="71"/>
        <v>27.142857142857142</v>
      </c>
      <c r="T328" s="2">
        <f t="shared" si="72"/>
        <v>0</v>
      </c>
      <c r="U328" s="3" t="str">
        <f t="shared" si="73"/>
        <v/>
      </c>
      <c r="V328" s="3" t="str">
        <f t="shared" si="74"/>
        <v/>
      </c>
      <c r="W328" s="3" t="str">
        <f t="shared" si="75"/>
        <v/>
      </c>
      <c r="X328" s="3" t="str">
        <f t="shared" si="76"/>
        <v/>
      </c>
      <c r="Y328" s="3" t="str">
        <f t="shared" si="77"/>
        <v>YES</v>
      </c>
    </row>
    <row r="329" spans="1:25">
      <c r="A329" t="s">
        <v>398</v>
      </c>
      <c r="B329">
        <v>100</v>
      </c>
      <c r="C329">
        <v>10</v>
      </c>
      <c r="D329">
        <v>200</v>
      </c>
      <c r="E329">
        <v>10</v>
      </c>
      <c r="F329" t="s">
        <v>91</v>
      </c>
      <c r="G329" t="s">
        <v>70</v>
      </c>
      <c r="H329" s="2">
        <v>343</v>
      </c>
      <c r="I329" s="2">
        <v>337</v>
      </c>
      <c r="J329" s="2">
        <v>335</v>
      </c>
      <c r="K329" s="2">
        <v>274</v>
      </c>
      <c r="L329" s="2">
        <v>207</v>
      </c>
      <c r="M329" s="2">
        <f t="shared" si="65"/>
        <v>207</v>
      </c>
      <c r="N329" t="e">
        <f t="shared" ca="1" si="66"/>
        <v>#NAME?</v>
      </c>
      <c r="O329" t="str">
        <f t="shared" si="67"/>
        <v>MSIG Cost</v>
      </c>
      <c r="P329" s="2">
        <f t="shared" si="68"/>
        <v>65.700483091787447</v>
      </c>
      <c r="Q329" s="2">
        <f t="shared" si="69"/>
        <v>62.80193236714976</v>
      </c>
      <c r="R329" s="2">
        <f t="shared" si="70"/>
        <v>61.835748792270529</v>
      </c>
      <c r="S329" s="2">
        <f t="shared" si="71"/>
        <v>32.367149758454104</v>
      </c>
      <c r="T329" s="2">
        <f t="shared" si="72"/>
        <v>0</v>
      </c>
      <c r="U329" s="3" t="str">
        <f t="shared" si="73"/>
        <v/>
      </c>
      <c r="V329" s="3" t="str">
        <f t="shared" si="74"/>
        <v/>
      </c>
      <c r="W329" s="3" t="str">
        <f t="shared" si="75"/>
        <v/>
      </c>
      <c r="X329" s="3" t="str">
        <f t="shared" si="76"/>
        <v/>
      </c>
      <c r="Y329" s="3" t="str">
        <f t="shared" si="77"/>
        <v>YES</v>
      </c>
    </row>
    <row r="330" spans="1:25">
      <c r="A330" t="s">
        <v>399</v>
      </c>
      <c r="B330">
        <v>100</v>
      </c>
      <c r="C330">
        <v>10</v>
      </c>
      <c r="D330">
        <v>200</v>
      </c>
      <c r="E330">
        <v>1</v>
      </c>
      <c r="F330" t="s">
        <v>69</v>
      </c>
      <c r="G330" t="s">
        <v>70</v>
      </c>
      <c r="H330" s="2">
        <v>36</v>
      </c>
      <c r="I330" s="2">
        <v>36</v>
      </c>
      <c r="J330" s="2">
        <v>37</v>
      </c>
      <c r="K330" s="2">
        <v>32</v>
      </c>
      <c r="L330" s="2">
        <v>32</v>
      </c>
      <c r="M330" s="2">
        <f t="shared" si="65"/>
        <v>32</v>
      </c>
      <c r="N330" t="e">
        <f t="shared" ca="1" si="66"/>
        <v>#NAME?</v>
      </c>
      <c r="O330" t="str">
        <f t="shared" si="67"/>
        <v/>
      </c>
      <c r="P330" s="2">
        <f t="shared" si="68"/>
        <v>12.5</v>
      </c>
      <c r="Q330" s="2">
        <f t="shared" si="69"/>
        <v>12.5</v>
      </c>
      <c r="R330" s="2">
        <f t="shared" si="70"/>
        <v>15.625</v>
      </c>
      <c r="S330" s="2">
        <f t="shared" si="71"/>
        <v>0</v>
      </c>
      <c r="T330" s="2">
        <f t="shared" si="72"/>
        <v>0</v>
      </c>
      <c r="U330" s="3" t="str">
        <f t="shared" si="73"/>
        <v/>
      </c>
      <c r="V330" s="3" t="str">
        <f t="shared" si="74"/>
        <v/>
      </c>
      <c r="W330" s="3" t="str">
        <f t="shared" si="75"/>
        <v/>
      </c>
      <c r="X330" s="3" t="str">
        <f t="shared" si="76"/>
        <v>YES</v>
      </c>
      <c r="Y330" s="3" t="str">
        <f t="shared" si="77"/>
        <v>YES</v>
      </c>
    </row>
    <row r="331" spans="1:25">
      <c r="A331" t="s">
        <v>400</v>
      </c>
      <c r="B331">
        <v>100</v>
      </c>
      <c r="C331">
        <v>10</v>
      </c>
      <c r="D331">
        <v>200</v>
      </c>
      <c r="E331">
        <v>1</v>
      </c>
      <c r="F331" t="s">
        <v>69</v>
      </c>
      <c r="G331" t="s">
        <v>70</v>
      </c>
      <c r="H331" s="2">
        <v>37</v>
      </c>
      <c r="I331" s="2">
        <v>37</v>
      </c>
      <c r="J331" s="2">
        <v>37</v>
      </c>
      <c r="K331" s="2">
        <v>32</v>
      </c>
      <c r="L331" s="2">
        <v>31</v>
      </c>
      <c r="M331" s="2">
        <f t="shared" si="65"/>
        <v>31</v>
      </c>
      <c r="N331" t="e">
        <f t="shared" ca="1" si="66"/>
        <v>#NAME?</v>
      </c>
      <c r="O331" t="str">
        <f t="shared" si="67"/>
        <v>MSIG Cost</v>
      </c>
      <c r="P331" s="2">
        <f t="shared" si="68"/>
        <v>19.35483870967742</v>
      </c>
      <c r="Q331" s="2">
        <f t="shared" si="69"/>
        <v>19.35483870967742</v>
      </c>
      <c r="R331" s="2">
        <f t="shared" si="70"/>
        <v>19.35483870967742</v>
      </c>
      <c r="S331" s="2">
        <f t="shared" si="71"/>
        <v>3.225806451612903</v>
      </c>
      <c r="T331" s="2">
        <f t="shared" si="72"/>
        <v>0</v>
      </c>
      <c r="U331" s="3" t="str">
        <f t="shared" si="73"/>
        <v/>
      </c>
      <c r="V331" s="3" t="str">
        <f t="shared" si="74"/>
        <v/>
      </c>
      <c r="W331" s="3" t="str">
        <f t="shared" si="75"/>
        <v/>
      </c>
      <c r="X331" s="3" t="str">
        <f t="shared" si="76"/>
        <v/>
      </c>
      <c r="Y331" s="3" t="str">
        <f t="shared" si="77"/>
        <v>YES</v>
      </c>
    </row>
    <row r="332" spans="1:25">
      <c r="A332" t="s">
        <v>401</v>
      </c>
      <c r="B332">
        <v>100</v>
      </c>
      <c r="C332">
        <v>10</v>
      </c>
      <c r="D332">
        <v>200</v>
      </c>
      <c r="E332">
        <v>10</v>
      </c>
      <c r="F332" t="s">
        <v>91</v>
      </c>
      <c r="G332" t="s">
        <v>70</v>
      </c>
      <c r="H332" s="2">
        <v>565</v>
      </c>
      <c r="I332" s="2">
        <v>547</v>
      </c>
      <c r="J332" s="2">
        <v>583</v>
      </c>
      <c r="K332" s="2">
        <v>459</v>
      </c>
      <c r="L332" s="2">
        <v>396</v>
      </c>
      <c r="M332" s="2">
        <f t="shared" si="65"/>
        <v>396</v>
      </c>
      <c r="N332" t="e">
        <f t="shared" ca="1" si="66"/>
        <v>#NAME?</v>
      </c>
      <c r="O332" t="str">
        <f t="shared" si="67"/>
        <v>MSIG Cost</v>
      </c>
      <c r="P332" s="2">
        <f t="shared" si="68"/>
        <v>42.676767676767675</v>
      </c>
      <c r="Q332" s="2">
        <f t="shared" si="69"/>
        <v>38.131313131313135</v>
      </c>
      <c r="R332" s="2">
        <f t="shared" si="70"/>
        <v>47.222222222222221</v>
      </c>
      <c r="S332" s="2">
        <f t="shared" si="71"/>
        <v>15.909090909090908</v>
      </c>
      <c r="T332" s="2">
        <f t="shared" si="72"/>
        <v>0</v>
      </c>
      <c r="U332" s="3" t="str">
        <f t="shared" si="73"/>
        <v/>
      </c>
      <c r="V332" s="3" t="str">
        <f t="shared" si="74"/>
        <v/>
      </c>
      <c r="W332" s="3" t="str">
        <f t="shared" si="75"/>
        <v/>
      </c>
      <c r="X332" s="3" t="str">
        <f t="shared" si="76"/>
        <v/>
      </c>
      <c r="Y332" s="3" t="str">
        <f t="shared" si="77"/>
        <v>YES</v>
      </c>
    </row>
    <row r="333" spans="1:25">
      <c r="A333" t="s">
        <v>402</v>
      </c>
      <c r="B333">
        <v>100</v>
      </c>
      <c r="C333">
        <v>10</v>
      </c>
      <c r="D333">
        <v>200</v>
      </c>
      <c r="E333">
        <v>10</v>
      </c>
      <c r="F333" t="s">
        <v>69</v>
      </c>
      <c r="G333" t="s">
        <v>70</v>
      </c>
      <c r="H333" s="2">
        <v>595</v>
      </c>
      <c r="I333" s="2">
        <v>617</v>
      </c>
      <c r="J333" s="2">
        <v>607</v>
      </c>
      <c r="K333" s="2">
        <v>435</v>
      </c>
      <c r="L333" s="2">
        <v>414</v>
      </c>
      <c r="M333" s="2">
        <f t="shared" si="65"/>
        <v>414</v>
      </c>
      <c r="N333" t="e">
        <f t="shared" ca="1" si="66"/>
        <v>#NAME?</v>
      </c>
      <c r="O333" t="str">
        <f t="shared" si="67"/>
        <v>MSIG Cost</v>
      </c>
      <c r="P333" s="2">
        <f t="shared" si="68"/>
        <v>43.719806763285021</v>
      </c>
      <c r="Q333" s="2">
        <f t="shared" si="69"/>
        <v>49.033816425120776</v>
      </c>
      <c r="R333" s="2">
        <f t="shared" si="70"/>
        <v>46.618357487922708</v>
      </c>
      <c r="S333" s="2">
        <f t="shared" si="71"/>
        <v>5.0724637681159424</v>
      </c>
      <c r="T333" s="2">
        <f t="shared" si="72"/>
        <v>0</v>
      </c>
      <c r="U333" s="3" t="str">
        <f t="shared" si="73"/>
        <v/>
      </c>
      <c r="V333" s="3" t="str">
        <f t="shared" si="74"/>
        <v/>
      </c>
      <c r="W333" s="3" t="str">
        <f t="shared" si="75"/>
        <v/>
      </c>
      <c r="X333" s="3" t="str">
        <f t="shared" si="76"/>
        <v/>
      </c>
      <c r="Y333" s="3" t="str">
        <f t="shared" si="77"/>
        <v>YES</v>
      </c>
    </row>
    <row r="334" spans="1:25">
      <c r="A334" t="s">
        <v>403</v>
      </c>
      <c r="B334">
        <v>100</v>
      </c>
      <c r="C334">
        <v>10</v>
      </c>
      <c r="D334">
        <v>200</v>
      </c>
      <c r="E334">
        <v>1</v>
      </c>
      <c r="F334" t="s">
        <v>69</v>
      </c>
      <c r="G334" t="s">
        <v>70</v>
      </c>
      <c r="H334" s="2">
        <v>29</v>
      </c>
      <c r="I334" s="2">
        <v>29</v>
      </c>
      <c r="J334" s="2">
        <v>30</v>
      </c>
      <c r="K334" s="2">
        <v>29</v>
      </c>
      <c r="L334" s="2">
        <v>28</v>
      </c>
      <c r="M334" s="2">
        <f t="shared" si="65"/>
        <v>28</v>
      </c>
      <c r="N334" t="e">
        <f t="shared" ca="1" si="66"/>
        <v>#NAME?</v>
      </c>
      <c r="O334" t="str">
        <f t="shared" si="67"/>
        <v>MSIG Cost</v>
      </c>
      <c r="P334" s="2">
        <f t="shared" si="68"/>
        <v>3.5714285714285712</v>
      </c>
      <c r="Q334" s="2">
        <f t="shared" si="69"/>
        <v>3.5714285714285712</v>
      </c>
      <c r="R334" s="2">
        <f t="shared" si="70"/>
        <v>7.1428571428571423</v>
      </c>
      <c r="S334" s="2">
        <f t="shared" si="71"/>
        <v>3.5714285714285712</v>
      </c>
      <c r="T334" s="2">
        <f t="shared" si="72"/>
        <v>0</v>
      </c>
      <c r="U334" s="3" t="str">
        <f t="shared" si="73"/>
        <v/>
      </c>
      <c r="V334" s="3" t="str">
        <f t="shared" si="74"/>
        <v/>
      </c>
      <c r="W334" s="3" t="str">
        <f t="shared" si="75"/>
        <v/>
      </c>
      <c r="X334" s="3" t="str">
        <f t="shared" si="76"/>
        <v/>
      </c>
      <c r="Y334" s="3" t="str">
        <f t="shared" si="77"/>
        <v>YES</v>
      </c>
    </row>
    <row r="335" spans="1:25">
      <c r="A335" t="s">
        <v>404</v>
      </c>
      <c r="B335">
        <v>100</v>
      </c>
      <c r="C335">
        <v>10</v>
      </c>
      <c r="D335">
        <v>200</v>
      </c>
      <c r="E335">
        <v>1</v>
      </c>
      <c r="F335" t="s">
        <v>69</v>
      </c>
      <c r="G335" t="s">
        <v>70</v>
      </c>
      <c r="H335" s="2">
        <v>29</v>
      </c>
      <c r="I335" s="2">
        <v>29</v>
      </c>
      <c r="J335" s="2">
        <v>29</v>
      </c>
      <c r="K335" s="2">
        <v>28</v>
      </c>
      <c r="L335" s="2">
        <v>27</v>
      </c>
      <c r="M335" s="2">
        <f t="shared" si="65"/>
        <v>27</v>
      </c>
      <c r="N335" t="e">
        <f t="shared" ca="1" si="66"/>
        <v>#NAME?</v>
      </c>
      <c r="O335" t="str">
        <f t="shared" si="67"/>
        <v>MSIG Cost</v>
      </c>
      <c r="P335" s="2">
        <f t="shared" si="68"/>
        <v>7.4074074074074066</v>
      </c>
      <c r="Q335" s="2">
        <f t="shared" si="69"/>
        <v>7.4074074074074066</v>
      </c>
      <c r="R335" s="2">
        <f t="shared" si="70"/>
        <v>7.4074074074074066</v>
      </c>
      <c r="S335" s="2">
        <f t="shared" si="71"/>
        <v>3.7037037037037033</v>
      </c>
      <c r="T335" s="2">
        <f t="shared" si="72"/>
        <v>0</v>
      </c>
      <c r="U335" s="3" t="str">
        <f t="shared" si="73"/>
        <v/>
      </c>
      <c r="V335" s="3" t="str">
        <f t="shared" si="74"/>
        <v/>
      </c>
      <c r="W335" s="3" t="str">
        <f t="shared" si="75"/>
        <v/>
      </c>
      <c r="X335" s="3" t="str">
        <f t="shared" si="76"/>
        <v/>
      </c>
      <c r="Y335" s="3" t="str">
        <f t="shared" si="77"/>
        <v>YES</v>
      </c>
    </row>
    <row r="336" spans="1:25">
      <c r="A336" t="s">
        <v>405</v>
      </c>
      <c r="B336">
        <v>100</v>
      </c>
      <c r="C336">
        <v>10</v>
      </c>
      <c r="D336">
        <v>200</v>
      </c>
      <c r="E336">
        <v>10</v>
      </c>
      <c r="F336" t="s">
        <v>69</v>
      </c>
      <c r="G336" t="s">
        <v>70</v>
      </c>
      <c r="H336" s="2">
        <v>491</v>
      </c>
      <c r="I336" s="2">
        <v>491</v>
      </c>
      <c r="J336" s="2">
        <v>491</v>
      </c>
      <c r="K336" s="2">
        <v>419</v>
      </c>
      <c r="L336" s="2">
        <v>344</v>
      </c>
      <c r="M336" s="2">
        <f t="shared" si="65"/>
        <v>344</v>
      </c>
      <c r="N336" t="e">
        <f t="shared" ca="1" si="66"/>
        <v>#NAME?</v>
      </c>
      <c r="O336" t="str">
        <f t="shared" si="67"/>
        <v>MSIG Cost</v>
      </c>
      <c r="P336" s="2">
        <f t="shared" si="68"/>
        <v>42.732558139534881</v>
      </c>
      <c r="Q336" s="2">
        <f t="shared" si="69"/>
        <v>42.732558139534881</v>
      </c>
      <c r="R336" s="2">
        <f t="shared" si="70"/>
        <v>42.732558139534881</v>
      </c>
      <c r="S336" s="2">
        <f t="shared" si="71"/>
        <v>21.802325581395348</v>
      </c>
      <c r="T336" s="2">
        <f t="shared" si="72"/>
        <v>0</v>
      </c>
      <c r="U336" s="3" t="str">
        <f t="shared" si="73"/>
        <v/>
      </c>
      <c r="V336" s="3" t="str">
        <f t="shared" si="74"/>
        <v/>
      </c>
      <c r="W336" s="3" t="str">
        <f t="shared" si="75"/>
        <v/>
      </c>
      <c r="X336" s="3" t="str">
        <f t="shared" si="76"/>
        <v/>
      </c>
      <c r="Y336" s="3" t="str">
        <f t="shared" si="77"/>
        <v>YES</v>
      </c>
    </row>
    <row r="337" spans="1:25">
      <c r="A337" t="s">
        <v>406</v>
      </c>
      <c r="B337">
        <v>100</v>
      </c>
      <c r="C337">
        <v>10</v>
      </c>
      <c r="D337">
        <v>200</v>
      </c>
      <c r="E337">
        <v>10</v>
      </c>
      <c r="F337" t="s">
        <v>69</v>
      </c>
      <c r="G337" t="s">
        <v>70</v>
      </c>
      <c r="H337" s="2">
        <v>541</v>
      </c>
      <c r="I337" s="2">
        <v>539</v>
      </c>
      <c r="J337" s="2">
        <v>550</v>
      </c>
      <c r="K337" s="2">
        <v>382</v>
      </c>
      <c r="L337" s="2">
        <v>360</v>
      </c>
      <c r="M337" s="2">
        <f t="shared" si="65"/>
        <v>360</v>
      </c>
      <c r="N337" t="e">
        <f t="shared" ca="1" si="66"/>
        <v>#NAME?</v>
      </c>
      <c r="O337" t="str">
        <f t="shared" si="67"/>
        <v>MSIG Cost</v>
      </c>
      <c r="P337" s="2">
        <f t="shared" si="68"/>
        <v>50.277777777777779</v>
      </c>
      <c r="Q337" s="2">
        <f t="shared" si="69"/>
        <v>49.722222222222221</v>
      </c>
      <c r="R337" s="2">
        <f t="shared" si="70"/>
        <v>52.777777777777779</v>
      </c>
      <c r="S337" s="2">
        <f t="shared" si="71"/>
        <v>6.1111111111111107</v>
      </c>
      <c r="T337" s="2">
        <f t="shared" si="72"/>
        <v>0</v>
      </c>
      <c r="U337" s="3" t="str">
        <f t="shared" si="73"/>
        <v/>
      </c>
      <c r="V337" s="3" t="str">
        <f t="shared" si="74"/>
        <v/>
      </c>
      <c r="W337" s="3" t="str">
        <f t="shared" si="75"/>
        <v/>
      </c>
      <c r="X337" s="3" t="str">
        <f t="shared" si="76"/>
        <v/>
      </c>
      <c r="Y337" s="3" t="str">
        <f t="shared" si="77"/>
        <v>YES</v>
      </c>
    </row>
    <row r="338" spans="1:25">
      <c r="A338" t="s">
        <v>407</v>
      </c>
      <c r="B338">
        <v>100</v>
      </c>
      <c r="C338">
        <v>5</v>
      </c>
      <c r="D338">
        <v>200</v>
      </c>
      <c r="E338">
        <v>1</v>
      </c>
      <c r="F338" t="s">
        <v>91</v>
      </c>
      <c r="G338" t="s">
        <v>70</v>
      </c>
      <c r="H338" s="2">
        <v>20</v>
      </c>
      <c r="I338" s="2">
        <v>20</v>
      </c>
      <c r="J338" s="2">
        <v>18</v>
      </c>
      <c r="K338" s="2">
        <v>16</v>
      </c>
      <c r="L338" s="2">
        <v>15</v>
      </c>
      <c r="M338" s="2">
        <f t="shared" si="65"/>
        <v>15</v>
      </c>
      <c r="N338" t="e">
        <f t="shared" ca="1" si="66"/>
        <v>#NAME?</v>
      </c>
      <c r="O338" t="str">
        <f t="shared" si="67"/>
        <v>MSIG Cost</v>
      </c>
      <c r="P338" s="2">
        <f t="shared" si="68"/>
        <v>33.333333333333329</v>
      </c>
      <c r="Q338" s="2">
        <f t="shared" si="69"/>
        <v>33.333333333333329</v>
      </c>
      <c r="R338" s="2">
        <f t="shared" si="70"/>
        <v>20</v>
      </c>
      <c r="S338" s="2">
        <f t="shared" si="71"/>
        <v>6.666666666666667</v>
      </c>
      <c r="T338" s="2">
        <f t="shared" si="72"/>
        <v>0</v>
      </c>
      <c r="U338" s="3" t="str">
        <f t="shared" si="73"/>
        <v/>
      </c>
      <c r="V338" s="3" t="str">
        <f t="shared" si="74"/>
        <v/>
      </c>
      <c r="W338" s="3" t="str">
        <f t="shared" si="75"/>
        <v/>
      </c>
      <c r="X338" s="3" t="str">
        <f t="shared" si="76"/>
        <v/>
      </c>
      <c r="Y338" s="3" t="str">
        <f t="shared" si="77"/>
        <v>YES</v>
      </c>
    </row>
    <row r="339" spans="1:25">
      <c r="A339" t="s">
        <v>408</v>
      </c>
      <c r="B339">
        <v>100</v>
      </c>
      <c r="C339">
        <v>5</v>
      </c>
      <c r="D339">
        <v>200</v>
      </c>
      <c r="E339">
        <v>1</v>
      </c>
      <c r="F339" t="s">
        <v>69</v>
      </c>
      <c r="G339" t="s">
        <v>70</v>
      </c>
      <c r="H339" s="2">
        <v>20</v>
      </c>
      <c r="I339" s="2">
        <v>21</v>
      </c>
      <c r="J339" s="2">
        <v>20</v>
      </c>
      <c r="K339" s="2">
        <v>18</v>
      </c>
      <c r="L339" s="2">
        <v>15</v>
      </c>
      <c r="M339" s="2">
        <f t="shared" si="65"/>
        <v>15</v>
      </c>
      <c r="N339" t="e">
        <f t="shared" ca="1" si="66"/>
        <v>#NAME?</v>
      </c>
      <c r="O339" t="str">
        <f t="shared" si="67"/>
        <v>MSIG Cost</v>
      </c>
      <c r="P339" s="2">
        <f t="shared" si="68"/>
        <v>33.333333333333329</v>
      </c>
      <c r="Q339" s="2">
        <f t="shared" si="69"/>
        <v>40</v>
      </c>
      <c r="R339" s="2">
        <f t="shared" si="70"/>
        <v>33.333333333333329</v>
      </c>
      <c r="S339" s="2">
        <f t="shared" si="71"/>
        <v>20</v>
      </c>
      <c r="T339" s="2">
        <f t="shared" si="72"/>
        <v>0</v>
      </c>
      <c r="U339" s="3" t="str">
        <f t="shared" si="73"/>
        <v/>
      </c>
      <c r="V339" s="3" t="str">
        <f t="shared" si="74"/>
        <v/>
      </c>
      <c r="W339" s="3" t="str">
        <f t="shared" si="75"/>
        <v/>
      </c>
      <c r="X339" s="3" t="str">
        <f t="shared" si="76"/>
        <v/>
      </c>
      <c r="Y339" s="3" t="str">
        <f t="shared" si="77"/>
        <v>YES</v>
      </c>
    </row>
    <row r="340" spans="1:25">
      <c r="A340" t="s">
        <v>409</v>
      </c>
      <c r="B340">
        <v>100</v>
      </c>
      <c r="C340">
        <v>5</v>
      </c>
      <c r="D340">
        <v>200</v>
      </c>
      <c r="E340">
        <v>10</v>
      </c>
      <c r="F340" t="s">
        <v>91</v>
      </c>
      <c r="G340" t="s">
        <v>70</v>
      </c>
      <c r="H340" s="2">
        <v>358</v>
      </c>
      <c r="I340" s="2">
        <v>366</v>
      </c>
      <c r="J340" s="2">
        <v>342</v>
      </c>
      <c r="K340" s="2">
        <v>238</v>
      </c>
      <c r="L340" s="2">
        <v>195</v>
      </c>
      <c r="M340" s="2">
        <f t="shared" si="65"/>
        <v>195</v>
      </c>
      <c r="N340" t="e">
        <f t="shared" ca="1" si="66"/>
        <v>#NAME?</v>
      </c>
      <c r="O340" t="str">
        <f t="shared" si="67"/>
        <v>MSIG Cost</v>
      </c>
      <c r="P340" s="2">
        <f t="shared" si="68"/>
        <v>83.589743589743591</v>
      </c>
      <c r="Q340" s="2">
        <f t="shared" si="69"/>
        <v>87.692307692307693</v>
      </c>
      <c r="R340" s="2">
        <f t="shared" si="70"/>
        <v>75.384615384615387</v>
      </c>
      <c r="S340" s="2">
        <f t="shared" si="71"/>
        <v>22.051282051282051</v>
      </c>
      <c r="T340" s="2">
        <f t="shared" si="72"/>
        <v>0</v>
      </c>
      <c r="U340" s="3" t="str">
        <f t="shared" si="73"/>
        <v/>
      </c>
      <c r="V340" s="3" t="str">
        <f t="shared" si="74"/>
        <v/>
      </c>
      <c r="W340" s="3" t="str">
        <f t="shared" si="75"/>
        <v/>
      </c>
      <c r="X340" s="3" t="str">
        <f t="shared" si="76"/>
        <v/>
      </c>
      <c r="Y340" s="3" t="str">
        <f t="shared" si="77"/>
        <v>YES</v>
      </c>
    </row>
    <row r="341" spans="1:25">
      <c r="A341" t="s">
        <v>410</v>
      </c>
      <c r="B341">
        <v>100</v>
      </c>
      <c r="C341">
        <v>5</v>
      </c>
      <c r="D341">
        <v>200</v>
      </c>
      <c r="E341">
        <v>10</v>
      </c>
      <c r="F341" t="s">
        <v>69</v>
      </c>
      <c r="G341" t="s">
        <v>70</v>
      </c>
      <c r="H341" s="2">
        <v>336</v>
      </c>
      <c r="I341" s="2">
        <v>344</v>
      </c>
      <c r="J341" s="2">
        <v>328</v>
      </c>
      <c r="K341" s="2">
        <v>237</v>
      </c>
      <c r="L341" s="2">
        <v>198</v>
      </c>
      <c r="M341" s="2">
        <f t="shared" si="65"/>
        <v>198</v>
      </c>
      <c r="N341" t="e">
        <f t="shared" ca="1" si="66"/>
        <v>#NAME?</v>
      </c>
      <c r="O341" t="str">
        <f t="shared" si="67"/>
        <v>MSIG Cost</v>
      </c>
      <c r="P341" s="2">
        <f t="shared" si="68"/>
        <v>69.696969696969703</v>
      </c>
      <c r="Q341" s="2">
        <f t="shared" si="69"/>
        <v>73.73737373737373</v>
      </c>
      <c r="R341" s="2">
        <f t="shared" si="70"/>
        <v>65.656565656565661</v>
      </c>
      <c r="S341" s="2">
        <f t="shared" si="71"/>
        <v>19.696969696969695</v>
      </c>
      <c r="T341" s="2">
        <f t="shared" si="72"/>
        <v>0</v>
      </c>
      <c r="U341" s="3" t="str">
        <f t="shared" si="73"/>
        <v/>
      </c>
      <c r="V341" s="3" t="str">
        <f t="shared" si="74"/>
        <v/>
      </c>
      <c r="W341" s="3" t="str">
        <f t="shared" si="75"/>
        <v/>
      </c>
      <c r="X341" s="3" t="str">
        <f t="shared" si="76"/>
        <v/>
      </c>
      <c r="Y341" s="3" t="str">
        <f t="shared" si="77"/>
        <v>YES</v>
      </c>
    </row>
    <row r="342" spans="1:25">
      <c r="A342" t="s">
        <v>411</v>
      </c>
      <c r="B342">
        <v>100</v>
      </c>
      <c r="C342">
        <v>5</v>
      </c>
      <c r="D342">
        <v>200</v>
      </c>
      <c r="E342">
        <v>1</v>
      </c>
      <c r="F342" t="s">
        <v>69</v>
      </c>
      <c r="G342" t="s">
        <v>70</v>
      </c>
      <c r="H342" s="2">
        <v>15</v>
      </c>
      <c r="I342" s="2">
        <v>15</v>
      </c>
      <c r="J342" s="2">
        <v>15</v>
      </c>
      <c r="K342" s="2">
        <v>16</v>
      </c>
      <c r="L342" s="2">
        <v>13</v>
      </c>
      <c r="M342" s="2">
        <f t="shared" si="65"/>
        <v>13</v>
      </c>
      <c r="N342" t="e">
        <f t="shared" ca="1" si="66"/>
        <v>#NAME?</v>
      </c>
      <c r="O342" t="str">
        <f t="shared" si="67"/>
        <v>MSIG Cost</v>
      </c>
      <c r="P342" s="2">
        <f t="shared" si="68"/>
        <v>15.384615384615385</v>
      </c>
      <c r="Q342" s="2">
        <f t="shared" si="69"/>
        <v>15.384615384615385</v>
      </c>
      <c r="R342" s="2">
        <f t="shared" si="70"/>
        <v>15.384615384615385</v>
      </c>
      <c r="S342" s="2">
        <f t="shared" si="71"/>
        <v>23.076923076923077</v>
      </c>
      <c r="T342" s="2">
        <f t="shared" si="72"/>
        <v>0</v>
      </c>
      <c r="U342" s="3" t="str">
        <f t="shared" si="73"/>
        <v/>
      </c>
      <c r="V342" s="3" t="str">
        <f t="shared" si="74"/>
        <v/>
      </c>
      <c r="W342" s="3" t="str">
        <f t="shared" si="75"/>
        <v/>
      </c>
      <c r="X342" s="3" t="str">
        <f t="shared" si="76"/>
        <v/>
      </c>
      <c r="Y342" s="3" t="str">
        <f t="shared" si="77"/>
        <v>YES</v>
      </c>
    </row>
    <row r="343" spans="1:25">
      <c r="A343" t="s">
        <v>412</v>
      </c>
      <c r="B343">
        <v>100</v>
      </c>
      <c r="C343">
        <v>5</v>
      </c>
      <c r="D343">
        <v>200</v>
      </c>
      <c r="E343">
        <v>1</v>
      </c>
      <c r="F343" t="s">
        <v>69</v>
      </c>
      <c r="G343" t="s">
        <v>70</v>
      </c>
      <c r="H343" s="2">
        <v>14</v>
      </c>
      <c r="I343" s="2">
        <v>15</v>
      </c>
      <c r="J343" s="2">
        <v>15</v>
      </c>
      <c r="K343" s="2">
        <v>16</v>
      </c>
      <c r="L343" s="2">
        <v>14</v>
      </c>
      <c r="M343" s="2">
        <f t="shared" si="65"/>
        <v>14</v>
      </c>
      <c r="N343" t="e">
        <f t="shared" ca="1" si="66"/>
        <v>#NAME?</v>
      </c>
      <c r="O343" t="str">
        <f t="shared" si="67"/>
        <v/>
      </c>
      <c r="P343" s="2">
        <f t="shared" si="68"/>
        <v>0</v>
      </c>
      <c r="Q343" s="2">
        <f t="shared" si="69"/>
        <v>7.1428571428571423</v>
      </c>
      <c r="R343" s="2">
        <f t="shared" si="70"/>
        <v>7.1428571428571423</v>
      </c>
      <c r="S343" s="2">
        <f t="shared" si="71"/>
        <v>14.285714285714285</v>
      </c>
      <c r="T343" s="2">
        <f t="shared" si="72"/>
        <v>0</v>
      </c>
      <c r="U343" s="3" t="str">
        <f t="shared" si="73"/>
        <v>YES</v>
      </c>
      <c r="V343" s="3" t="str">
        <f t="shared" si="74"/>
        <v/>
      </c>
      <c r="W343" s="3" t="str">
        <f t="shared" si="75"/>
        <v/>
      </c>
      <c r="X343" s="3" t="str">
        <f t="shared" si="76"/>
        <v/>
      </c>
      <c r="Y343" s="3" t="str">
        <f t="shared" si="77"/>
        <v>YES</v>
      </c>
    </row>
    <row r="344" spans="1:25">
      <c r="A344" t="s">
        <v>413</v>
      </c>
      <c r="B344">
        <v>100</v>
      </c>
      <c r="C344">
        <v>5</v>
      </c>
      <c r="D344">
        <v>200</v>
      </c>
      <c r="E344">
        <v>10</v>
      </c>
      <c r="F344" t="s">
        <v>91</v>
      </c>
      <c r="G344" t="s">
        <v>70</v>
      </c>
      <c r="H344" s="2">
        <v>316</v>
      </c>
      <c r="I344" s="2">
        <v>318</v>
      </c>
      <c r="J344" s="2">
        <v>313</v>
      </c>
      <c r="K344" s="2">
        <v>238</v>
      </c>
      <c r="L344" s="2">
        <v>180</v>
      </c>
      <c r="M344" s="2">
        <f t="shared" si="65"/>
        <v>180</v>
      </c>
      <c r="N344" t="e">
        <f t="shared" ca="1" si="66"/>
        <v>#NAME?</v>
      </c>
      <c r="O344" t="str">
        <f t="shared" si="67"/>
        <v>MSIG Cost</v>
      </c>
      <c r="P344" s="2">
        <f t="shared" si="68"/>
        <v>75.555555555555557</v>
      </c>
      <c r="Q344" s="2">
        <f t="shared" si="69"/>
        <v>76.666666666666671</v>
      </c>
      <c r="R344" s="2">
        <f t="shared" si="70"/>
        <v>73.888888888888886</v>
      </c>
      <c r="S344" s="2">
        <f t="shared" si="71"/>
        <v>32.222222222222221</v>
      </c>
      <c r="T344" s="2">
        <f t="shared" si="72"/>
        <v>0</v>
      </c>
      <c r="U344" s="3" t="str">
        <f t="shared" si="73"/>
        <v/>
      </c>
      <c r="V344" s="3" t="str">
        <f t="shared" si="74"/>
        <v/>
      </c>
      <c r="W344" s="3" t="str">
        <f t="shared" si="75"/>
        <v/>
      </c>
      <c r="X344" s="3" t="str">
        <f t="shared" si="76"/>
        <v/>
      </c>
      <c r="Y344" s="3" t="str">
        <f t="shared" si="77"/>
        <v>YES</v>
      </c>
    </row>
    <row r="345" spans="1:25">
      <c r="A345" t="s">
        <v>414</v>
      </c>
      <c r="B345">
        <v>100</v>
      </c>
      <c r="C345">
        <v>5</v>
      </c>
      <c r="D345">
        <v>200</v>
      </c>
      <c r="E345">
        <v>10</v>
      </c>
      <c r="F345" t="s">
        <v>69</v>
      </c>
      <c r="G345" t="s">
        <v>70</v>
      </c>
      <c r="H345" s="2">
        <v>271</v>
      </c>
      <c r="I345" s="2">
        <v>255</v>
      </c>
      <c r="J345" s="2">
        <v>256</v>
      </c>
      <c r="K345" s="2">
        <v>226</v>
      </c>
      <c r="L345" s="2">
        <v>164</v>
      </c>
      <c r="M345" s="2">
        <f t="shared" si="65"/>
        <v>164</v>
      </c>
      <c r="N345" t="e">
        <f t="shared" ca="1" si="66"/>
        <v>#NAME?</v>
      </c>
      <c r="O345" t="str">
        <f t="shared" si="67"/>
        <v>MSIG Cost</v>
      </c>
      <c r="P345" s="2">
        <f t="shared" si="68"/>
        <v>65.243902439024396</v>
      </c>
      <c r="Q345" s="2">
        <f t="shared" si="69"/>
        <v>55.487804878048784</v>
      </c>
      <c r="R345" s="2">
        <f t="shared" si="70"/>
        <v>56.09756097560976</v>
      </c>
      <c r="S345" s="2">
        <f t="shared" si="71"/>
        <v>37.804878048780488</v>
      </c>
      <c r="T345" s="2">
        <f t="shared" si="72"/>
        <v>0</v>
      </c>
      <c r="U345" s="3" t="str">
        <f t="shared" si="73"/>
        <v/>
      </c>
      <c r="V345" s="3" t="str">
        <f t="shared" si="74"/>
        <v/>
      </c>
      <c r="W345" s="3" t="str">
        <f t="shared" si="75"/>
        <v/>
      </c>
      <c r="X345" s="3" t="str">
        <f t="shared" si="76"/>
        <v/>
      </c>
      <c r="Y345" s="3" t="str">
        <f t="shared" si="77"/>
        <v>YES</v>
      </c>
    </row>
    <row r="346" spans="1:25">
      <c r="A346" t="s">
        <v>415</v>
      </c>
      <c r="B346">
        <v>100</v>
      </c>
      <c r="C346">
        <v>5</v>
      </c>
      <c r="D346">
        <v>200</v>
      </c>
      <c r="E346">
        <v>1</v>
      </c>
      <c r="F346" t="s">
        <v>69</v>
      </c>
      <c r="G346" t="s">
        <v>70</v>
      </c>
      <c r="H346" s="2">
        <v>33</v>
      </c>
      <c r="I346" s="2">
        <v>34</v>
      </c>
      <c r="J346" s="2">
        <v>34</v>
      </c>
      <c r="K346" s="2">
        <v>32</v>
      </c>
      <c r="L346" s="2">
        <v>30</v>
      </c>
      <c r="M346" s="2">
        <f t="shared" si="65"/>
        <v>30</v>
      </c>
      <c r="N346" t="e">
        <f t="shared" ca="1" si="66"/>
        <v>#NAME?</v>
      </c>
      <c r="O346" t="str">
        <f t="shared" si="67"/>
        <v>MSIG Cost</v>
      </c>
      <c r="P346" s="2">
        <f t="shared" si="68"/>
        <v>10</v>
      </c>
      <c r="Q346" s="2">
        <f t="shared" si="69"/>
        <v>13.333333333333334</v>
      </c>
      <c r="R346" s="2">
        <f t="shared" si="70"/>
        <v>13.333333333333334</v>
      </c>
      <c r="S346" s="2">
        <f t="shared" si="71"/>
        <v>6.666666666666667</v>
      </c>
      <c r="T346" s="2">
        <f t="shared" si="72"/>
        <v>0</v>
      </c>
      <c r="U346" s="3" t="str">
        <f t="shared" si="73"/>
        <v/>
      </c>
      <c r="V346" s="3" t="str">
        <f t="shared" si="74"/>
        <v/>
      </c>
      <c r="W346" s="3" t="str">
        <f t="shared" si="75"/>
        <v/>
      </c>
      <c r="X346" s="3" t="str">
        <f t="shared" si="76"/>
        <v/>
      </c>
      <c r="Y346" s="3" t="str">
        <f t="shared" si="77"/>
        <v>YES</v>
      </c>
    </row>
    <row r="347" spans="1:25">
      <c r="A347" t="s">
        <v>416</v>
      </c>
      <c r="B347">
        <v>100</v>
      </c>
      <c r="C347">
        <v>5</v>
      </c>
      <c r="D347">
        <v>200</v>
      </c>
      <c r="E347">
        <v>1</v>
      </c>
      <c r="F347" t="s">
        <v>69</v>
      </c>
      <c r="G347" t="s">
        <v>70</v>
      </c>
      <c r="H347" s="2">
        <v>37</v>
      </c>
      <c r="I347" s="2">
        <v>37</v>
      </c>
      <c r="J347" s="2">
        <v>37</v>
      </c>
      <c r="K347" s="2">
        <v>31</v>
      </c>
      <c r="L347" s="2">
        <v>31</v>
      </c>
      <c r="M347" s="2">
        <f t="shared" si="65"/>
        <v>31</v>
      </c>
      <c r="N347" t="e">
        <f t="shared" ca="1" si="66"/>
        <v>#NAME?</v>
      </c>
      <c r="O347" t="str">
        <f t="shared" si="67"/>
        <v/>
      </c>
      <c r="P347" s="2">
        <f t="shared" si="68"/>
        <v>19.35483870967742</v>
      </c>
      <c r="Q347" s="2">
        <f t="shared" si="69"/>
        <v>19.35483870967742</v>
      </c>
      <c r="R347" s="2">
        <f t="shared" si="70"/>
        <v>19.35483870967742</v>
      </c>
      <c r="S347" s="2">
        <f t="shared" si="71"/>
        <v>0</v>
      </c>
      <c r="T347" s="2">
        <f t="shared" si="72"/>
        <v>0</v>
      </c>
      <c r="U347" s="3" t="str">
        <f t="shared" si="73"/>
        <v/>
      </c>
      <c r="V347" s="3" t="str">
        <f t="shared" si="74"/>
        <v/>
      </c>
      <c r="W347" s="3" t="str">
        <f t="shared" si="75"/>
        <v/>
      </c>
      <c r="X347" s="3" t="str">
        <f t="shared" si="76"/>
        <v>YES</v>
      </c>
      <c r="Y347" s="3" t="str">
        <f t="shared" si="77"/>
        <v>YES</v>
      </c>
    </row>
    <row r="348" spans="1:25">
      <c r="A348" t="s">
        <v>417</v>
      </c>
      <c r="B348">
        <v>100</v>
      </c>
      <c r="C348">
        <v>5</v>
      </c>
      <c r="D348">
        <v>200</v>
      </c>
      <c r="E348">
        <v>10</v>
      </c>
      <c r="F348" t="s">
        <v>69</v>
      </c>
      <c r="G348" t="s">
        <v>70</v>
      </c>
      <c r="H348" s="2">
        <v>564</v>
      </c>
      <c r="I348" s="2">
        <v>579</v>
      </c>
      <c r="J348" s="2">
        <v>571</v>
      </c>
      <c r="K348" s="2">
        <v>433</v>
      </c>
      <c r="L348" s="2">
        <v>404</v>
      </c>
      <c r="M348" s="2">
        <f t="shared" si="65"/>
        <v>404</v>
      </c>
      <c r="N348" t="e">
        <f t="shared" ca="1" si="66"/>
        <v>#NAME?</v>
      </c>
      <c r="O348" t="str">
        <f t="shared" si="67"/>
        <v>MSIG Cost</v>
      </c>
      <c r="P348" s="2">
        <f t="shared" si="68"/>
        <v>39.603960396039604</v>
      </c>
      <c r="Q348" s="2">
        <f t="shared" si="69"/>
        <v>43.316831683168317</v>
      </c>
      <c r="R348" s="2">
        <f t="shared" si="70"/>
        <v>41.336633663366335</v>
      </c>
      <c r="S348" s="2">
        <f t="shared" si="71"/>
        <v>7.1782178217821775</v>
      </c>
      <c r="T348" s="2">
        <f t="shared" si="72"/>
        <v>0</v>
      </c>
      <c r="U348" s="3" t="str">
        <f t="shared" si="73"/>
        <v/>
      </c>
      <c r="V348" s="3" t="str">
        <f t="shared" si="74"/>
        <v/>
      </c>
      <c r="W348" s="3" t="str">
        <f t="shared" si="75"/>
        <v/>
      </c>
      <c r="X348" s="3" t="str">
        <f t="shared" si="76"/>
        <v/>
      </c>
      <c r="Y348" s="3" t="str">
        <f t="shared" si="77"/>
        <v>YES</v>
      </c>
    </row>
    <row r="349" spans="1:25">
      <c r="A349" t="s">
        <v>418</v>
      </c>
      <c r="B349">
        <v>100</v>
      </c>
      <c r="C349">
        <v>5</v>
      </c>
      <c r="D349">
        <v>200</v>
      </c>
      <c r="E349">
        <v>10</v>
      </c>
      <c r="F349" t="s">
        <v>69</v>
      </c>
      <c r="G349" t="s">
        <v>70</v>
      </c>
      <c r="H349" s="2">
        <v>554</v>
      </c>
      <c r="I349" s="2">
        <v>556</v>
      </c>
      <c r="J349" s="2">
        <v>537</v>
      </c>
      <c r="K349" s="2">
        <v>387</v>
      </c>
      <c r="L349" s="2">
        <v>375</v>
      </c>
      <c r="M349" s="2">
        <f t="shared" si="65"/>
        <v>375</v>
      </c>
      <c r="N349" t="e">
        <f t="shared" ca="1" si="66"/>
        <v>#NAME?</v>
      </c>
      <c r="O349" t="str">
        <f t="shared" si="67"/>
        <v>MSIG Cost</v>
      </c>
      <c r="P349" s="2">
        <f t="shared" si="68"/>
        <v>47.733333333333334</v>
      </c>
      <c r="Q349" s="2">
        <f t="shared" si="69"/>
        <v>48.266666666666666</v>
      </c>
      <c r="R349" s="2">
        <f t="shared" si="70"/>
        <v>43.2</v>
      </c>
      <c r="S349" s="2">
        <f t="shared" si="71"/>
        <v>3.2</v>
      </c>
      <c r="T349" s="2">
        <f t="shared" si="72"/>
        <v>0</v>
      </c>
      <c r="U349" s="3" t="str">
        <f t="shared" si="73"/>
        <v/>
      </c>
      <c r="V349" s="3" t="str">
        <f t="shared" si="74"/>
        <v/>
      </c>
      <c r="W349" s="3" t="str">
        <f t="shared" si="75"/>
        <v/>
      </c>
      <c r="X349" s="3" t="str">
        <f t="shared" si="76"/>
        <v/>
      </c>
      <c r="Y349" s="3" t="str">
        <f t="shared" si="77"/>
        <v>YES</v>
      </c>
    </row>
    <row r="350" spans="1:25">
      <c r="A350" t="s">
        <v>419</v>
      </c>
      <c r="B350">
        <v>100</v>
      </c>
      <c r="C350">
        <v>5</v>
      </c>
      <c r="D350">
        <v>200</v>
      </c>
      <c r="E350">
        <v>1</v>
      </c>
      <c r="F350" t="s">
        <v>69</v>
      </c>
      <c r="G350" t="s">
        <v>70</v>
      </c>
      <c r="H350" s="2">
        <v>28</v>
      </c>
      <c r="I350" s="2">
        <v>28</v>
      </c>
      <c r="J350" s="2">
        <v>28</v>
      </c>
      <c r="K350" s="2">
        <v>28</v>
      </c>
      <c r="L350" s="2">
        <v>26</v>
      </c>
      <c r="M350" s="2">
        <f t="shared" si="65"/>
        <v>26</v>
      </c>
      <c r="N350" t="e">
        <f t="shared" ca="1" si="66"/>
        <v>#NAME?</v>
      </c>
      <c r="O350" t="str">
        <f t="shared" si="67"/>
        <v>MSIG Cost</v>
      </c>
      <c r="P350" s="2">
        <f t="shared" si="68"/>
        <v>7.6923076923076925</v>
      </c>
      <c r="Q350" s="2">
        <f t="shared" si="69"/>
        <v>7.6923076923076925</v>
      </c>
      <c r="R350" s="2">
        <f t="shared" si="70"/>
        <v>7.6923076923076925</v>
      </c>
      <c r="S350" s="2">
        <f t="shared" si="71"/>
        <v>7.6923076923076925</v>
      </c>
      <c r="T350" s="2">
        <f t="shared" si="72"/>
        <v>0</v>
      </c>
      <c r="U350" s="3" t="str">
        <f t="shared" si="73"/>
        <v/>
      </c>
      <c r="V350" s="3" t="str">
        <f t="shared" si="74"/>
        <v/>
      </c>
      <c r="W350" s="3" t="str">
        <f t="shared" si="75"/>
        <v/>
      </c>
      <c r="X350" s="3" t="str">
        <f t="shared" si="76"/>
        <v/>
      </c>
      <c r="Y350" s="3" t="str">
        <f t="shared" si="77"/>
        <v>YES</v>
      </c>
    </row>
    <row r="351" spans="1:25">
      <c r="A351" t="s">
        <v>420</v>
      </c>
      <c r="B351">
        <v>100</v>
      </c>
      <c r="C351">
        <v>5</v>
      </c>
      <c r="D351">
        <v>200</v>
      </c>
      <c r="E351">
        <v>1</v>
      </c>
      <c r="F351" t="s">
        <v>69</v>
      </c>
      <c r="G351" t="s">
        <v>70</v>
      </c>
      <c r="H351" s="2">
        <v>30</v>
      </c>
      <c r="I351" s="2">
        <v>30</v>
      </c>
      <c r="J351" s="2">
        <v>30</v>
      </c>
      <c r="K351" s="2">
        <v>28</v>
      </c>
      <c r="L351" s="2">
        <v>28</v>
      </c>
      <c r="M351" s="2">
        <f t="shared" si="65"/>
        <v>28</v>
      </c>
      <c r="N351" t="e">
        <f t="shared" ca="1" si="66"/>
        <v>#NAME?</v>
      </c>
      <c r="O351" t="str">
        <f t="shared" si="67"/>
        <v/>
      </c>
      <c r="P351" s="2">
        <f t="shared" si="68"/>
        <v>7.1428571428571423</v>
      </c>
      <c r="Q351" s="2">
        <f t="shared" si="69"/>
        <v>7.1428571428571423</v>
      </c>
      <c r="R351" s="2">
        <f t="shared" si="70"/>
        <v>7.1428571428571423</v>
      </c>
      <c r="S351" s="2">
        <f t="shared" si="71"/>
        <v>0</v>
      </c>
      <c r="T351" s="2">
        <f t="shared" si="72"/>
        <v>0</v>
      </c>
      <c r="U351" s="3" t="str">
        <f t="shared" si="73"/>
        <v/>
      </c>
      <c r="V351" s="3" t="str">
        <f t="shared" si="74"/>
        <v/>
      </c>
      <c r="W351" s="3" t="str">
        <f t="shared" si="75"/>
        <v/>
      </c>
      <c r="X351" s="3" t="str">
        <f t="shared" si="76"/>
        <v>YES</v>
      </c>
      <c r="Y351" s="3" t="str">
        <f t="shared" si="77"/>
        <v>YES</v>
      </c>
    </row>
    <row r="352" spans="1:25">
      <c r="A352" t="s">
        <v>421</v>
      </c>
      <c r="B352">
        <v>100</v>
      </c>
      <c r="C352">
        <v>5</v>
      </c>
      <c r="D352">
        <v>200</v>
      </c>
      <c r="E352">
        <v>10</v>
      </c>
      <c r="F352" t="s">
        <v>69</v>
      </c>
      <c r="G352" t="s">
        <v>70</v>
      </c>
      <c r="H352" s="2">
        <v>518</v>
      </c>
      <c r="I352" s="2">
        <v>523</v>
      </c>
      <c r="J352" s="2">
        <v>528</v>
      </c>
      <c r="K352" s="2">
        <v>390</v>
      </c>
      <c r="L352" s="2">
        <v>350</v>
      </c>
      <c r="M352" s="2">
        <f t="shared" si="65"/>
        <v>350</v>
      </c>
      <c r="N352" t="e">
        <f t="shared" ca="1" si="66"/>
        <v>#NAME?</v>
      </c>
      <c r="O352" t="str">
        <f t="shared" si="67"/>
        <v>MSIG Cost</v>
      </c>
      <c r="P352" s="2">
        <f t="shared" si="68"/>
        <v>48</v>
      </c>
      <c r="Q352" s="2">
        <f t="shared" si="69"/>
        <v>49.428571428571431</v>
      </c>
      <c r="R352" s="2">
        <f t="shared" si="70"/>
        <v>50.857142857142854</v>
      </c>
      <c r="S352" s="2">
        <f t="shared" si="71"/>
        <v>11.428571428571429</v>
      </c>
      <c r="T352" s="2">
        <f t="shared" si="72"/>
        <v>0</v>
      </c>
      <c r="U352" s="3" t="str">
        <f t="shared" si="73"/>
        <v/>
      </c>
      <c r="V352" s="3" t="str">
        <f t="shared" si="74"/>
        <v/>
      </c>
      <c r="W352" s="3" t="str">
        <f t="shared" si="75"/>
        <v/>
      </c>
      <c r="X352" s="3" t="str">
        <f t="shared" si="76"/>
        <v/>
      </c>
      <c r="Y352" s="3" t="str">
        <f t="shared" si="77"/>
        <v>YES</v>
      </c>
    </row>
    <row r="353" spans="1:25">
      <c r="A353" t="s">
        <v>422</v>
      </c>
      <c r="B353">
        <v>100</v>
      </c>
      <c r="C353">
        <v>5</v>
      </c>
      <c r="D353">
        <v>200</v>
      </c>
      <c r="E353">
        <v>10</v>
      </c>
      <c r="F353" t="s">
        <v>91</v>
      </c>
      <c r="G353" t="s">
        <v>70</v>
      </c>
      <c r="H353" s="2">
        <v>457</v>
      </c>
      <c r="I353" s="2">
        <v>464</v>
      </c>
      <c r="J353" s="2">
        <v>463</v>
      </c>
      <c r="K353" s="2">
        <v>356</v>
      </c>
      <c r="L353" s="2">
        <v>326</v>
      </c>
      <c r="M353" s="2">
        <f t="shared" si="65"/>
        <v>326</v>
      </c>
      <c r="N353" t="e">
        <f t="shared" ca="1" si="66"/>
        <v>#NAME?</v>
      </c>
      <c r="O353" t="str">
        <f t="shared" si="67"/>
        <v>MSIG Cost</v>
      </c>
      <c r="P353" s="2">
        <f t="shared" si="68"/>
        <v>40.184049079754601</v>
      </c>
      <c r="Q353" s="2">
        <f t="shared" si="69"/>
        <v>42.331288343558285</v>
      </c>
      <c r="R353" s="2">
        <f t="shared" si="70"/>
        <v>42.024539877300612</v>
      </c>
      <c r="S353" s="2">
        <f t="shared" si="71"/>
        <v>9.2024539877300615</v>
      </c>
      <c r="T353" s="2">
        <f t="shared" si="72"/>
        <v>0</v>
      </c>
      <c r="U353" s="3" t="str">
        <f t="shared" si="73"/>
        <v/>
      </c>
      <c r="V353" s="3" t="str">
        <f t="shared" si="74"/>
        <v/>
      </c>
      <c r="W353" s="3" t="str">
        <f t="shared" si="75"/>
        <v/>
      </c>
      <c r="X353" s="3" t="str">
        <f t="shared" si="76"/>
        <v/>
      </c>
      <c r="Y353" s="3" t="str">
        <f t="shared" si="77"/>
        <v>YES</v>
      </c>
    </row>
    <row r="354" spans="1:25">
      <c r="A354" t="s">
        <v>423</v>
      </c>
      <c r="B354">
        <v>200</v>
      </c>
      <c r="C354">
        <v>10</v>
      </c>
      <c r="D354">
        <v>200</v>
      </c>
      <c r="E354">
        <v>1</v>
      </c>
      <c r="F354" t="s">
        <v>69</v>
      </c>
      <c r="G354" t="s">
        <v>70</v>
      </c>
      <c r="H354" s="2">
        <v>39</v>
      </c>
      <c r="I354" s="2">
        <v>40</v>
      </c>
      <c r="J354" s="2">
        <v>40</v>
      </c>
      <c r="K354" s="2">
        <v>31</v>
      </c>
      <c r="L354" s="2">
        <v>29</v>
      </c>
      <c r="M354" s="2">
        <f t="shared" si="65"/>
        <v>29</v>
      </c>
      <c r="N354" t="e">
        <f t="shared" ca="1" si="66"/>
        <v>#NAME?</v>
      </c>
      <c r="O354" t="str">
        <f t="shared" si="67"/>
        <v>MSIG Cost</v>
      </c>
      <c r="P354" s="2">
        <f t="shared" si="68"/>
        <v>34.482758620689658</v>
      </c>
      <c r="Q354" s="2">
        <f t="shared" si="69"/>
        <v>37.931034482758619</v>
      </c>
      <c r="R354" s="2">
        <f t="shared" si="70"/>
        <v>37.931034482758619</v>
      </c>
      <c r="S354" s="2">
        <f t="shared" si="71"/>
        <v>6.8965517241379306</v>
      </c>
      <c r="T354" s="2">
        <f t="shared" si="72"/>
        <v>0</v>
      </c>
      <c r="U354" s="3" t="str">
        <f t="shared" si="73"/>
        <v/>
      </c>
      <c r="V354" s="3" t="str">
        <f t="shared" si="74"/>
        <v/>
      </c>
      <c r="W354" s="3" t="str">
        <f t="shared" si="75"/>
        <v/>
      </c>
      <c r="X354" s="3" t="str">
        <f t="shared" si="76"/>
        <v/>
      </c>
      <c r="Y354" s="3" t="str">
        <f t="shared" si="77"/>
        <v>YES</v>
      </c>
    </row>
    <row r="355" spans="1:25">
      <c r="A355" t="s">
        <v>424</v>
      </c>
      <c r="B355">
        <v>200</v>
      </c>
      <c r="C355">
        <v>10</v>
      </c>
      <c r="D355">
        <v>200</v>
      </c>
      <c r="E355">
        <v>1</v>
      </c>
      <c r="F355" t="s">
        <v>91</v>
      </c>
      <c r="G355" t="s">
        <v>70</v>
      </c>
      <c r="H355" s="2">
        <v>41</v>
      </c>
      <c r="I355" s="2">
        <v>42</v>
      </c>
      <c r="J355" s="2">
        <v>41</v>
      </c>
      <c r="K355" s="2">
        <v>34</v>
      </c>
      <c r="L355" s="2">
        <v>31</v>
      </c>
      <c r="M355" s="2">
        <f t="shared" si="65"/>
        <v>31</v>
      </c>
      <c r="N355" t="e">
        <f t="shared" ca="1" si="66"/>
        <v>#NAME?</v>
      </c>
      <c r="O355" t="str">
        <f t="shared" si="67"/>
        <v>MSIG Cost</v>
      </c>
      <c r="P355" s="2">
        <f t="shared" si="68"/>
        <v>32.258064516129032</v>
      </c>
      <c r="Q355" s="2">
        <f t="shared" si="69"/>
        <v>35.483870967741936</v>
      </c>
      <c r="R355" s="2">
        <f t="shared" si="70"/>
        <v>32.258064516129032</v>
      </c>
      <c r="S355" s="2">
        <f t="shared" si="71"/>
        <v>9.67741935483871</v>
      </c>
      <c r="T355" s="2">
        <f t="shared" si="72"/>
        <v>0</v>
      </c>
      <c r="U355" s="3" t="str">
        <f t="shared" si="73"/>
        <v/>
      </c>
      <c r="V355" s="3" t="str">
        <f t="shared" si="74"/>
        <v/>
      </c>
      <c r="W355" s="3" t="str">
        <f t="shared" si="75"/>
        <v/>
      </c>
      <c r="X355" s="3" t="str">
        <f t="shared" si="76"/>
        <v/>
      </c>
      <c r="Y355" s="3" t="str">
        <f t="shared" si="77"/>
        <v>YES</v>
      </c>
    </row>
    <row r="356" spans="1:25">
      <c r="A356" t="s">
        <v>425</v>
      </c>
      <c r="B356">
        <v>200</v>
      </c>
      <c r="C356">
        <v>10</v>
      </c>
      <c r="D356">
        <v>200</v>
      </c>
      <c r="E356">
        <v>10</v>
      </c>
      <c r="F356" t="s">
        <v>69</v>
      </c>
      <c r="G356" t="s">
        <v>70</v>
      </c>
      <c r="H356" s="2">
        <v>727</v>
      </c>
      <c r="I356" s="2">
        <v>712</v>
      </c>
      <c r="J356" s="2">
        <v>689</v>
      </c>
      <c r="K356" s="2">
        <v>469</v>
      </c>
      <c r="L356" s="2">
        <v>376</v>
      </c>
      <c r="M356" s="2">
        <f t="shared" si="65"/>
        <v>376</v>
      </c>
      <c r="N356" t="e">
        <f t="shared" ca="1" si="66"/>
        <v>#NAME?</v>
      </c>
      <c r="O356" t="str">
        <f t="shared" si="67"/>
        <v>MSIG Cost</v>
      </c>
      <c r="P356" s="2">
        <f t="shared" si="68"/>
        <v>93.351063829787222</v>
      </c>
      <c r="Q356" s="2">
        <f t="shared" si="69"/>
        <v>89.361702127659569</v>
      </c>
      <c r="R356" s="2">
        <f t="shared" si="70"/>
        <v>83.244680851063833</v>
      </c>
      <c r="S356" s="2">
        <f t="shared" si="71"/>
        <v>24.73404255319149</v>
      </c>
      <c r="T356" s="2">
        <f t="shared" si="72"/>
        <v>0</v>
      </c>
      <c r="U356" s="3" t="str">
        <f t="shared" si="73"/>
        <v/>
      </c>
      <c r="V356" s="3" t="str">
        <f t="shared" si="74"/>
        <v/>
      </c>
      <c r="W356" s="3" t="str">
        <f t="shared" si="75"/>
        <v/>
      </c>
      <c r="X356" s="3" t="str">
        <f t="shared" si="76"/>
        <v/>
      </c>
      <c r="Y356" s="3" t="str">
        <f t="shared" si="77"/>
        <v>YES</v>
      </c>
    </row>
    <row r="357" spans="1:25">
      <c r="A357" t="s">
        <v>426</v>
      </c>
      <c r="B357">
        <v>200</v>
      </c>
      <c r="C357">
        <v>10</v>
      </c>
      <c r="D357">
        <v>200</v>
      </c>
      <c r="E357">
        <v>10</v>
      </c>
      <c r="F357" t="s">
        <v>69</v>
      </c>
      <c r="G357" t="s">
        <v>70</v>
      </c>
      <c r="H357" s="2">
        <v>691</v>
      </c>
      <c r="I357" s="2">
        <v>697</v>
      </c>
      <c r="J357" s="2">
        <v>682</v>
      </c>
      <c r="K357" s="2">
        <v>451</v>
      </c>
      <c r="L357" s="2">
        <v>366</v>
      </c>
      <c r="M357" s="2">
        <f t="shared" si="65"/>
        <v>366</v>
      </c>
      <c r="N357" t="e">
        <f t="shared" ca="1" si="66"/>
        <v>#NAME?</v>
      </c>
      <c r="O357" t="str">
        <f t="shared" si="67"/>
        <v>MSIG Cost</v>
      </c>
      <c r="P357" s="2">
        <f t="shared" si="68"/>
        <v>88.797814207650276</v>
      </c>
      <c r="Q357" s="2">
        <f t="shared" si="69"/>
        <v>90.437158469945359</v>
      </c>
      <c r="R357" s="2">
        <f t="shared" si="70"/>
        <v>86.338797814207652</v>
      </c>
      <c r="S357" s="2">
        <f t="shared" si="71"/>
        <v>23.224043715846996</v>
      </c>
      <c r="T357" s="2">
        <f t="shared" si="72"/>
        <v>0</v>
      </c>
      <c r="U357" s="3" t="str">
        <f t="shared" si="73"/>
        <v/>
      </c>
      <c r="V357" s="3" t="str">
        <f t="shared" si="74"/>
        <v/>
      </c>
      <c r="W357" s="3" t="str">
        <f t="shared" si="75"/>
        <v/>
      </c>
      <c r="X357" s="3" t="str">
        <f t="shared" si="76"/>
        <v/>
      </c>
      <c r="Y357" s="3" t="str">
        <f t="shared" si="77"/>
        <v>YES</v>
      </c>
    </row>
    <row r="358" spans="1:25">
      <c r="A358" t="s">
        <v>427</v>
      </c>
      <c r="B358">
        <v>200</v>
      </c>
      <c r="C358">
        <v>10</v>
      </c>
      <c r="D358">
        <v>200</v>
      </c>
      <c r="E358">
        <v>1</v>
      </c>
      <c r="F358" t="s">
        <v>69</v>
      </c>
      <c r="G358" t="s">
        <v>70</v>
      </c>
      <c r="H358" s="2">
        <v>29</v>
      </c>
      <c r="I358" s="2">
        <v>29</v>
      </c>
      <c r="J358" s="2">
        <v>29</v>
      </c>
      <c r="K358" s="2">
        <v>30</v>
      </c>
      <c r="L358" s="2">
        <v>25</v>
      </c>
      <c r="M358" s="2">
        <f t="shared" si="65"/>
        <v>25</v>
      </c>
      <c r="N358" t="e">
        <f t="shared" ca="1" si="66"/>
        <v>#NAME?</v>
      </c>
      <c r="O358" t="str">
        <f t="shared" si="67"/>
        <v>MSIG Cost</v>
      </c>
      <c r="P358" s="2">
        <f t="shared" si="68"/>
        <v>16</v>
      </c>
      <c r="Q358" s="2">
        <f t="shared" si="69"/>
        <v>16</v>
      </c>
      <c r="R358" s="2">
        <f t="shared" si="70"/>
        <v>16</v>
      </c>
      <c r="S358" s="2">
        <f t="shared" si="71"/>
        <v>20</v>
      </c>
      <c r="T358" s="2">
        <f t="shared" si="72"/>
        <v>0</v>
      </c>
      <c r="U358" s="3" t="str">
        <f t="shared" si="73"/>
        <v/>
      </c>
      <c r="V358" s="3" t="str">
        <f t="shared" si="74"/>
        <v/>
      </c>
      <c r="W358" s="3" t="str">
        <f t="shared" si="75"/>
        <v/>
      </c>
      <c r="X358" s="3" t="str">
        <f t="shared" si="76"/>
        <v/>
      </c>
      <c r="Y358" s="3" t="str">
        <f t="shared" si="77"/>
        <v>YES</v>
      </c>
    </row>
    <row r="359" spans="1:25">
      <c r="A359" t="s">
        <v>428</v>
      </c>
      <c r="B359">
        <v>200</v>
      </c>
      <c r="C359">
        <v>10</v>
      </c>
      <c r="D359">
        <v>200</v>
      </c>
      <c r="E359">
        <v>1</v>
      </c>
      <c r="F359" t="s">
        <v>69</v>
      </c>
      <c r="G359" t="s">
        <v>70</v>
      </c>
      <c r="H359" s="2">
        <v>28</v>
      </c>
      <c r="I359" s="2">
        <v>29</v>
      </c>
      <c r="J359" s="2">
        <v>28</v>
      </c>
      <c r="K359" s="2">
        <v>31</v>
      </c>
      <c r="L359" s="2">
        <v>24</v>
      </c>
      <c r="M359" s="2">
        <f t="shared" si="65"/>
        <v>24</v>
      </c>
      <c r="N359" t="e">
        <f t="shared" ca="1" si="66"/>
        <v>#NAME?</v>
      </c>
      <c r="O359" t="str">
        <f t="shared" si="67"/>
        <v>MSIG Cost</v>
      </c>
      <c r="P359" s="2">
        <f t="shared" si="68"/>
        <v>16.666666666666664</v>
      </c>
      <c r="Q359" s="2">
        <f t="shared" si="69"/>
        <v>20.833333333333336</v>
      </c>
      <c r="R359" s="2">
        <f t="shared" si="70"/>
        <v>16.666666666666664</v>
      </c>
      <c r="S359" s="2">
        <f t="shared" si="71"/>
        <v>29.166666666666668</v>
      </c>
      <c r="T359" s="2">
        <f t="shared" si="72"/>
        <v>0</v>
      </c>
      <c r="U359" s="3" t="str">
        <f t="shared" si="73"/>
        <v/>
      </c>
      <c r="V359" s="3" t="str">
        <f t="shared" si="74"/>
        <v/>
      </c>
      <c r="W359" s="3" t="str">
        <f t="shared" si="75"/>
        <v/>
      </c>
      <c r="X359" s="3" t="str">
        <f t="shared" si="76"/>
        <v/>
      </c>
      <c r="Y359" s="3" t="str">
        <f t="shared" si="77"/>
        <v>YES</v>
      </c>
    </row>
    <row r="360" spans="1:25">
      <c r="A360" t="s">
        <v>429</v>
      </c>
      <c r="B360">
        <v>200</v>
      </c>
      <c r="C360">
        <v>10</v>
      </c>
      <c r="D360">
        <v>200</v>
      </c>
      <c r="E360">
        <v>10</v>
      </c>
      <c r="F360" t="s">
        <v>69</v>
      </c>
      <c r="G360" t="s">
        <v>70</v>
      </c>
      <c r="H360" s="2">
        <v>622</v>
      </c>
      <c r="I360" s="2">
        <v>639</v>
      </c>
      <c r="J360" s="2">
        <v>612</v>
      </c>
      <c r="K360" s="2">
        <v>455</v>
      </c>
      <c r="L360" s="2">
        <v>343</v>
      </c>
      <c r="M360" s="2">
        <f t="shared" si="65"/>
        <v>343</v>
      </c>
      <c r="N360" t="e">
        <f t="shared" ca="1" si="66"/>
        <v>#NAME?</v>
      </c>
      <c r="O360" t="str">
        <f t="shared" si="67"/>
        <v>MSIG Cost</v>
      </c>
      <c r="P360" s="2">
        <f t="shared" si="68"/>
        <v>81.341107871720126</v>
      </c>
      <c r="Q360" s="2">
        <f t="shared" si="69"/>
        <v>86.29737609329446</v>
      </c>
      <c r="R360" s="2">
        <f t="shared" si="70"/>
        <v>78.425655976676396</v>
      </c>
      <c r="S360" s="2">
        <f t="shared" si="71"/>
        <v>32.653061224489797</v>
      </c>
      <c r="T360" s="2">
        <f t="shared" si="72"/>
        <v>0</v>
      </c>
      <c r="U360" s="3" t="str">
        <f t="shared" si="73"/>
        <v/>
      </c>
      <c r="V360" s="3" t="str">
        <f t="shared" si="74"/>
        <v/>
      </c>
      <c r="W360" s="3" t="str">
        <f t="shared" si="75"/>
        <v/>
      </c>
      <c r="X360" s="3" t="str">
        <f t="shared" si="76"/>
        <v/>
      </c>
      <c r="Y360" s="3" t="str">
        <f t="shared" si="77"/>
        <v>YES</v>
      </c>
    </row>
    <row r="361" spans="1:25">
      <c r="A361" t="s">
        <v>430</v>
      </c>
      <c r="B361">
        <v>200</v>
      </c>
      <c r="C361">
        <v>10</v>
      </c>
      <c r="D361">
        <v>200</v>
      </c>
      <c r="E361">
        <v>10</v>
      </c>
      <c r="F361" t="s">
        <v>69</v>
      </c>
      <c r="G361" t="s">
        <v>70</v>
      </c>
      <c r="H361" s="2">
        <v>576</v>
      </c>
      <c r="I361" s="2">
        <v>581</v>
      </c>
      <c r="J361" s="2">
        <v>585</v>
      </c>
      <c r="K361" s="2">
        <v>440</v>
      </c>
      <c r="L361" s="2">
        <v>338</v>
      </c>
      <c r="M361" s="2">
        <f t="shared" si="65"/>
        <v>338</v>
      </c>
      <c r="N361" t="e">
        <f t="shared" ca="1" si="66"/>
        <v>#NAME?</v>
      </c>
      <c r="O361" t="str">
        <f t="shared" si="67"/>
        <v>MSIG Cost</v>
      </c>
      <c r="P361" s="2">
        <f t="shared" si="68"/>
        <v>70.414201183431956</v>
      </c>
      <c r="Q361" s="2">
        <f t="shared" si="69"/>
        <v>71.89349112426035</v>
      </c>
      <c r="R361" s="2">
        <f t="shared" si="70"/>
        <v>73.076923076923066</v>
      </c>
      <c r="S361" s="2">
        <f t="shared" si="71"/>
        <v>30.177514792899409</v>
      </c>
      <c r="T361" s="2">
        <f t="shared" si="72"/>
        <v>0</v>
      </c>
      <c r="U361" s="3" t="str">
        <f t="shared" si="73"/>
        <v/>
      </c>
      <c r="V361" s="3" t="str">
        <f t="shared" si="74"/>
        <v/>
      </c>
      <c r="W361" s="3" t="str">
        <f t="shared" si="75"/>
        <v/>
      </c>
      <c r="X361" s="3" t="str">
        <f t="shared" si="76"/>
        <v/>
      </c>
      <c r="Y361" s="3" t="str">
        <f t="shared" si="77"/>
        <v>YES</v>
      </c>
    </row>
    <row r="362" spans="1:25">
      <c r="A362" t="s">
        <v>431</v>
      </c>
      <c r="B362">
        <v>200</v>
      </c>
      <c r="C362">
        <v>10</v>
      </c>
      <c r="D362">
        <v>200</v>
      </c>
      <c r="E362">
        <v>1</v>
      </c>
      <c r="F362" t="s">
        <v>69</v>
      </c>
      <c r="G362" t="s">
        <v>70</v>
      </c>
      <c r="H362" s="2">
        <v>70</v>
      </c>
      <c r="I362" s="2">
        <v>71</v>
      </c>
      <c r="J362" s="2">
        <v>72</v>
      </c>
      <c r="K362" s="2">
        <v>60</v>
      </c>
      <c r="L362" s="2">
        <v>60</v>
      </c>
      <c r="M362" s="2">
        <f t="shared" si="65"/>
        <v>60</v>
      </c>
      <c r="N362" t="e">
        <f t="shared" ca="1" si="66"/>
        <v>#NAME?</v>
      </c>
      <c r="O362" t="str">
        <f t="shared" si="67"/>
        <v/>
      </c>
      <c r="P362" s="2">
        <f t="shared" si="68"/>
        <v>16.666666666666664</v>
      </c>
      <c r="Q362" s="2">
        <f t="shared" si="69"/>
        <v>18.333333333333332</v>
      </c>
      <c r="R362" s="2">
        <f t="shared" si="70"/>
        <v>20</v>
      </c>
      <c r="S362" s="2">
        <f t="shared" si="71"/>
        <v>0</v>
      </c>
      <c r="T362" s="2">
        <f t="shared" si="72"/>
        <v>0</v>
      </c>
      <c r="U362" s="3" t="str">
        <f t="shared" si="73"/>
        <v/>
      </c>
      <c r="V362" s="3" t="str">
        <f t="shared" si="74"/>
        <v/>
      </c>
      <c r="W362" s="3" t="str">
        <f t="shared" si="75"/>
        <v/>
      </c>
      <c r="X362" s="3" t="str">
        <f t="shared" si="76"/>
        <v>YES</v>
      </c>
      <c r="Y362" s="3" t="str">
        <f t="shared" si="77"/>
        <v>YES</v>
      </c>
    </row>
    <row r="363" spans="1:25">
      <c r="A363" t="s">
        <v>432</v>
      </c>
      <c r="B363">
        <v>200</v>
      </c>
      <c r="C363">
        <v>10</v>
      </c>
      <c r="D363">
        <v>200</v>
      </c>
      <c r="E363">
        <v>1</v>
      </c>
      <c r="F363" t="s">
        <v>69</v>
      </c>
      <c r="G363" t="s">
        <v>70</v>
      </c>
      <c r="H363" s="2">
        <v>70</v>
      </c>
      <c r="I363" s="2">
        <v>70</v>
      </c>
      <c r="J363" s="2">
        <v>72</v>
      </c>
      <c r="K363" s="2">
        <v>60</v>
      </c>
      <c r="L363" s="2">
        <v>60</v>
      </c>
      <c r="M363" s="2">
        <f t="shared" si="65"/>
        <v>60</v>
      </c>
      <c r="N363" t="e">
        <f t="shared" ca="1" si="66"/>
        <v>#NAME?</v>
      </c>
      <c r="O363" t="str">
        <f t="shared" si="67"/>
        <v/>
      </c>
      <c r="P363" s="2">
        <f t="shared" si="68"/>
        <v>16.666666666666664</v>
      </c>
      <c r="Q363" s="2">
        <f t="shared" si="69"/>
        <v>16.666666666666664</v>
      </c>
      <c r="R363" s="2">
        <f t="shared" si="70"/>
        <v>20</v>
      </c>
      <c r="S363" s="2">
        <f t="shared" si="71"/>
        <v>0</v>
      </c>
      <c r="T363" s="2">
        <f t="shared" si="72"/>
        <v>0</v>
      </c>
      <c r="U363" s="3" t="str">
        <f t="shared" si="73"/>
        <v/>
      </c>
      <c r="V363" s="3" t="str">
        <f t="shared" si="74"/>
        <v/>
      </c>
      <c r="W363" s="3" t="str">
        <f t="shared" si="75"/>
        <v/>
      </c>
      <c r="X363" s="3" t="str">
        <f t="shared" si="76"/>
        <v>YES</v>
      </c>
      <c r="Y363" s="3" t="str">
        <f t="shared" si="77"/>
        <v>YES</v>
      </c>
    </row>
    <row r="364" spans="1:25">
      <c r="A364" t="s">
        <v>433</v>
      </c>
      <c r="B364">
        <v>200</v>
      </c>
      <c r="C364">
        <v>10</v>
      </c>
      <c r="D364">
        <v>200</v>
      </c>
      <c r="E364">
        <v>10</v>
      </c>
      <c r="F364" t="s">
        <v>69</v>
      </c>
      <c r="G364" t="s">
        <v>70</v>
      </c>
      <c r="H364" s="2">
        <v>1067</v>
      </c>
      <c r="I364" s="2">
        <v>1082</v>
      </c>
      <c r="J364" s="2">
        <v>1088</v>
      </c>
      <c r="K364" s="2">
        <v>832</v>
      </c>
      <c r="L364" s="2">
        <v>736</v>
      </c>
      <c r="M364" s="2">
        <f t="shared" si="65"/>
        <v>736</v>
      </c>
      <c r="N364" t="e">
        <f t="shared" ca="1" si="66"/>
        <v>#NAME?</v>
      </c>
      <c r="O364" t="str">
        <f t="shared" si="67"/>
        <v>MSIG Cost</v>
      </c>
      <c r="P364" s="2">
        <f t="shared" si="68"/>
        <v>44.972826086956523</v>
      </c>
      <c r="Q364" s="2">
        <f t="shared" si="69"/>
        <v>47.010869565217391</v>
      </c>
      <c r="R364" s="2">
        <f t="shared" si="70"/>
        <v>47.826086956521742</v>
      </c>
      <c r="S364" s="2">
        <f t="shared" si="71"/>
        <v>13.043478260869565</v>
      </c>
      <c r="T364" s="2">
        <f t="shared" si="72"/>
        <v>0</v>
      </c>
      <c r="U364" s="3" t="str">
        <f t="shared" si="73"/>
        <v/>
      </c>
      <c r="V364" s="3" t="str">
        <f t="shared" si="74"/>
        <v/>
      </c>
      <c r="W364" s="3" t="str">
        <f t="shared" si="75"/>
        <v/>
      </c>
      <c r="X364" s="3" t="str">
        <f t="shared" si="76"/>
        <v/>
      </c>
      <c r="Y364" s="3" t="str">
        <f t="shared" si="77"/>
        <v>YES</v>
      </c>
    </row>
    <row r="365" spans="1:25">
      <c r="A365" t="s">
        <v>434</v>
      </c>
      <c r="B365">
        <v>200</v>
      </c>
      <c r="C365">
        <v>10</v>
      </c>
      <c r="D365">
        <v>200</v>
      </c>
      <c r="E365">
        <v>10</v>
      </c>
      <c r="F365" t="s">
        <v>69</v>
      </c>
      <c r="G365" t="s">
        <v>70</v>
      </c>
      <c r="H365" s="2">
        <v>1144</v>
      </c>
      <c r="I365" s="2">
        <v>1153</v>
      </c>
      <c r="J365" s="2">
        <v>1187</v>
      </c>
      <c r="K365" s="2">
        <v>810</v>
      </c>
      <c r="L365" s="2">
        <v>768</v>
      </c>
      <c r="M365" s="2">
        <f t="shared" si="65"/>
        <v>768</v>
      </c>
      <c r="N365" t="e">
        <f t="shared" ca="1" si="66"/>
        <v>#NAME?</v>
      </c>
      <c r="O365" t="str">
        <f t="shared" si="67"/>
        <v>MSIG Cost</v>
      </c>
      <c r="P365" s="2">
        <f t="shared" si="68"/>
        <v>48.958333333333329</v>
      </c>
      <c r="Q365" s="2">
        <f t="shared" si="69"/>
        <v>50.130208333333336</v>
      </c>
      <c r="R365" s="2">
        <f t="shared" si="70"/>
        <v>54.557291666666664</v>
      </c>
      <c r="S365" s="2">
        <f t="shared" si="71"/>
        <v>5.46875</v>
      </c>
      <c r="T365" s="2">
        <f t="shared" si="72"/>
        <v>0</v>
      </c>
      <c r="U365" s="3" t="str">
        <f t="shared" si="73"/>
        <v/>
      </c>
      <c r="V365" s="3" t="str">
        <f t="shared" si="74"/>
        <v/>
      </c>
      <c r="W365" s="3" t="str">
        <f t="shared" si="75"/>
        <v/>
      </c>
      <c r="X365" s="3" t="str">
        <f t="shared" si="76"/>
        <v/>
      </c>
      <c r="Y365" s="3" t="str">
        <f t="shared" si="77"/>
        <v>YES</v>
      </c>
    </row>
    <row r="366" spans="1:25">
      <c r="A366" t="s">
        <v>435</v>
      </c>
      <c r="B366">
        <v>200</v>
      </c>
      <c r="C366">
        <v>10</v>
      </c>
      <c r="D366">
        <v>200</v>
      </c>
      <c r="E366">
        <v>1</v>
      </c>
      <c r="F366" t="s">
        <v>69</v>
      </c>
      <c r="G366" t="s">
        <v>70</v>
      </c>
      <c r="H366" s="2">
        <v>58</v>
      </c>
      <c r="I366" s="2">
        <v>58</v>
      </c>
      <c r="J366" s="2">
        <v>58</v>
      </c>
      <c r="K366" s="2">
        <v>57</v>
      </c>
      <c r="L366" s="2">
        <v>54</v>
      </c>
      <c r="M366" s="2">
        <f t="shared" si="65"/>
        <v>54</v>
      </c>
      <c r="N366" t="e">
        <f t="shared" ca="1" si="66"/>
        <v>#NAME?</v>
      </c>
      <c r="O366" t="str">
        <f t="shared" si="67"/>
        <v>MSIG Cost</v>
      </c>
      <c r="P366" s="2">
        <f t="shared" si="68"/>
        <v>7.4074074074074066</v>
      </c>
      <c r="Q366" s="2">
        <f t="shared" si="69"/>
        <v>7.4074074074074066</v>
      </c>
      <c r="R366" s="2">
        <f t="shared" si="70"/>
        <v>7.4074074074074066</v>
      </c>
      <c r="S366" s="2">
        <f t="shared" si="71"/>
        <v>5.5555555555555554</v>
      </c>
      <c r="T366" s="2">
        <f t="shared" si="72"/>
        <v>0</v>
      </c>
      <c r="U366" s="3" t="str">
        <f t="shared" si="73"/>
        <v/>
      </c>
      <c r="V366" s="3" t="str">
        <f t="shared" si="74"/>
        <v/>
      </c>
      <c r="W366" s="3" t="str">
        <f t="shared" si="75"/>
        <v/>
      </c>
      <c r="X366" s="3" t="str">
        <f t="shared" si="76"/>
        <v/>
      </c>
      <c r="Y366" s="3" t="str">
        <f t="shared" si="77"/>
        <v>YES</v>
      </c>
    </row>
    <row r="367" spans="1:25">
      <c r="A367" t="s">
        <v>436</v>
      </c>
      <c r="B367">
        <v>200</v>
      </c>
      <c r="C367">
        <v>10</v>
      </c>
      <c r="D367">
        <v>200</v>
      </c>
      <c r="E367">
        <v>1</v>
      </c>
      <c r="F367" t="s">
        <v>69</v>
      </c>
      <c r="G367" t="s">
        <v>70</v>
      </c>
      <c r="H367" s="2">
        <v>56</v>
      </c>
      <c r="I367" s="2">
        <v>57</v>
      </c>
      <c r="J367" s="2">
        <v>57</v>
      </c>
      <c r="K367" s="2">
        <v>54</v>
      </c>
      <c r="L367" s="2">
        <v>53</v>
      </c>
      <c r="M367" s="2">
        <f t="shared" si="65"/>
        <v>53</v>
      </c>
      <c r="N367" t="e">
        <f t="shared" ca="1" si="66"/>
        <v>#NAME?</v>
      </c>
      <c r="O367" t="str">
        <f t="shared" si="67"/>
        <v>MSIG Cost</v>
      </c>
      <c r="P367" s="2">
        <f t="shared" si="68"/>
        <v>5.6603773584905666</v>
      </c>
      <c r="Q367" s="2">
        <f t="shared" si="69"/>
        <v>7.5471698113207548</v>
      </c>
      <c r="R367" s="2">
        <f t="shared" si="70"/>
        <v>7.5471698113207548</v>
      </c>
      <c r="S367" s="2">
        <f t="shared" si="71"/>
        <v>1.8867924528301887</v>
      </c>
      <c r="T367" s="2">
        <f t="shared" si="72"/>
        <v>0</v>
      </c>
      <c r="U367" s="3" t="str">
        <f t="shared" si="73"/>
        <v/>
      </c>
      <c r="V367" s="3" t="str">
        <f t="shared" si="74"/>
        <v/>
      </c>
      <c r="W367" s="3" t="str">
        <f t="shared" si="75"/>
        <v/>
      </c>
      <c r="X367" s="3" t="str">
        <f t="shared" si="76"/>
        <v/>
      </c>
      <c r="Y367" s="3" t="str">
        <f t="shared" si="77"/>
        <v>YES</v>
      </c>
    </row>
    <row r="368" spans="1:25">
      <c r="A368" t="s">
        <v>437</v>
      </c>
      <c r="B368">
        <v>200</v>
      </c>
      <c r="C368">
        <v>10</v>
      </c>
      <c r="D368">
        <v>200</v>
      </c>
      <c r="E368">
        <v>10</v>
      </c>
      <c r="F368" t="s">
        <v>69</v>
      </c>
      <c r="G368" t="s">
        <v>70</v>
      </c>
      <c r="H368" s="2">
        <v>997</v>
      </c>
      <c r="I368" s="2">
        <v>986</v>
      </c>
      <c r="J368" s="2">
        <v>991</v>
      </c>
      <c r="K368" s="2">
        <v>751</v>
      </c>
      <c r="L368" s="2">
        <v>667</v>
      </c>
      <c r="M368" s="2">
        <f t="shared" si="65"/>
        <v>667</v>
      </c>
      <c r="N368" t="e">
        <f t="shared" ca="1" si="66"/>
        <v>#NAME?</v>
      </c>
      <c r="O368" t="str">
        <f t="shared" si="67"/>
        <v>MSIG Cost</v>
      </c>
      <c r="P368" s="2">
        <f t="shared" si="68"/>
        <v>49.475262368815592</v>
      </c>
      <c r="Q368" s="2">
        <f t="shared" si="69"/>
        <v>47.826086956521742</v>
      </c>
      <c r="R368" s="2">
        <f t="shared" si="70"/>
        <v>48.575712143928037</v>
      </c>
      <c r="S368" s="2">
        <f t="shared" si="71"/>
        <v>12.593703148425787</v>
      </c>
      <c r="T368" s="2">
        <f t="shared" si="72"/>
        <v>0</v>
      </c>
      <c r="U368" s="3" t="str">
        <f t="shared" si="73"/>
        <v/>
      </c>
      <c r="V368" s="3" t="str">
        <f t="shared" si="74"/>
        <v/>
      </c>
      <c r="W368" s="3" t="str">
        <f t="shared" si="75"/>
        <v/>
      </c>
      <c r="X368" s="3" t="str">
        <f t="shared" si="76"/>
        <v/>
      </c>
      <c r="Y368" s="3" t="str">
        <f t="shared" si="77"/>
        <v>YES</v>
      </c>
    </row>
    <row r="369" spans="1:25">
      <c r="A369" t="s">
        <v>438</v>
      </c>
      <c r="B369">
        <v>200</v>
      </c>
      <c r="C369">
        <v>10</v>
      </c>
      <c r="D369">
        <v>200</v>
      </c>
      <c r="E369">
        <v>10</v>
      </c>
      <c r="F369" t="s">
        <v>69</v>
      </c>
      <c r="G369" t="s">
        <v>70</v>
      </c>
      <c r="H369" s="2">
        <v>1094</v>
      </c>
      <c r="I369" s="2">
        <v>1082</v>
      </c>
      <c r="J369" s="2">
        <v>1093</v>
      </c>
      <c r="K369" s="2">
        <v>747</v>
      </c>
      <c r="L369" s="2">
        <v>684</v>
      </c>
      <c r="M369" s="2">
        <f t="shared" si="65"/>
        <v>684</v>
      </c>
      <c r="N369" t="e">
        <f t="shared" ca="1" si="66"/>
        <v>#NAME?</v>
      </c>
      <c r="O369" t="str">
        <f t="shared" si="67"/>
        <v>MSIG Cost</v>
      </c>
      <c r="P369" s="2">
        <f t="shared" si="68"/>
        <v>59.941520467836263</v>
      </c>
      <c r="Q369" s="2">
        <f t="shared" si="69"/>
        <v>58.187134502923975</v>
      </c>
      <c r="R369" s="2">
        <f t="shared" si="70"/>
        <v>59.795321637426902</v>
      </c>
      <c r="S369" s="2">
        <f t="shared" si="71"/>
        <v>9.2105263157894726</v>
      </c>
      <c r="T369" s="2">
        <f t="shared" si="72"/>
        <v>0</v>
      </c>
      <c r="U369" s="3" t="str">
        <f t="shared" si="73"/>
        <v/>
      </c>
      <c r="V369" s="3" t="str">
        <f t="shared" si="74"/>
        <v/>
      </c>
      <c r="W369" s="3" t="str">
        <f t="shared" si="75"/>
        <v/>
      </c>
      <c r="X369" s="3" t="str">
        <f t="shared" si="76"/>
        <v/>
      </c>
      <c r="Y369" s="3" t="str">
        <f t="shared" si="77"/>
        <v>YES</v>
      </c>
    </row>
    <row r="370" spans="1:25">
      <c r="A370" t="s">
        <v>439</v>
      </c>
      <c r="B370">
        <v>200</v>
      </c>
      <c r="C370">
        <v>5</v>
      </c>
      <c r="D370">
        <v>200</v>
      </c>
      <c r="E370">
        <v>1</v>
      </c>
      <c r="F370" t="s">
        <v>69</v>
      </c>
      <c r="G370" t="s">
        <v>70</v>
      </c>
      <c r="H370" s="2">
        <v>35</v>
      </c>
      <c r="I370" s="2">
        <v>36</v>
      </c>
      <c r="J370" s="2">
        <v>36</v>
      </c>
      <c r="K370" s="2">
        <v>29</v>
      </c>
      <c r="L370" s="2">
        <v>27</v>
      </c>
      <c r="M370" s="2">
        <f t="shared" si="65"/>
        <v>27</v>
      </c>
      <c r="N370" t="e">
        <f t="shared" ca="1" si="66"/>
        <v>#NAME?</v>
      </c>
      <c r="O370" t="str">
        <f t="shared" si="67"/>
        <v>MSIG Cost</v>
      </c>
      <c r="P370" s="2">
        <f t="shared" si="68"/>
        <v>29.629629629629626</v>
      </c>
      <c r="Q370" s="2">
        <f t="shared" si="69"/>
        <v>33.333333333333329</v>
      </c>
      <c r="R370" s="2">
        <f t="shared" si="70"/>
        <v>33.333333333333329</v>
      </c>
      <c r="S370" s="2">
        <f t="shared" si="71"/>
        <v>7.4074074074074066</v>
      </c>
      <c r="T370" s="2">
        <f t="shared" si="72"/>
        <v>0</v>
      </c>
      <c r="U370" s="3" t="str">
        <f t="shared" si="73"/>
        <v/>
      </c>
      <c r="V370" s="3" t="str">
        <f t="shared" si="74"/>
        <v/>
      </c>
      <c r="W370" s="3" t="str">
        <f t="shared" si="75"/>
        <v/>
      </c>
      <c r="X370" s="3" t="str">
        <f t="shared" si="76"/>
        <v/>
      </c>
      <c r="Y370" s="3" t="str">
        <f t="shared" si="77"/>
        <v>YES</v>
      </c>
    </row>
    <row r="371" spans="1:25">
      <c r="A371" t="s">
        <v>440</v>
      </c>
      <c r="B371">
        <v>200</v>
      </c>
      <c r="C371">
        <v>5</v>
      </c>
      <c r="D371">
        <v>200</v>
      </c>
      <c r="E371">
        <v>1</v>
      </c>
      <c r="F371" t="s">
        <v>91</v>
      </c>
      <c r="G371" t="s">
        <v>70</v>
      </c>
      <c r="H371" s="2">
        <v>36</v>
      </c>
      <c r="I371" s="2">
        <v>37</v>
      </c>
      <c r="J371" s="2">
        <v>36</v>
      </c>
      <c r="K371" s="2">
        <v>29</v>
      </c>
      <c r="L371" s="2">
        <v>27</v>
      </c>
      <c r="M371" s="2">
        <f t="shared" si="65"/>
        <v>27</v>
      </c>
      <c r="N371" t="e">
        <f t="shared" ca="1" si="66"/>
        <v>#NAME?</v>
      </c>
      <c r="O371" t="str">
        <f t="shared" si="67"/>
        <v>MSIG Cost</v>
      </c>
      <c r="P371" s="2">
        <f t="shared" si="68"/>
        <v>33.333333333333329</v>
      </c>
      <c r="Q371" s="2">
        <f t="shared" si="69"/>
        <v>37.037037037037038</v>
      </c>
      <c r="R371" s="2">
        <f t="shared" si="70"/>
        <v>33.333333333333329</v>
      </c>
      <c r="S371" s="2">
        <f t="shared" si="71"/>
        <v>7.4074074074074066</v>
      </c>
      <c r="T371" s="2">
        <f t="shared" si="72"/>
        <v>0</v>
      </c>
      <c r="U371" s="3" t="str">
        <f t="shared" si="73"/>
        <v/>
      </c>
      <c r="V371" s="3" t="str">
        <f t="shared" si="74"/>
        <v/>
      </c>
      <c r="W371" s="3" t="str">
        <f t="shared" si="75"/>
        <v/>
      </c>
      <c r="X371" s="3" t="str">
        <f t="shared" si="76"/>
        <v/>
      </c>
      <c r="Y371" s="3" t="str">
        <f t="shared" si="77"/>
        <v>YES</v>
      </c>
    </row>
    <row r="372" spans="1:25">
      <c r="A372" t="s">
        <v>441</v>
      </c>
      <c r="B372">
        <v>200</v>
      </c>
      <c r="C372">
        <v>5</v>
      </c>
      <c r="D372">
        <v>200</v>
      </c>
      <c r="E372">
        <v>10</v>
      </c>
      <c r="F372" t="s">
        <v>69</v>
      </c>
      <c r="G372" t="s">
        <v>70</v>
      </c>
      <c r="H372" s="2">
        <v>662</v>
      </c>
      <c r="I372" s="2">
        <v>678</v>
      </c>
      <c r="J372" s="2">
        <v>679</v>
      </c>
      <c r="K372" s="2">
        <v>410</v>
      </c>
      <c r="L372" s="2">
        <v>348</v>
      </c>
      <c r="M372" s="2">
        <f t="shared" si="65"/>
        <v>348</v>
      </c>
      <c r="N372" t="e">
        <f t="shared" ca="1" si="66"/>
        <v>#NAME?</v>
      </c>
      <c r="O372" t="str">
        <f t="shared" si="67"/>
        <v>MSIG Cost</v>
      </c>
      <c r="P372" s="2">
        <f t="shared" si="68"/>
        <v>90.229885057471265</v>
      </c>
      <c r="Q372" s="2">
        <f t="shared" si="69"/>
        <v>94.827586206896555</v>
      </c>
      <c r="R372" s="2">
        <f t="shared" si="70"/>
        <v>95.114942528735639</v>
      </c>
      <c r="S372" s="2">
        <f t="shared" si="71"/>
        <v>17.816091954022991</v>
      </c>
      <c r="T372" s="2">
        <f t="shared" si="72"/>
        <v>0</v>
      </c>
      <c r="U372" s="3" t="str">
        <f t="shared" si="73"/>
        <v/>
      </c>
      <c r="V372" s="3" t="str">
        <f t="shared" si="74"/>
        <v/>
      </c>
      <c r="W372" s="3" t="str">
        <f t="shared" si="75"/>
        <v/>
      </c>
      <c r="X372" s="3" t="str">
        <f t="shared" si="76"/>
        <v/>
      </c>
      <c r="Y372" s="3" t="str">
        <f t="shared" si="77"/>
        <v>YES</v>
      </c>
    </row>
    <row r="373" spans="1:25">
      <c r="A373" t="s">
        <v>442</v>
      </c>
      <c r="B373">
        <v>200</v>
      </c>
      <c r="C373">
        <v>5</v>
      </c>
      <c r="D373">
        <v>200</v>
      </c>
      <c r="E373">
        <v>10</v>
      </c>
      <c r="F373" t="s">
        <v>69</v>
      </c>
      <c r="G373" t="s">
        <v>70</v>
      </c>
      <c r="H373" s="2">
        <v>748</v>
      </c>
      <c r="I373" s="2">
        <v>756</v>
      </c>
      <c r="J373" s="2">
        <v>706</v>
      </c>
      <c r="K373" s="2">
        <v>388</v>
      </c>
      <c r="L373" s="2">
        <v>350</v>
      </c>
      <c r="M373" s="2">
        <f t="shared" si="65"/>
        <v>350</v>
      </c>
      <c r="N373" t="e">
        <f t="shared" ca="1" si="66"/>
        <v>#NAME?</v>
      </c>
      <c r="O373" t="str">
        <f t="shared" si="67"/>
        <v>MSIG Cost</v>
      </c>
      <c r="P373" s="2">
        <f t="shared" si="68"/>
        <v>113.71428571428572</v>
      </c>
      <c r="Q373" s="2">
        <f t="shared" si="69"/>
        <v>115.99999999999999</v>
      </c>
      <c r="R373" s="2">
        <f t="shared" si="70"/>
        <v>101.71428571428571</v>
      </c>
      <c r="S373" s="2">
        <f t="shared" si="71"/>
        <v>10.857142857142858</v>
      </c>
      <c r="T373" s="2">
        <f t="shared" si="72"/>
        <v>0</v>
      </c>
      <c r="U373" s="3" t="str">
        <f t="shared" si="73"/>
        <v/>
      </c>
      <c r="V373" s="3" t="str">
        <f t="shared" si="74"/>
        <v/>
      </c>
      <c r="W373" s="3" t="str">
        <f t="shared" si="75"/>
        <v/>
      </c>
      <c r="X373" s="3" t="str">
        <f t="shared" si="76"/>
        <v/>
      </c>
      <c r="Y373" s="3" t="str">
        <f t="shared" si="77"/>
        <v>YES</v>
      </c>
    </row>
    <row r="374" spans="1:25">
      <c r="A374" t="s">
        <v>443</v>
      </c>
      <c r="B374">
        <v>200</v>
      </c>
      <c r="C374">
        <v>5</v>
      </c>
      <c r="D374">
        <v>200</v>
      </c>
      <c r="E374">
        <v>1</v>
      </c>
      <c r="F374" t="s">
        <v>91</v>
      </c>
      <c r="G374" t="s">
        <v>70</v>
      </c>
      <c r="H374" s="2">
        <v>26</v>
      </c>
      <c r="I374" s="2">
        <v>26</v>
      </c>
      <c r="J374" s="2">
        <v>26</v>
      </c>
      <c r="K374" s="2">
        <v>28</v>
      </c>
      <c r="L374" s="2">
        <v>23</v>
      </c>
      <c r="M374" s="2">
        <f t="shared" si="65"/>
        <v>23</v>
      </c>
      <c r="N374" t="e">
        <f t="shared" ca="1" si="66"/>
        <v>#NAME?</v>
      </c>
      <c r="O374" t="str">
        <f t="shared" si="67"/>
        <v>MSIG Cost</v>
      </c>
      <c r="P374" s="2">
        <f t="shared" si="68"/>
        <v>13.043478260869565</v>
      </c>
      <c r="Q374" s="2">
        <f t="shared" si="69"/>
        <v>13.043478260869565</v>
      </c>
      <c r="R374" s="2">
        <f t="shared" si="70"/>
        <v>13.043478260869565</v>
      </c>
      <c r="S374" s="2">
        <f t="shared" si="71"/>
        <v>21.739130434782609</v>
      </c>
      <c r="T374" s="2">
        <f t="shared" si="72"/>
        <v>0</v>
      </c>
      <c r="U374" s="3" t="str">
        <f t="shared" si="73"/>
        <v/>
      </c>
      <c r="V374" s="3" t="str">
        <f t="shared" si="74"/>
        <v/>
      </c>
      <c r="W374" s="3" t="str">
        <f t="shared" si="75"/>
        <v/>
      </c>
      <c r="X374" s="3" t="str">
        <f t="shared" si="76"/>
        <v/>
      </c>
      <c r="Y374" s="3" t="str">
        <f t="shared" si="77"/>
        <v>YES</v>
      </c>
    </row>
    <row r="375" spans="1:25">
      <c r="A375" t="s">
        <v>444</v>
      </c>
      <c r="B375">
        <v>200</v>
      </c>
      <c r="C375">
        <v>5</v>
      </c>
      <c r="D375">
        <v>200</v>
      </c>
      <c r="E375">
        <v>1</v>
      </c>
      <c r="F375" t="s">
        <v>91</v>
      </c>
      <c r="G375" t="s">
        <v>70</v>
      </c>
      <c r="H375" s="2">
        <v>27</v>
      </c>
      <c r="I375" s="2">
        <v>27</v>
      </c>
      <c r="J375" s="2">
        <v>27</v>
      </c>
      <c r="K375" s="2">
        <v>28</v>
      </c>
      <c r="L375" s="2">
        <v>24</v>
      </c>
      <c r="M375" s="2">
        <f t="shared" si="65"/>
        <v>24</v>
      </c>
      <c r="N375" t="e">
        <f t="shared" ca="1" si="66"/>
        <v>#NAME?</v>
      </c>
      <c r="O375" t="str">
        <f t="shared" si="67"/>
        <v>MSIG Cost</v>
      </c>
      <c r="P375" s="2">
        <f t="shared" si="68"/>
        <v>12.5</v>
      </c>
      <c r="Q375" s="2">
        <f t="shared" si="69"/>
        <v>12.5</v>
      </c>
      <c r="R375" s="2">
        <f t="shared" si="70"/>
        <v>12.5</v>
      </c>
      <c r="S375" s="2">
        <f t="shared" si="71"/>
        <v>16.666666666666664</v>
      </c>
      <c r="T375" s="2">
        <f t="shared" si="72"/>
        <v>0</v>
      </c>
      <c r="U375" s="3" t="str">
        <f t="shared" si="73"/>
        <v/>
      </c>
      <c r="V375" s="3" t="str">
        <f t="shared" si="74"/>
        <v/>
      </c>
      <c r="W375" s="3" t="str">
        <f t="shared" si="75"/>
        <v/>
      </c>
      <c r="X375" s="3" t="str">
        <f t="shared" si="76"/>
        <v/>
      </c>
      <c r="Y375" s="3" t="str">
        <f t="shared" si="77"/>
        <v>YES</v>
      </c>
    </row>
    <row r="376" spans="1:25">
      <c r="A376" t="s">
        <v>445</v>
      </c>
      <c r="B376">
        <v>200</v>
      </c>
      <c r="C376">
        <v>5</v>
      </c>
      <c r="D376">
        <v>200</v>
      </c>
      <c r="E376">
        <v>10</v>
      </c>
      <c r="F376" t="s">
        <v>69</v>
      </c>
      <c r="G376" t="s">
        <v>70</v>
      </c>
      <c r="H376" s="2">
        <v>550</v>
      </c>
      <c r="I376" s="2">
        <v>578</v>
      </c>
      <c r="J376" s="2">
        <v>577</v>
      </c>
      <c r="K376" s="2">
        <v>402</v>
      </c>
      <c r="L376" s="2">
        <v>326</v>
      </c>
      <c r="M376" s="2">
        <f t="shared" si="65"/>
        <v>326</v>
      </c>
      <c r="N376" t="e">
        <f t="shared" ca="1" si="66"/>
        <v>#NAME?</v>
      </c>
      <c r="O376" t="str">
        <f t="shared" si="67"/>
        <v>MSIG Cost</v>
      </c>
      <c r="P376" s="2">
        <f t="shared" si="68"/>
        <v>68.711656441717793</v>
      </c>
      <c r="Q376" s="2">
        <f t="shared" si="69"/>
        <v>77.300613496932513</v>
      </c>
      <c r="R376" s="2">
        <f t="shared" si="70"/>
        <v>76.99386503067484</v>
      </c>
      <c r="S376" s="2">
        <f t="shared" si="71"/>
        <v>23.312883435582819</v>
      </c>
      <c r="T376" s="2">
        <f t="shared" si="72"/>
        <v>0</v>
      </c>
      <c r="U376" s="3" t="str">
        <f t="shared" si="73"/>
        <v/>
      </c>
      <c r="V376" s="3" t="str">
        <f t="shared" si="74"/>
        <v/>
      </c>
      <c r="W376" s="3" t="str">
        <f t="shared" si="75"/>
        <v/>
      </c>
      <c r="X376" s="3" t="str">
        <f t="shared" si="76"/>
        <v/>
      </c>
      <c r="Y376" s="3" t="str">
        <f t="shared" si="77"/>
        <v>YES</v>
      </c>
    </row>
    <row r="377" spans="1:25">
      <c r="A377" t="s">
        <v>446</v>
      </c>
      <c r="B377">
        <v>200</v>
      </c>
      <c r="C377">
        <v>5</v>
      </c>
      <c r="D377">
        <v>200</v>
      </c>
      <c r="E377">
        <v>10</v>
      </c>
      <c r="F377" t="s">
        <v>69</v>
      </c>
      <c r="G377" t="s">
        <v>70</v>
      </c>
      <c r="H377" s="2">
        <v>609</v>
      </c>
      <c r="I377" s="2">
        <v>615</v>
      </c>
      <c r="J377" s="2">
        <v>606</v>
      </c>
      <c r="K377" s="2">
        <v>370</v>
      </c>
      <c r="L377" s="2">
        <v>346</v>
      </c>
      <c r="M377" s="2">
        <f t="shared" si="65"/>
        <v>346</v>
      </c>
      <c r="N377" t="e">
        <f t="shared" ca="1" si="66"/>
        <v>#NAME?</v>
      </c>
      <c r="O377" t="str">
        <f t="shared" si="67"/>
        <v>MSIG Cost</v>
      </c>
      <c r="P377" s="2">
        <f t="shared" si="68"/>
        <v>76.011560693641627</v>
      </c>
      <c r="Q377" s="2">
        <f t="shared" si="69"/>
        <v>77.74566473988439</v>
      </c>
      <c r="R377" s="2">
        <f t="shared" si="70"/>
        <v>75.144508670520224</v>
      </c>
      <c r="S377" s="2">
        <f t="shared" si="71"/>
        <v>6.9364161849710975</v>
      </c>
      <c r="T377" s="2">
        <f t="shared" si="72"/>
        <v>0</v>
      </c>
      <c r="U377" s="3" t="str">
        <f t="shared" si="73"/>
        <v/>
      </c>
      <c r="V377" s="3" t="str">
        <f t="shared" si="74"/>
        <v/>
      </c>
      <c r="W377" s="3" t="str">
        <f t="shared" si="75"/>
        <v/>
      </c>
      <c r="X377" s="3" t="str">
        <f t="shared" si="76"/>
        <v/>
      </c>
      <c r="Y377" s="3" t="str">
        <f t="shared" si="77"/>
        <v>YES</v>
      </c>
    </row>
    <row r="378" spans="1:25">
      <c r="A378" t="s">
        <v>447</v>
      </c>
      <c r="B378">
        <v>200</v>
      </c>
      <c r="C378">
        <v>5</v>
      </c>
      <c r="D378">
        <v>200</v>
      </c>
      <c r="E378">
        <v>1</v>
      </c>
      <c r="F378" t="s">
        <v>69</v>
      </c>
      <c r="G378" t="s">
        <v>70</v>
      </c>
      <c r="H378" s="2">
        <v>70</v>
      </c>
      <c r="I378" s="2">
        <v>71</v>
      </c>
      <c r="J378" s="2">
        <v>71</v>
      </c>
      <c r="K378" s="2">
        <v>60</v>
      </c>
      <c r="L378" s="2">
        <v>59</v>
      </c>
      <c r="M378" s="2">
        <f t="shared" si="65"/>
        <v>59</v>
      </c>
      <c r="N378" t="e">
        <f t="shared" ca="1" si="66"/>
        <v>#NAME?</v>
      </c>
      <c r="O378" t="str">
        <f t="shared" si="67"/>
        <v>MSIG Cost</v>
      </c>
      <c r="P378" s="2">
        <f t="shared" si="68"/>
        <v>18.64406779661017</v>
      </c>
      <c r="Q378" s="2">
        <f t="shared" si="69"/>
        <v>20.33898305084746</v>
      </c>
      <c r="R378" s="2">
        <f t="shared" si="70"/>
        <v>20.33898305084746</v>
      </c>
      <c r="S378" s="2">
        <f t="shared" si="71"/>
        <v>1.6949152542372881</v>
      </c>
      <c r="T378" s="2">
        <f t="shared" si="72"/>
        <v>0</v>
      </c>
      <c r="U378" s="3" t="str">
        <f t="shared" si="73"/>
        <v/>
      </c>
      <c r="V378" s="3" t="str">
        <f t="shared" si="74"/>
        <v/>
      </c>
      <c r="W378" s="3" t="str">
        <f t="shared" si="75"/>
        <v/>
      </c>
      <c r="X378" s="3" t="str">
        <f t="shared" si="76"/>
        <v/>
      </c>
      <c r="Y378" s="3" t="str">
        <f t="shared" si="77"/>
        <v>YES</v>
      </c>
    </row>
    <row r="379" spans="1:25">
      <c r="A379" t="s">
        <v>448</v>
      </c>
      <c r="B379">
        <v>200</v>
      </c>
      <c r="C379">
        <v>5</v>
      </c>
      <c r="D379">
        <v>200</v>
      </c>
      <c r="E379">
        <v>1</v>
      </c>
      <c r="F379" t="s">
        <v>91</v>
      </c>
      <c r="G379" t="s">
        <v>70</v>
      </c>
      <c r="H379" s="2">
        <v>69</v>
      </c>
      <c r="I379" s="2">
        <v>69</v>
      </c>
      <c r="J379" s="2">
        <v>70</v>
      </c>
      <c r="K379" s="2">
        <v>59</v>
      </c>
      <c r="L379" s="2">
        <v>59</v>
      </c>
      <c r="M379" s="2">
        <f t="shared" si="65"/>
        <v>59</v>
      </c>
      <c r="N379" t="e">
        <f t="shared" ca="1" si="66"/>
        <v>#NAME?</v>
      </c>
      <c r="O379" t="str">
        <f t="shared" si="67"/>
        <v/>
      </c>
      <c r="P379" s="2">
        <f t="shared" si="68"/>
        <v>16.949152542372879</v>
      </c>
      <c r="Q379" s="2">
        <f t="shared" si="69"/>
        <v>16.949152542372879</v>
      </c>
      <c r="R379" s="2">
        <f t="shared" si="70"/>
        <v>18.64406779661017</v>
      </c>
      <c r="S379" s="2">
        <f t="shared" si="71"/>
        <v>0</v>
      </c>
      <c r="T379" s="2">
        <f t="shared" si="72"/>
        <v>0</v>
      </c>
      <c r="U379" s="3" t="str">
        <f t="shared" si="73"/>
        <v/>
      </c>
      <c r="V379" s="3" t="str">
        <f t="shared" si="74"/>
        <v/>
      </c>
      <c r="W379" s="3" t="str">
        <f t="shared" si="75"/>
        <v/>
      </c>
      <c r="X379" s="3" t="str">
        <f t="shared" si="76"/>
        <v>YES</v>
      </c>
      <c r="Y379" s="3" t="str">
        <f t="shared" si="77"/>
        <v>YES</v>
      </c>
    </row>
    <row r="380" spans="1:25">
      <c r="A380" t="s">
        <v>449</v>
      </c>
      <c r="B380">
        <v>200</v>
      </c>
      <c r="C380">
        <v>5</v>
      </c>
      <c r="D380">
        <v>200</v>
      </c>
      <c r="E380">
        <v>10</v>
      </c>
      <c r="F380" t="s">
        <v>69</v>
      </c>
      <c r="G380" t="s">
        <v>70</v>
      </c>
      <c r="H380" s="2">
        <v>1063</v>
      </c>
      <c r="I380" s="2">
        <v>1064</v>
      </c>
      <c r="J380" s="2">
        <v>1061</v>
      </c>
      <c r="K380" s="2">
        <v>789</v>
      </c>
      <c r="L380" s="2">
        <v>724</v>
      </c>
      <c r="M380" s="2">
        <f t="shared" si="65"/>
        <v>724</v>
      </c>
      <c r="N380" t="e">
        <f t="shared" ca="1" si="66"/>
        <v>#NAME?</v>
      </c>
      <c r="O380" t="str">
        <f t="shared" si="67"/>
        <v>MSIG Cost</v>
      </c>
      <c r="P380" s="2">
        <f t="shared" si="68"/>
        <v>46.8232044198895</v>
      </c>
      <c r="Q380" s="2">
        <f t="shared" si="69"/>
        <v>46.961325966850829</v>
      </c>
      <c r="R380" s="2">
        <f t="shared" si="70"/>
        <v>46.546961325966848</v>
      </c>
      <c r="S380" s="2">
        <f t="shared" si="71"/>
        <v>8.9779005524861883</v>
      </c>
      <c r="T380" s="2">
        <f t="shared" si="72"/>
        <v>0</v>
      </c>
      <c r="U380" s="3" t="str">
        <f t="shared" si="73"/>
        <v/>
      </c>
      <c r="V380" s="3" t="str">
        <f t="shared" si="74"/>
        <v/>
      </c>
      <c r="W380" s="3" t="str">
        <f t="shared" si="75"/>
        <v/>
      </c>
      <c r="X380" s="3" t="str">
        <f t="shared" si="76"/>
        <v/>
      </c>
      <c r="Y380" s="3" t="str">
        <f t="shared" si="77"/>
        <v>YES</v>
      </c>
    </row>
    <row r="381" spans="1:25">
      <c r="A381" t="s">
        <v>450</v>
      </c>
      <c r="B381">
        <v>200</v>
      </c>
      <c r="C381">
        <v>5</v>
      </c>
      <c r="D381">
        <v>200</v>
      </c>
      <c r="E381">
        <v>10</v>
      </c>
      <c r="F381" t="s">
        <v>69</v>
      </c>
      <c r="G381" t="s">
        <v>70</v>
      </c>
      <c r="H381" s="2">
        <v>979</v>
      </c>
      <c r="I381" s="2">
        <v>982</v>
      </c>
      <c r="J381" s="2">
        <v>989</v>
      </c>
      <c r="K381" s="2">
        <v>707</v>
      </c>
      <c r="L381" s="2">
        <v>691</v>
      </c>
      <c r="M381" s="2">
        <f t="shared" si="65"/>
        <v>691</v>
      </c>
      <c r="N381" t="e">
        <f t="shared" ca="1" si="66"/>
        <v>#NAME?</v>
      </c>
      <c r="O381" t="str">
        <f t="shared" si="67"/>
        <v>MSIG Cost</v>
      </c>
      <c r="P381" s="2">
        <f t="shared" si="68"/>
        <v>41.678726483357451</v>
      </c>
      <c r="Q381" s="2">
        <f t="shared" si="69"/>
        <v>42.112879884225762</v>
      </c>
      <c r="R381" s="2">
        <f t="shared" si="70"/>
        <v>43.125904486251812</v>
      </c>
      <c r="S381" s="2">
        <f t="shared" si="71"/>
        <v>2.3154848046309695</v>
      </c>
      <c r="T381" s="2">
        <f t="shared" si="72"/>
        <v>0</v>
      </c>
      <c r="U381" s="3" t="str">
        <f t="shared" si="73"/>
        <v/>
      </c>
      <c r="V381" s="3" t="str">
        <f t="shared" si="74"/>
        <v/>
      </c>
      <c r="W381" s="3" t="str">
        <f t="shared" si="75"/>
        <v/>
      </c>
      <c r="X381" s="3" t="str">
        <f t="shared" si="76"/>
        <v/>
      </c>
      <c r="Y381" s="3" t="str">
        <f t="shared" si="77"/>
        <v>YES</v>
      </c>
    </row>
    <row r="382" spans="1:25">
      <c r="A382" t="s">
        <v>451</v>
      </c>
      <c r="B382">
        <v>200</v>
      </c>
      <c r="C382">
        <v>5</v>
      </c>
      <c r="D382">
        <v>200</v>
      </c>
      <c r="E382">
        <v>1</v>
      </c>
      <c r="F382" t="s">
        <v>69</v>
      </c>
      <c r="G382" t="s">
        <v>70</v>
      </c>
      <c r="H382" s="2">
        <v>57</v>
      </c>
      <c r="I382" s="2">
        <v>57</v>
      </c>
      <c r="J382" s="2">
        <v>57</v>
      </c>
      <c r="K382" s="2">
        <v>55</v>
      </c>
      <c r="L382" s="2">
        <v>54</v>
      </c>
      <c r="M382" s="2">
        <f t="shared" si="65"/>
        <v>54</v>
      </c>
      <c r="N382" t="e">
        <f t="shared" ca="1" si="66"/>
        <v>#NAME?</v>
      </c>
      <c r="O382" t="str">
        <f t="shared" si="67"/>
        <v>MSIG Cost</v>
      </c>
      <c r="P382" s="2">
        <f t="shared" si="68"/>
        <v>5.5555555555555554</v>
      </c>
      <c r="Q382" s="2">
        <f t="shared" si="69"/>
        <v>5.5555555555555554</v>
      </c>
      <c r="R382" s="2">
        <f t="shared" si="70"/>
        <v>5.5555555555555554</v>
      </c>
      <c r="S382" s="2">
        <f t="shared" si="71"/>
        <v>1.8518518518518516</v>
      </c>
      <c r="T382" s="2">
        <f t="shared" si="72"/>
        <v>0</v>
      </c>
      <c r="U382" s="3" t="str">
        <f t="shared" si="73"/>
        <v/>
      </c>
      <c r="V382" s="3" t="str">
        <f t="shared" si="74"/>
        <v/>
      </c>
      <c r="W382" s="3" t="str">
        <f t="shared" si="75"/>
        <v/>
      </c>
      <c r="X382" s="3" t="str">
        <f t="shared" si="76"/>
        <v/>
      </c>
      <c r="Y382" s="3" t="str">
        <f t="shared" si="77"/>
        <v>YES</v>
      </c>
    </row>
    <row r="383" spans="1:25">
      <c r="A383" t="s">
        <v>452</v>
      </c>
      <c r="B383">
        <v>200</v>
      </c>
      <c r="C383">
        <v>5</v>
      </c>
      <c r="D383">
        <v>200</v>
      </c>
      <c r="E383">
        <v>1</v>
      </c>
      <c r="F383" t="s">
        <v>69</v>
      </c>
      <c r="G383" t="s">
        <v>70</v>
      </c>
      <c r="H383" s="2">
        <v>58</v>
      </c>
      <c r="I383" s="2">
        <v>57</v>
      </c>
      <c r="J383" s="2">
        <v>57</v>
      </c>
      <c r="K383" s="2">
        <v>54</v>
      </c>
      <c r="L383" s="2">
        <v>53</v>
      </c>
      <c r="M383" s="2">
        <f t="shared" si="65"/>
        <v>53</v>
      </c>
      <c r="N383" t="e">
        <f t="shared" ca="1" si="66"/>
        <v>#NAME?</v>
      </c>
      <c r="O383" t="str">
        <f t="shared" si="67"/>
        <v>MSIG Cost</v>
      </c>
      <c r="P383" s="2">
        <f t="shared" si="68"/>
        <v>9.433962264150944</v>
      </c>
      <c r="Q383" s="2">
        <f t="shared" si="69"/>
        <v>7.5471698113207548</v>
      </c>
      <c r="R383" s="2">
        <f t="shared" si="70"/>
        <v>7.5471698113207548</v>
      </c>
      <c r="S383" s="2">
        <f t="shared" si="71"/>
        <v>1.8867924528301887</v>
      </c>
      <c r="T383" s="2">
        <f t="shared" si="72"/>
        <v>0</v>
      </c>
      <c r="U383" s="3" t="str">
        <f t="shared" si="73"/>
        <v/>
      </c>
      <c r="V383" s="3" t="str">
        <f t="shared" si="74"/>
        <v/>
      </c>
      <c r="W383" s="3" t="str">
        <f t="shared" si="75"/>
        <v/>
      </c>
      <c r="X383" s="3" t="str">
        <f t="shared" si="76"/>
        <v/>
      </c>
      <c r="Y383" s="3" t="str">
        <f t="shared" si="77"/>
        <v>YES</v>
      </c>
    </row>
    <row r="384" spans="1:25">
      <c r="A384" t="s">
        <v>453</v>
      </c>
      <c r="B384">
        <v>200</v>
      </c>
      <c r="C384">
        <v>5</v>
      </c>
      <c r="D384">
        <v>200</v>
      </c>
      <c r="E384">
        <v>10</v>
      </c>
      <c r="F384" t="s">
        <v>69</v>
      </c>
      <c r="G384" t="s">
        <v>70</v>
      </c>
      <c r="H384" s="2">
        <v>919</v>
      </c>
      <c r="I384" s="2">
        <v>905</v>
      </c>
      <c r="J384" s="2">
        <v>907</v>
      </c>
      <c r="K384" s="2">
        <v>746</v>
      </c>
      <c r="L384" s="2">
        <v>661</v>
      </c>
      <c r="M384" s="2">
        <f t="shared" si="65"/>
        <v>661</v>
      </c>
      <c r="N384" t="e">
        <f t="shared" ca="1" si="66"/>
        <v>#NAME?</v>
      </c>
      <c r="O384" t="str">
        <f t="shared" si="67"/>
        <v>MSIG Cost</v>
      </c>
      <c r="P384" s="2">
        <f t="shared" si="68"/>
        <v>39.031770045385777</v>
      </c>
      <c r="Q384" s="2">
        <f t="shared" si="69"/>
        <v>36.913767019667169</v>
      </c>
      <c r="R384" s="2">
        <f t="shared" si="70"/>
        <v>37.216338880484109</v>
      </c>
      <c r="S384" s="2">
        <f t="shared" si="71"/>
        <v>12.859304084720122</v>
      </c>
      <c r="T384" s="2">
        <f t="shared" si="72"/>
        <v>0</v>
      </c>
      <c r="U384" s="3" t="str">
        <f t="shared" si="73"/>
        <v/>
      </c>
      <c r="V384" s="3" t="str">
        <f t="shared" si="74"/>
        <v/>
      </c>
      <c r="W384" s="3" t="str">
        <f t="shared" si="75"/>
        <v/>
      </c>
      <c r="X384" s="3" t="str">
        <f t="shared" si="76"/>
        <v/>
      </c>
      <c r="Y384" s="3" t="str">
        <f t="shared" si="77"/>
        <v>YES</v>
      </c>
    </row>
    <row r="385" spans="1:25">
      <c r="A385" t="s">
        <v>454</v>
      </c>
      <c r="B385">
        <v>200</v>
      </c>
      <c r="C385">
        <v>5</v>
      </c>
      <c r="D385">
        <v>200</v>
      </c>
      <c r="E385">
        <v>10</v>
      </c>
      <c r="F385" t="s">
        <v>69</v>
      </c>
      <c r="G385" t="s">
        <v>70</v>
      </c>
      <c r="H385" s="2">
        <v>886</v>
      </c>
      <c r="I385" s="2">
        <v>902</v>
      </c>
      <c r="J385" s="2">
        <v>866</v>
      </c>
      <c r="K385" s="2">
        <v>651</v>
      </c>
      <c r="L385" s="2">
        <v>626</v>
      </c>
      <c r="M385" s="2">
        <f t="shared" si="65"/>
        <v>626</v>
      </c>
      <c r="N385" t="e">
        <f t="shared" ca="1" si="66"/>
        <v>#NAME?</v>
      </c>
      <c r="O385" t="str">
        <f t="shared" si="67"/>
        <v>MSIG Cost</v>
      </c>
      <c r="P385" s="2">
        <f t="shared" si="68"/>
        <v>41.533546325878596</v>
      </c>
      <c r="Q385" s="2">
        <f t="shared" si="69"/>
        <v>44.089456869009588</v>
      </c>
      <c r="R385" s="2">
        <f t="shared" si="70"/>
        <v>38.338658146964853</v>
      </c>
      <c r="S385" s="2">
        <f t="shared" si="71"/>
        <v>3.9936102236421722</v>
      </c>
      <c r="T385" s="2">
        <f t="shared" si="72"/>
        <v>0</v>
      </c>
      <c r="U385" s="3" t="str">
        <f t="shared" si="73"/>
        <v/>
      </c>
      <c r="V385" s="3" t="str">
        <f t="shared" si="74"/>
        <v/>
      </c>
      <c r="W385" s="3" t="str">
        <f t="shared" si="75"/>
        <v/>
      </c>
      <c r="X385" s="3" t="str">
        <f t="shared" si="76"/>
        <v/>
      </c>
      <c r="Y385" s="3" t="str">
        <f t="shared" si="77"/>
        <v>YES</v>
      </c>
    </row>
    <row r="386" spans="1:25">
      <c r="A386" t="s">
        <v>455</v>
      </c>
      <c r="B386">
        <v>25</v>
      </c>
      <c r="C386">
        <v>10</v>
      </c>
      <c r="D386">
        <v>200</v>
      </c>
      <c r="E386">
        <v>1</v>
      </c>
      <c r="F386" t="s">
        <v>69</v>
      </c>
      <c r="G386" t="s">
        <v>70</v>
      </c>
      <c r="H386" s="2">
        <v>6</v>
      </c>
      <c r="I386" s="2">
        <v>6</v>
      </c>
      <c r="J386" s="2">
        <v>6</v>
      </c>
      <c r="K386" s="2">
        <v>6</v>
      </c>
      <c r="L386" s="2">
        <v>5</v>
      </c>
      <c r="M386" s="2">
        <f t="shared" ref="M386:M449" si="78">MIN(H386:L386)</f>
        <v>5</v>
      </c>
      <c r="N386" t="e">
        <f t="shared" ref="N386:N449" ca="1" si="79">_xludf.TEXTJOIN(", ",TRUE,IF(H386=M386,"S-FFD",""),IF(I386=M386,"S-BFD",""),IF(J386=M386,"S-WFD",""),IF(K386=M386,"Best C-TP",""),IF(L386=M386,"MSIG",""))</f>
        <v>#NAME?</v>
      </c>
      <c r="O386" t="str">
        <f t="shared" ref="O386:O449" si="80">IF(COUNTIF(H386:L386,M386)=1,INDEX($H$1:$L$1,1,MATCH(M386,H386:L386,0)),"")</f>
        <v>MSIG Cost</v>
      </c>
      <c r="P386" s="2">
        <f t="shared" ref="P386:P449" si="81">(H386-$M386)/$M386*100</f>
        <v>20</v>
      </c>
      <c r="Q386" s="2">
        <f t="shared" ref="Q386:Q449" si="82">(I386-$M386)/$M386*100</f>
        <v>20</v>
      </c>
      <c r="R386" s="2">
        <f t="shared" ref="R386:R449" si="83">(J386-$M386)/$M386*100</f>
        <v>20</v>
      </c>
      <c r="S386" s="2">
        <f t="shared" ref="S386:S449" si="84">(K386-$M386)/$M386*100</f>
        <v>20</v>
      </c>
      <c r="T386" s="2">
        <f t="shared" ref="T386:T449" si="85">(L386-$M386)/$M386*100</f>
        <v>0</v>
      </c>
      <c r="U386" s="3" t="str">
        <f t="shared" ref="U386:U449" si="86">IF(H386=$M386,"YES","")</f>
        <v/>
      </c>
      <c r="V386" s="3" t="str">
        <f t="shared" ref="V386:V449" si="87">IF(I386=$M386,"YES","")</f>
        <v/>
      </c>
      <c r="W386" s="3" t="str">
        <f t="shared" ref="W386:W449" si="88">IF(J386=$M386,"YES","")</f>
        <v/>
      </c>
      <c r="X386" s="3" t="str">
        <f t="shared" ref="X386:X449" si="89">IF(K386=$M386,"YES","")</f>
        <v/>
      </c>
      <c r="Y386" s="3" t="str">
        <f t="shared" ref="Y386:Y449" si="90">IF(L386=$M386,"YES","")</f>
        <v>YES</v>
      </c>
    </row>
    <row r="387" spans="1:25">
      <c r="A387" t="s">
        <v>456</v>
      </c>
      <c r="B387">
        <v>25</v>
      </c>
      <c r="C387">
        <v>10</v>
      </c>
      <c r="D387">
        <v>200</v>
      </c>
      <c r="E387">
        <v>1</v>
      </c>
      <c r="F387" t="s">
        <v>69</v>
      </c>
      <c r="G387" t="s">
        <v>70</v>
      </c>
      <c r="H387" s="2">
        <v>7</v>
      </c>
      <c r="I387" s="2">
        <v>6</v>
      </c>
      <c r="J387" s="2">
        <v>6</v>
      </c>
      <c r="K387" s="2">
        <v>6</v>
      </c>
      <c r="L387" s="2">
        <v>6</v>
      </c>
      <c r="M387" s="2">
        <f t="shared" si="78"/>
        <v>6</v>
      </c>
      <c r="N387" t="e">
        <f t="shared" ca="1" si="79"/>
        <v>#NAME?</v>
      </c>
      <c r="O387" t="str">
        <f t="shared" si="80"/>
        <v/>
      </c>
      <c r="P387" s="2">
        <f t="shared" si="81"/>
        <v>16.666666666666664</v>
      </c>
      <c r="Q387" s="2">
        <f t="shared" si="82"/>
        <v>0</v>
      </c>
      <c r="R387" s="2">
        <f t="shared" si="83"/>
        <v>0</v>
      </c>
      <c r="S387" s="2">
        <f t="shared" si="84"/>
        <v>0</v>
      </c>
      <c r="T387" s="2">
        <f t="shared" si="85"/>
        <v>0</v>
      </c>
      <c r="U387" s="3" t="str">
        <f t="shared" si="86"/>
        <v/>
      </c>
      <c r="V387" s="3" t="str">
        <f t="shared" si="87"/>
        <v>YES</v>
      </c>
      <c r="W387" s="3" t="str">
        <f t="shared" si="88"/>
        <v>YES</v>
      </c>
      <c r="X387" s="3" t="str">
        <f t="shared" si="89"/>
        <v>YES</v>
      </c>
      <c r="Y387" s="3" t="str">
        <f t="shared" si="90"/>
        <v>YES</v>
      </c>
    </row>
    <row r="388" spans="1:25">
      <c r="A388" t="s">
        <v>457</v>
      </c>
      <c r="B388">
        <v>25</v>
      </c>
      <c r="C388">
        <v>10</v>
      </c>
      <c r="D388">
        <v>200</v>
      </c>
      <c r="E388">
        <v>10</v>
      </c>
      <c r="F388" t="s">
        <v>69</v>
      </c>
      <c r="G388" t="s">
        <v>70</v>
      </c>
      <c r="H388" s="2">
        <v>120</v>
      </c>
      <c r="I388" s="2">
        <v>115</v>
      </c>
      <c r="J388" s="2">
        <v>119</v>
      </c>
      <c r="K388" s="2">
        <v>121</v>
      </c>
      <c r="L388" s="2">
        <v>108</v>
      </c>
      <c r="M388" s="2">
        <f t="shared" si="78"/>
        <v>108</v>
      </c>
      <c r="N388" t="e">
        <f t="shared" ca="1" si="79"/>
        <v>#NAME?</v>
      </c>
      <c r="O388" t="str">
        <f t="shared" si="80"/>
        <v>MSIG Cost</v>
      </c>
      <c r="P388" s="2">
        <f t="shared" si="81"/>
        <v>11.111111111111111</v>
      </c>
      <c r="Q388" s="2">
        <f t="shared" si="82"/>
        <v>6.481481481481481</v>
      </c>
      <c r="R388" s="2">
        <f t="shared" si="83"/>
        <v>10.185185185185185</v>
      </c>
      <c r="S388" s="2">
        <f t="shared" si="84"/>
        <v>12.037037037037036</v>
      </c>
      <c r="T388" s="2">
        <f t="shared" si="85"/>
        <v>0</v>
      </c>
      <c r="U388" s="3" t="str">
        <f t="shared" si="86"/>
        <v/>
      </c>
      <c r="V388" s="3" t="str">
        <f t="shared" si="87"/>
        <v/>
      </c>
      <c r="W388" s="3" t="str">
        <f t="shared" si="88"/>
        <v/>
      </c>
      <c r="X388" s="3" t="str">
        <f t="shared" si="89"/>
        <v/>
      </c>
      <c r="Y388" s="3" t="str">
        <f t="shared" si="90"/>
        <v>YES</v>
      </c>
    </row>
    <row r="389" spans="1:25">
      <c r="A389" t="s">
        <v>458</v>
      </c>
      <c r="B389">
        <v>25</v>
      </c>
      <c r="C389">
        <v>10</v>
      </c>
      <c r="D389">
        <v>200</v>
      </c>
      <c r="E389">
        <v>10</v>
      </c>
      <c r="F389" t="s">
        <v>69</v>
      </c>
      <c r="G389" t="s">
        <v>70</v>
      </c>
      <c r="H389" s="2">
        <v>118</v>
      </c>
      <c r="I389" s="2">
        <v>123</v>
      </c>
      <c r="J389" s="2">
        <v>117</v>
      </c>
      <c r="K389" s="2">
        <v>121</v>
      </c>
      <c r="L389" s="2">
        <v>107</v>
      </c>
      <c r="M389" s="2">
        <f t="shared" si="78"/>
        <v>107</v>
      </c>
      <c r="N389" t="e">
        <f t="shared" ca="1" si="79"/>
        <v>#NAME?</v>
      </c>
      <c r="O389" t="str">
        <f t="shared" si="80"/>
        <v>MSIG Cost</v>
      </c>
      <c r="P389" s="2">
        <f t="shared" si="81"/>
        <v>10.2803738317757</v>
      </c>
      <c r="Q389" s="2">
        <f t="shared" si="82"/>
        <v>14.953271028037381</v>
      </c>
      <c r="R389" s="2">
        <f t="shared" si="83"/>
        <v>9.3457943925233646</v>
      </c>
      <c r="S389" s="2">
        <f t="shared" si="84"/>
        <v>13.084112149532709</v>
      </c>
      <c r="T389" s="2">
        <f t="shared" si="85"/>
        <v>0</v>
      </c>
      <c r="U389" s="3" t="str">
        <f t="shared" si="86"/>
        <v/>
      </c>
      <c r="V389" s="3" t="str">
        <f t="shared" si="87"/>
        <v/>
      </c>
      <c r="W389" s="3" t="str">
        <f t="shared" si="88"/>
        <v/>
      </c>
      <c r="X389" s="3" t="str">
        <f t="shared" si="89"/>
        <v/>
      </c>
      <c r="Y389" s="3" t="str">
        <f t="shared" si="90"/>
        <v>YES</v>
      </c>
    </row>
    <row r="390" spans="1:25">
      <c r="A390" t="s">
        <v>459</v>
      </c>
      <c r="B390">
        <v>25</v>
      </c>
      <c r="C390">
        <v>10</v>
      </c>
      <c r="D390">
        <v>200</v>
      </c>
      <c r="E390">
        <v>1</v>
      </c>
      <c r="F390" t="s">
        <v>69</v>
      </c>
      <c r="G390" t="s">
        <v>70</v>
      </c>
      <c r="H390" s="2">
        <v>4</v>
      </c>
      <c r="I390" s="2">
        <v>4</v>
      </c>
      <c r="J390" s="2">
        <v>4</v>
      </c>
      <c r="K390" s="2">
        <v>5</v>
      </c>
      <c r="L390" s="2">
        <v>4</v>
      </c>
      <c r="M390" s="2">
        <f t="shared" si="78"/>
        <v>4</v>
      </c>
      <c r="N390" t="e">
        <f t="shared" ca="1" si="79"/>
        <v>#NAME?</v>
      </c>
      <c r="O390" t="str">
        <f t="shared" si="80"/>
        <v/>
      </c>
      <c r="P390" s="2">
        <f t="shared" si="81"/>
        <v>0</v>
      </c>
      <c r="Q390" s="2">
        <f t="shared" si="82"/>
        <v>0</v>
      </c>
      <c r="R390" s="2">
        <f t="shared" si="83"/>
        <v>0</v>
      </c>
      <c r="S390" s="2">
        <f t="shared" si="84"/>
        <v>25</v>
      </c>
      <c r="T390" s="2">
        <f t="shared" si="85"/>
        <v>0</v>
      </c>
      <c r="U390" s="3" t="str">
        <f t="shared" si="86"/>
        <v>YES</v>
      </c>
      <c r="V390" s="3" t="str">
        <f t="shared" si="87"/>
        <v>YES</v>
      </c>
      <c r="W390" s="3" t="str">
        <f t="shared" si="88"/>
        <v>YES</v>
      </c>
      <c r="X390" s="3" t="str">
        <f t="shared" si="89"/>
        <v/>
      </c>
      <c r="Y390" s="3" t="str">
        <f t="shared" si="90"/>
        <v>YES</v>
      </c>
    </row>
    <row r="391" spans="1:25">
      <c r="A391" t="s">
        <v>460</v>
      </c>
      <c r="B391">
        <v>25</v>
      </c>
      <c r="C391">
        <v>10</v>
      </c>
      <c r="D391">
        <v>200</v>
      </c>
      <c r="E391">
        <v>1</v>
      </c>
      <c r="F391" t="s">
        <v>69</v>
      </c>
      <c r="G391" t="s">
        <v>70</v>
      </c>
      <c r="H391" s="2">
        <v>4</v>
      </c>
      <c r="I391" s="2">
        <v>4</v>
      </c>
      <c r="J391" s="2">
        <v>5</v>
      </c>
      <c r="K391" s="2">
        <v>5</v>
      </c>
      <c r="L391" s="2">
        <v>4</v>
      </c>
      <c r="M391" s="2">
        <f t="shared" si="78"/>
        <v>4</v>
      </c>
      <c r="N391" t="e">
        <f t="shared" ca="1" si="79"/>
        <v>#NAME?</v>
      </c>
      <c r="O391" t="str">
        <f t="shared" si="80"/>
        <v/>
      </c>
      <c r="P391" s="2">
        <f t="shared" si="81"/>
        <v>0</v>
      </c>
      <c r="Q391" s="2">
        <f t="shared" si="82"/>
        <v>0</v>
      </c>
      <c r="R391" s="2">
        <f t="shared" si="83"/>
        <v>25</v>
      </c>
      <c r="S391" s="2">
        <f t="shared" si="84"/>
        <v>25</v>
      </c>
      <c r="T391" s="2">
        <f t="shared" si="85"/>
        <v>0</v>
      </c>
      <c r="U391" s="3" t="str">
        <f t="shared" si="86"/>
        <v>YES</v>
      </c>
      <c r="V391" s="3" t="str">
        <f t="shared" si="87"/>
        <v>YES</v>
      </c>
      <c r="W391" s="3" t="str">
        <f t="shared" si="88"/>
        <v/>
      </c>
      <c r="X391" s="3" t="str">
        <f t="shared" si="89"/>
        <v/>
      </c>
      <c r="Y391" s="3" t="str">
        <f t="shared" si="90"/>
        <v>YES</v>
      </c>
    </row>
    <row r="392" spans="1:25">
      <c r="A392" t="s">
        <v>461</v>
      </c>
      <c r="B392">
        <v>25</v>
      </c>
      <c r="C392">
        <v>10</v>
      </c>
      <c r="D392">
        <v>200</v>
      </c>
      <c r="E392">
        <v>10</v>
      </c>
      <c r="F392" t="s">
        <v>69</v>
      </c>
      <c r="G392" t="s">
        <v>70</v>
      </c>
      <c r="H392" s="2">
        <v>100</v>
      </c>
      <c r="I392" s="2">
        <v>98</v>
      </c>
      <c r="J392" s="2">
        <v>104</v>
      </c>
      <c r="K392" s="2">
        <v>101</v>
      </c>
      <c r="L392" s="2">
        <v>87</v>
      </c>
      <c r="M392" s="2">
        <f t="shared" si="78"/>
        <v>87</v>
      </c>
      <c r="N392" t="e">
        <f t="shared" ca="1" si="79"/>
        <v>#NAME?</v>
      </c>
      <c r="O392" t="str">
        <f t="shared" si="80"/>
        <v>MSIG Cost</v>
      </c>
      <c r="P392" s="2">
        <f t="shared" si="81"/>
        <v>14.942528735632186</v>
      </c>
      <c r="Q392" s="2">
        <f t="shared" si="82"/>
        <v>12.643678160919542</v>
      </c>
      <c r="R392" s="2">
        <f t="shared" si="83"/>
        <v>19.540229885057471</v>
      </c>
      <c r="S392" s="2">
        <f t="shared" si="84"/>
        <v>16.091954022988507</v>
      </c>
      <c r="T392" s="2">
        <f t="shared" si="85"/>
        <v>0</v>
      </c>
      <c r="U392" s="3" t="str">
        <f t="shared" si="86"/>
        <v/>
      </c>
      <c r="V392" s="3" t="str">
        <f t="shared" si="87"/>
        <v/>
      </c>
      <c r="W392" s="3" t="str">
        <f t="shared" si="88"/>
        <v/>
      </c>
      <c r="X392" s="3" t="str">
        <f t="shared" si="89"/>
        <v/>
      </c>
      <c r="Y392" s="3" t="str">
        <f t="shared" si="90"/>
        <v>YES</v>
      </c>
    </row>
    <row r="393" spans="1:25">
      <c r="A393" t="s">
        <v>462</v>
      </c>
      <c r="B393">
        <v>25</v>
      </c>
      <c r="C393">
        <v>10</v>
      </c>
      <c r="D393">
        <v>200</v>
      </c>
      <c r="E393">
        <v>10</v>
      </c>
      <c r="F393" t="s">
        <v>69</v>
      </c>
      <c r="G393" t="s">
        <v>70</v>
      </c>
      <c r="H393" s="2">
        <v>118</v>
      </c>
      <c r="I393" s="2">
        <v>118</v>
      </c>
      <c r="J393" s="2">
        <v>107</v>
      </c>
      <c r="K393" s="2">
        <v>101</v>
      </c>
      <c r="L393" s="2">
        <v>100</v>
      </c>
      <c r="M393" s="2">
        <f t="shared" si="78"/>
        <v>100</v>
      </c>
      <c r="N393" t="e">
        <f t="shared" ca="1" si="79"/>
        <v>#NAME?</v>
      </c>
      <c r="O393" t="str">
        <f t="shared" si="80"/>
        <v>MSIG Cost</v>
      </c>
      <c r="P393" s="2">
        <f t="shared" si="81"/>
        <v>18</v>
      </c>
      <c r="Q393" s="2">
        <f t="shared" si="82"/>
        <v>18</v>
      </c>
      <c r="R393" s="2">
        <f t="shared" si="83"/>
        <v>7.0000000000000009</v>
      </c>
      <c r="S393" s="2">
        <f t="shared" si="84"/>
        <v>1</v>
      </c>
      <c r="T393" s="2">
        <f t="shared" si="85"/>
        <v>0</v>
      </c>
      <c r="U393" s="3" t="str">
        <f t="shared" si="86"/>
        <v/>
      </c>
      <c r="V393" s="3" t="str">
        <f t="shared" si="87"/>
        <v/>
      </c>
      <c r="W393" s="3" t="str">
        <f t="shared" si="88"/>
        <v/>
      </c>
      <c r="X393" s="3" t="str">
        <f t="shared" si="89"/>
        <v/>
      </c>
      <c r="Y393" s="3" t="str">
        <f t="shared" si="90"/>
        <v>YES</v>
      </c>
    </row>
    <row r="394" spans="1:25">
      <c r="A394" t="s">
        <v>463</v>
      </c>
      <c r="B394">
        <v>25</v>
      </c>
      <c r="C394">
        <v>10</v>
      </c>
      <c r="D394">
        <v>200</v>
      </c>
      <c r="E394">
        <v>1</v>
      </c>
      <c r="F394" t="s">
        <v>69</v>
      </c>
      <c r="G394" t="s">
        <v>70</v>
      </c>
      <c r="H394" s="2">
        <v>9</v>
      </c>
      <c r="I394" s="2">
        <v>9</v>
      </c>
      <c r="J394" s="2">
        <v>9</v>
      </c>
      <c r="K394" s="2">
        <v>10</v>
      </c>
      <c r="L394" s="2">
        <v>9</v>
      </c>
      <c r="M394" s="2">
        <f t="shared" si="78"/>
        <v>9</v>
      </c>
      <c r="N394" t="e">
        <f t="shared" ca="1" si="79"/>
        <v>#NAME?</v>
      </c>
      <c r="O394" t="str">
        <f t="shared" si="80"/>
        <v/>
      </c>
      <c r="P394" s="2">
        <f t="shared" si="81"/>
        <v>0</v>
      </c>
      <c r="Q394" s="2">
        <f t="shared" si="82"/>
        <v>0</v>
      </c>
      <c r="R394" s="2">
        <f t="shared" si="83"/>
        <v>0</v>
      </c>
      <c r="S394" s="2">
        <f t="shared" si="84"/>
        <v>11.111111111111111</v>
      </c>
      <c r="T394" s="2">
        <f t="shared" si="85"/>
        <v>0</v>
      </c>
      <c r="U394" s="3" t="str">
        <f t="shared" si="86"/>
        <v>YES</v>
      </c>
      <c r="V394" s="3" t="str">
        <f t="shared" si="87"/>
        <v>YES</v>
      </c>
      <c r="W394" s="3" t="str">
        <f t="shared" si="88"/>
        <v>YES</v>
      </c>
      <c r="X394" s="3" t="str">
        <f t="shared" si="89"/>
        <v/>
      </c>
      <c r="Y394" s="3" t="str">
        <f t="shared" si="90"/>
        <v>YES</v>
      </c>
    </row>
    <row r="395" spans="1:25">
      <c r="A395" t="s">
        <v>464</v>
      </c>
      <c r="B395">
        <v>25</v>
      </c>
      <c r="C395">
        <v>10</v>
      </c>
      <c r="D395">
        <v>200</v>
      </c>
      <c r="E395">
        <v>1</v>
      </c>
      <c r="F395" t="s">
        <v>69</v>
      </c>
      <c r="G395" t="s">
        <v>70</v>
      </c>
      <c r="H395" s="2">
        <v>10</v>
      </c>
      <c r="I395" s="2">
        <v>9</v>
      </c>
      <c r="J395" s="2">
        <v>10</v>
      </c>
      <c r="K395" s="2">
        <v>10</v>
      </c>
      <c r="L395" s="2">
        <v>9</v>
      </c>
      <c r="M395" s="2">
        <f t="shared" si="78"/>
        <v>9</v>
      </c>
      <c r="N395" t="e">
        <f t="shared" ca="1" si="79"/>
        <v>#NAME?</v>
      </c>
      <c r="O395" t="str">
        <f t="shared" si="80"/>
        <v/>
      </c>
      <c r="P395" s="2">
        <f t="shared" si="81"/>
        <v>11.111111111111111</v>
      </c>
      <c r="Q395" s="2">
        <f t="shared" si="82"/>
        <v>0</v>
      </c>
      <c r="R395" s="2">
        <f t="shared" si="83"/>
        <v>11.111111111111111</v>
      </c>
      <c r="S395" s="2">
        <f t="shared" si="84"/>
        <v>11.111111111111111</v>
      </c>
      <c r="T395" s="2">
        <f t="shared" si="85"/>
        <v>0</v>
      </c>
      <c r="U395" s="3" t="str">
        <f t="shared" si="86"/>
        <v/>
      </c>
      <c r="V395" s="3" t="str">
        <f t="shared" si="87"/>
        <v>YES</v>
      </c>
      <c r="W395" s="3" t="str">
        <f t="shared" si="88"/>
        <v/>
      </c>
      <c r="X395" s="3" t="str">
        <f t="shared" si="89"/>
        <v/>
      </c>
      <c r="Y395" s="3" t="str">
        <f t="shared" si="90"/>
        <v>YES</v>
      </c>
    </row>
    <row r="396" spans="1:25">
      <c r="A396" t="s">
        <v>465</v>
      </c>
      <c r="B396">
        <v>25</v>
      </c>
      <c r="C396">
        <v>10</v>
      </c>
      <c r="D396">
        <v>200</v>
      </c>
      <c r="E396">
        <v>10</v>
      </c>
      <c r="F396" t="s">
        <v>69</v>
      </c>
      <c r="G396" t="s">
        <v>70</v>
      </c>
      <c r="H396" s="2">
        <v>136</v>
      </c>
      <c r="I396" s="2">
        <v>140</v>
      </c>
      <c r="J396" s="2">
        <v>136</v>
      </c>
      <c r="K396" s="2">
        <v>140</v>
      </c>
      <c r="L396" s="2">
        <v>128</v>
      </c>
      <c r="M396" s="2">
        <f t="shared" si="78"/>
        <v>128</v>
      </c>
      <c r="N396" t="e">
        <f t="shared" ca="1" si="79"/>
        <v>#NAME?</v>
      </c>
      <c r="O396" t="str">
        <f t="shared" si="80"/>
        <v>MSIG Cost</v>
      </c>
      <c r="P396" s="2">
        <f t="shared" si="81"/>
        <v>6.25</v>
      </c>
      <c r="Q396" s="2">
        <f t="shared" si="82"/>
        <v>9.375</v>
      </c>
      <c r="R396" s="2">
        <f t="shared" si="83"/>
        <v>6.25</v>
      </c>
      <c r="S396" s="2">
        <f t="shared" si="84"/>
        <v>9.375</v>
      </c>
      <c r="T396" s="2">
        <f t="shared" si="85"/>
        <v>0</v>
      </c>
      <c r="U396" s="3" t="str">
        <f t="shared" si="86"/>
        <v/>
      </c>
      <c r="V396" s="3" t="str">
        <f t="shared" si="87"/>
        <v/>
      </c>
      <c r="W396" s="3" t="str">
        <f t="shared" si="88"/>
        <v/>
      </c>
      <c r="X396" s="3" t="str">
        <f t="shared" si="89"/>
        <v/>
      </c>
      <c r="Y396" s="3" t="str">
        <f t="shared" si="90"/>
        <v>YES</v>
      </c>
    </row>
    <row r="397" spans="1:25">
      <c r="A397" t="s">
        <v>466</v>
      </c>
      <c r="B397">
        <v>25</v>
      </c>
      <c r="C397">
        <v>10</v>
      </c>
      <c r="D397">
        <v>200</v>
      </c>
      <c r="E397">
        <v>10</v>
      </c>
      <c r="F397" t="s">
        <v>69</v>
      </c>
      <c r="G397" t="s">
        <v>70</v>
      </c>
      <c r="H397" s="2">
        <v>147</v>
      </c>
      <c r="I397" s="2">
        <v>159</v>
      </c>
      <c r="J397" s="2">
        <v>159</v>
      </c>
      <c r="K397" s="2">
        <v>140</v>
      </c>
      <c r="L397" s="2">
        <v>137</v>
      </c>
      <c r="M397" s="2">
        <f t="shared" si="78"/>
        <v>137</v>
      </c>
      <c r="N397" t="e">
        <f t="shared" ca="1" si="79"/>
        <v>#NAME?</v>
      </c>
      <c r="O397" t="str">
        <f t="shared" si="80"/>
        <v>MSIG Cost</v>
      </c>
      <c r="P397" s="2">
        <f t="shared" si="81"/>
        <v>7.2992700729926998</v>
      </c>
      <c r="Q397" s="2">
        <f t="shared" si="82"/>
        <v>16.058394160583941</v>
      </c>
      <c r="R397" s="2">
        <f t="shared" si="83"/>
        <v>16.058394160583941</v>
      </c>
      <c r="S397" s="2">
        <f t="shared" si="84"/>
        <v>2.1897810218978102</v>
      </c>
      <c r="T397" s="2">
        <f t="shared" si="85"/>
        <v>0</v>
      </c>
      <c r="U397" s="3" t="str">
        <f t="shared" si="86"/>
        <v/>
      </c>
      <c r="V397" s="3" t="str">
        <f t="shared" si="87"/>
        <v/>
      </c>
      <c r="W397" s="3" t="str">
        <f t="shared" si="88"/>
        <v/>
      </c>
      <c r="X397" s="3" t="str">
        <f t="shared" si="89"/>
        <v/>
      </c>
      <c r="Y397" s="3" t="str">
        <f t="shared" si="90"/>
        <v>YES</v>
      </c>
    </row>
    <row r="398" spans="1:25">
      <c r="A398" t="s">
        <v>467</v>
      </c>
      <c r="B398">
        <v>25</v>
      </c>
      <c r="C398">
        <v>10</v>
      </c>
      <c r="D398">
        <v>200</v>
      </c>
      <c r="E398">
        <v>1</v>
      </c>
      <c r="F398" t="s">
        <v>69</v>
      </c>
      <c r="G398" t="s">
        <v>70</v>
      </c>
      <c r="H398" s="2">
        <v>8</v>
      </c>
      <c r="I398" s="2">
        <v>8</v>
      </c>
      <c r="J398" s="2">
        <v>7</v>
      </c>
      <c r="K398" s="2">
        <v>8</v>
      </c>
      <c r="L398" s="2">
        <v>7</v>
      </c>
      <c r="M398" s="2">
        <f t="shared" si="78"/>
        <v>7</v>
      </c>
      <c r="N398" t="e">
        <f t="shared" ca="1" si="79"/>
        <v>#NAME?</v>
      </c>
      <c r="O398" t="str">
        <f t="shared" si="80"/>
        <v/>
      </c>
      <c r="P398" s="2">
        <f t="shared" si="81"/>
        <v>14.285714285714285</v>
      </c>
      <c r="Q398" s="2">
        <f t="shared" si="82"/>
        <v>14.285714285714285</v>
      </c>
      <c r="R398" s="2">
        <f t="shared" si="83"/>
        <v>0</v>
      </c>
      <c r="S398" s="2">
        <f t="shared" si="84"/>
        <v>14.285714285714285</v>
      </c>
      <c r="T398" s="2">
        <f t="shared" si="85"/>
        <v>0</v>
      </c>
      <c r="U398" s="3" t="str">
        <f t="shared" si="86"/>
        <v/>
      </c>
      <c r="V398" s="3" t="str">
        <f t="shared" si="87"/>
        <v/>
      </c>
      <c r="W398" s="3" t="str">
        <f t="shared" si="88"/>
        <v>YES</v>
      </c>
      <c r="X398" s="3" t="str">
        <f t="shared" si="89"/>
        <v/>
      </c>
      <c r="Y398" s="3" t="str">
        <f t="shared" si="90"/>
        <v>YES</v>
      </c>
    </row>
    <row r="399" spans="1:25">
      <c r="A399" t="s">
        <v>468</v>
      </c>
      <c r="B399">
        <v>25</v>
      </c>
      <c r="C399">
        <v>10</v>
      </c>
      <c r="D399">
        <v>200</v>
      </c>
      <c r="E399">
        <v>1</v>
      </c>
      <c r="F399" t="s">
        <v>69</v>
      </c>
      <c r="G399" t="s">
        <v>70</v>
      </c>
      <c r="H399" s="2">
        <v>8</v>
      </c>
      <c r="I399" s="2">
        <v>8</v>
      </c>
      <c r="J399" s="2">
        <v>8</v>
      </c>
      <c r="K399" s="2">
        <v>8</v>
      </c>
      <c r="L399" s="2">
        <v>7</v>
      </c>
      <c r="M399" s="2">
        <f t="shared" si="78"/>
        <v>7</v>
      </c>
      <c r="N399" t="e">
        <f t="shared" ca="1" si="79"/>
        <v>#NAME?</v>
      </c>
      <c r="O399" t="str">
        <f t="shared" si="80"/>
        <v>MSIG Cost</v>
      </c>
      <c r="P399" s="2">
        <f t="shared" si="81"/>
        <v>14.285714285714285</v>
      </c>
      <c r="Q399" s="2">
        <f t="shared" si="82"/>
        <v>14.285714285714285</v>
      </c>
      <c r="R399" s="2">
        <f t="shared" si="83"/>
        <v>14.285714285714285</v>
      </c>
      <c r="S399" s="2">
        <f t="shared" si="84"/>
        <v>14.285714285714285</v>
      </c>
      <c r="T399" s="2">
        <f t="shared" si="85"/>
        <v>0</v>
      </c>
      <c r="U399" s="3" t="str">
        <f t="shared" si="86"/>
        <v/>
      </c>
      <c r="V399" s="3" t="str">
        <f t="shared" si="87"/>
        <v/>
      </c>
      <c r="W399" s="3" t="str">
        <f t="shared" si="88"/>
        <v/>
      </c>
      <c r="X399" s="3" t="str">
        <f t="shared" si="89"/>
        <v/>
      </c>
      <c r="Y399" s="3" t="str">
        <f t="shared" si="90"/>
        <v>YES</v>
      </c>
    </row>
    <row r="400" spans="1:25">
      <c r="A400" t="s">
        <v>469</v>
      </c>
      <c r="B400">
        <v>25</v>
      </c>
      <c r="C400">
        <v>10</v>
      </c>
      <c r="D400">
        <v>200</v>
      </c>
      <c r="E400">
        <v>10</v>
      </c>
      <c r="F400" t="s">
        <v>69</v>
      </c>
      <c r="G400" t="s">
        <v>70</v>
      </c>
      <c r="H400" s="2">
        <v>123</v>
      </c>
      <c r="I400" s="2">
        <v>123</v>
      </c>
      <c r="J400" s="2">
        <v>135</v>
      </c>
      <c r="K400" s="2">
        <v>116</v>
      </c>
      <c r="L400" s="2">
        <v>112</v>
      </c>
      <c r="M400" s="2">
        <f t="shared" si="78"/>
        <v>112</v>
      </c>
      <c r="N400" t="e">
        <f t="shared" ca="1" si="79"/>
        <v>#NAME?</v>
      </c>
      <c r="O400" t="str">
        <f t="shared" si="80"/>
        <v>MSIG Cost</v>
      </c>
      <c r="P400" s="2">
        <f t="shared" si="81"/>
        <v>9.8214285714285712</v>
      </c>
      <c r="Q400" s="2">
        <f t="shared" si="82"/>
        <v>9.8214285714285712</v>
      </c>
      <c r="R400" s="2">
        <f t="shared" si="83"/>
        <v>20.535714285714285</v>
      </c>
      <c r="S400" s="2">
        <f t="shared" si="84"/>
        <v>3.5714285714285712</v>
      </c>
      <c r="T400" s="2">
        <f t="shared" si="85"/>
        <v>0</v>
      </c>
      <c r="U400" s="3" t="str">
        <f t="shared" si="86"/>
        <v/>
      </c>
      <c r="V400" s="3" t="str">
        <f t="shared" si="87"/>
        <v/>
      </c>
      <c r="W400" s="3" t="str">
        <f t="shared" si="88"/>
        <v/>
      </c>
      <c r="X400" s="3" t="str">
        <f t="shared" si="89"/>
        <v/>
      </c>
      <c r="Y400" s="3" t="str">
        <f t="shared" si="90"/>
        <v>YES</v>
      </c>
    </row>
    <row r="401" spans="1:25">
      <c r="A401" t="s">
        <v>470</v>
      </c>
      <c r="B401">
        <v>25</v>
      </c>
      <c r="C401">
        <v>10</v>
      </c>
      <c r="D401">
        <v>200</v>
      </c>
      <c r="E401">
        <v>10</v>
      </c>
      <c r="F401" t="s">
        <v>69</v>
      </c>
      <c r="G401" t="s">
        <v>70</v>
      </c>
      <c r="H401" s="2">
        <v>123</v>
      </c>
      <c r="I401" s="2">
        <v>123</v>
      </c>
      <c r="J401" s="2">
        <v>131</v>
      </c>
      <c r="K401" s="2">
        <v>116</v>
      </c>
      <c r="L401" s="2">
        <v>105</v>
      </c>
      <c r="M401" s="2">
        <f t="shared" si="78"/>
        <v>105</v>
      </c>
      <c r="N401" t="e">
        <f t="shared" ca="1" si="79"/>
        <v>#NAME?</v>
      </c>
      <c r="O401" t="str">
        <f t="shared" si="80"/>
        <v>MSIG Cost</v>
      </c>
      <c r="P401" s="2">
        <f t="shared" si="81"/>
        <v>17.142857142857142</v>
      </c>
      <c r="Q401" s="2">
        <f t="shared" si="82"/>
        <v>17.142857142857142</v>
      </c>
      <c r="R401" s="2">
        <f t="shared" si="83"/>
        <v>24.761904761904763</v>
      </c>
      <c r="S401" s="2">
        <f t="shared" si="84"/>
        <v>10.476190476190476</v>
      </c>
      <c r="T401" s="2">
        <f t="shared" si="85"/>
        <v>0</v>
      </c>
      <c r="U401" s="3" t="str">
        <f t="shared" si="86"/>
        <v/>
      </c>
      <c r="V401" s="3" t="str">
        <f t="shared" si="87"/>
        <v/>
      </c>
      <c r="W401" s="3" t="str">
        <f t="shared" si="88"/>
        <v/>
      </c>
      <c r="X401" s="3" t="str">
        <f t="shared" si="89"/>
        <v/>
      </c>
      <c r="Y401" s="3" t="str">
        <f t="shared" si="90"/>
        <v>YES</v>
      </c>
    </row>
    <row r="402" spans="1:25">
      <c r="A402" t="s">
        <v>471</v>
      </c>
      <c r="B402">
        <v>25</v>
      </c>
      <c r="C402">
        <v>5</v>
      </c>
      <c r="D402">
        <v>200</v>
      </c>
      <c r="E402">
        <v>1</v>
      </c>
      <c r="F402" t="s">
        <v>69</v>
      </c>
      <c r="G402" t="s">
        <v>70</v>
      </c>
      <c r="H402" s="2">
        <v>6</v>
      </c>
      <c r="I402" s="2">
        <v>6</v>
      </c>
      <c r="J402" s="2">
        <v>5</v>
      </c>
      <c r="K402" s="2">
        <v>6</v>
      </c>
      <c r="L402" s="2">
        <v>5</v>
      </c>
      <c r="M402" s="2">
        <f t="shared" si="78"/>
        <v>5</v>
      </c>
      <c r="N402" t="e">
        <f t="shared" ca="1" si="79"/>
        <v>#NAME?</v>
      </c>
      <c r="O402" t="str">
        <f t="shared" si="80"/>
        <v/>
      </c>
      <c r="P402" s="2">
        <f t="shared" si="81"/>
        <v>20</v>
      </c>
      <c r="Q402" s="2">
        <f t="shared" si="82"/>
        <v>20</v>
      </c>
      <c r="R402" s="2">
        <f t="shared" si="83"/>
        <v>0</v>
      </c>
      <c r="S402" s="2">
        <f t="shared" si="84"/>
        <v>20</v>
      </c>
      <c r="T402" s="2">
        <f t="shared" si="85"/>
        <v>0</v>
      </c>
      <c r="U402" s="3" t="str">
        <f t="shared" si="86"/>
        <v/>
      </c>
      <c r="V402" s="3" t="str">
        <f t="shared" si="87"/>
        <v/>
      </c>
      <c r="W402" s="3" t="str">
        <f t="shared" si="88"/>
        <v>YES</v>
      </c>
      <c r="X402" s="3" t="str">
        <f t="shared" si="89"/>
        <v/>
      </c>
      <c r="Y402" s="3" t="str">
        <f t="shared" si="90"/>
        <v>YES</v>
      </c>
    </row>
    <row r="403" spans="1:25">
      <c r="A403" t="s">
        <v>472</v>
      </c>
      <c r="B403">
        <v>25</v>
      </c>
      <c r="C403">
        <v>5</v>
      </c>
      <c r="D403">
        <v>200</v>
      </c>
      <c r="E403">
        <v>1</v>
      </c>
      <c r="F403" t="s">
        <v>69</v>
      </c>
      <c r="G403" t="s">
        <v>70</v>
      </c>
      <c r="H403" s="2">
        <v>5</v>
      </c>
      <c r="I403" s="2">
        <v>6</v>
      </c>
      <c r="J403" s="2">
        <v>5</v>
      </c>
      <c r="K403" s="2">
        <v>6</v>
      </c>
      <c r="L403" s="2">
        <v>5</v>
      </c>
      <c r="M403" s="2">
        <f t="shared" si="78"/>
        <v>5</v>
      </c>
      <c r="N403" t="e">
        <f t="shared" ca="1" si="79"/>
        <v>#NAME?</v>
      </c>
      <c r="O403" t="str">
        <f t="shared" si="80"/>
        <v/>
      </c>
      <c r="P403" s="2">
        <f t="shared" si="81"/>
        <v>0</v>
      </c>
      <c r="Q403" s="2">
        <f t="shared" si="82"/>
        <v>20</v>
      </c>
      <c r="R403" s="2">
        <f t="shared" si="83"/>
        <v>0</v>
      </c>
      <c r="S403" s="2">
        <f t="shared" si="84"/>
        <v>20</v>
      </c>
      <c r="T403" s="2">
        <f t="shared" si="85"/>
        <v>0</v>
      </c>
      <c r="U403" s="3" t="str">
        <f t="shared" si="86"/>
        <v>YES</v>
      </c>
      <c r="V403" s="3" t="str">
        <f t="shared" si="87"/>
        <v/>
      </c>
      <c r="W403" s="3" t="str">
        <f t="shared" si="88"/>
        <v>YES</v>
      </c>
      <c r="X403" s="3" t="str">
        <f t="shared" si="89"/>
        <v/>
      </c>
      <c r="Y403" s="3" t="str">
        <f t="shared" si="90"/>
        <v>YES</v>
      </c>
    </row>
    <row r="404" spans="1:25">
      <c r="A404" t="s">
        <v>473</v>
      </c>
      <c r="B404">
        <v>25</v>
      </c>
      <c r="C404">
        <v>5</v>
      </c>
      <c r="D404">
        <v>200</v>
      </c>
      <c r="E404">
        <v>10</v>
      </c>
      <c r="F404" t="s">
        <v>69</v>
      </c>
      <c r="G404" t="s">
        <v>70</v>
      </c>
      <c r="H404" s="2">
        <v>116</v>
      </c>
      <c r="I404" s="2">
        <v>114</v>
      </c>
      <c r="J404" s="2">
        <v>101</v>
      </c>
      <c r="K404" s="2">
        <v>93</v>
      </c>
      <c r="L404" s="2">
        <v>88</v>
      </c>
      <c r="M404" s="2">
        <f t="shared" si="78"/>
        <v>88</v>
      </c>
      <c r="N404" t="e">
        <f t="shared" ca="1" si="79"/>
        <v>#NAME?</v>
      </c>
      <c r="O404" t="str">
        <f t="shared" si="80"/>
        <v>MSIG Cost</v>
      </c>
      <c r="P404" s="2">
        <f t="shared" si="81"/>
        <v>31.818181818181817</v>
      </c>
      <c r="Q404" s="2">
        <f t="shared" si="82"/>
        <v>29.545454545454547</v>
      </c>
      <c r="R404" s="2">
        <f t="shared" si="83"/>
        <v>14.772727272727273</v>
      </c>
      <c r="S404" s="2">
        <f t="shared" si="84"/>
        <v>5.6818181818181817</v>
      </c>
      <c r="T404" s="2">
        <f t="shared" si="85"/>
        <v>0</v>
      </c>
      <c r="U404" s="3" t="str">
        <f t="shared" si="86"/>
        <v/>
      </c>
      <c r="V404" s="3" t="str">
        <f t="shared" si="87"/>
        <v/>
      </c>
      <c r="W404" s="3" t="str">
        <f t="shared" si="88"/>
        <v/>
      </c>
      <c r="X404" s="3" t="str">
        <f t="shared" si="89"/>
        <v/>
      </c>
      <c r="Y404" s="3" t="str">
        <f t="shared" si="90"/>
        <v>YES</v>
      </c>
    </row>
    <row r="405" spans="1:25">
      <c r="A405" t="s">
        <v>474</v>
      </c>
      <c r="B405">
        <v>25</v>
      </c>
      <c r="C405">
        <v>5</v>
      </c>
      <c r="D405">
        <v>200</v>
      </c>
      <c r="E405">
        <v>10</v>
      </c>
      <c r="F405" t="s">
        <v>69</v>
      </c>
      <c r="G405" t="s">
        <v>70</v>
      </c>
      <c r="H405" s="2">
        <v>85</v>
      </c>
      <c r="I405" s="2">
        <v>85</v>
      </c>
      <c r="J405" s="2">
        <v>89</v>
      </c>
      <c r="K405" s="2">
        <v>90</v>
      </c>
      <c r="L405" s="2">
        <v>77</v>
      </c>
      <c r="M405" s="2">
        <f t="shared" si="78"/>
        <v>77</v>
      </c>
      <c r="N405" t="e">
        <f t="shared" ca="1" si="79"/>
        <v>#NAME?</v>
      </c>
      <c r="O405" t="str">
        <f t="shared" si="80"/>
        <v>MSIG Cost</v>
      </c>
      <c r="P405" s="2">
        <f t="shared" si="81"/>
        <v>10.38961038961039</v>
      </c>
      <c r="Q405" s="2">
        <f t="shared" si="82"/>
        <v>10.38961038961039</v>
      </c>
      <c r="R405" s="2">
        <f t="shared" si="83"/>
        <v>15.584415584415584</v>
      </c>
      <c r="S405" s="2">
        <f t="shared" si="84"/>
        <v>16.883116883116884</v>
      </c>
      <c r="T405" s="2">
        <f t="shared" si="85"/>
        <v>0</v>
      </c>
      <c r="U405" s="3" t="str">
        <f t="shared" si="86"/>
        <v/>
      </c>
      <c r="V405" s="3" t="str">
        <f t="shared" si="87"/>
        <v/>
      </c>
      <c r="W405" s="3" t="str">
        <f t="shared" si="88"/>
        <v/>
      </c>
      <c r="X405" s="3" t="str">
        <f t="shared" si="89"/>
        <v/>
      </c>
      <c r="Y405" s="3" t="str">
        <f t="shared" si="90"/>
        <v>YES</v>
      </c>
    </row>
    <row r="406" spans="1:25">
      <c r="A406" t="s">
        <v>475</v>
      </c>
      <c r="B406">
        <v>25</v>
      </c>
      <c r="C406">
        <v>5</v>
      </c>
      <c r="D406">
        <v>200</v>
      </c>
      <c r="E406">
        <v>1</v>
      </c>
      <c r="F406" t="s">
        <v>69</v>
      </c>
      <c r="G406" t="s">
        <v>70</v>
      </c>
      <c r="H406" s="2">
        <v>5</v>
      </c>
      <c r="I406" s="2">
        <v>5</v>
      </c>
      <c r="J406" s="2">
        <v>5</v>
      </c>
      <c r="K406" s="2">
        <v>6</v>
      </c>
      <c r="L406" s="2">
        <v>4</v>
      </c>
      <c r="M406" s="2">
        <f t="shared" si="78"/>
        <v>4</v>
      </c>
      <c r="N406" t="e">
        <f t="shared" ca="1" si="79"/>
        <v>#NAME?</v>
      </c>
      <c r="O406" t="str">
        <f t="shared" si="80"/>
        <v>MSIG Cost</v>
      </c>
      <c r="P406" s="2">
        <f t="shared" si="81"/>
        <v>25</v>
      </c>
      <c r="Q406" s="2">
        <f t="shared" si="82"/>
        <v>25</v>
      </c>
      <c r="R406" s="2">
        <f t="shared" si="83"/>
        <v>25</v>
      </c>
      <c r="S406" s="2">
        <f t="shared" si="84"/>
        <v>50</v>
      </c>
      <c r="T406" s="2">
        <f t="shared" si="85"/>
        <v>0</v>
      </c>
      <c r="U406" s="3" t="str">
        <f t="shared" si="86"/>
        <v/>
      </c>
      <c r="V406" s="3" t="str">
        <f t="shared" si="87"/>
        <v/>
      </c>
      <c r="W406" s="3" t="str">
        <f t="shared" si="88"/>
        <v/>
      </c>
      <c r="X406" s="3" t="str">
        <f t="shared" si="89"/>
        <v/>
      </c>
      <c r="Y406" s="3" t="str">
        <f t="shared" si="90"/>
        <v>YES</v>
      </c>
    </row>
    <row r="407" spans="1:25">
      <c r="A407" t="s">
        <v>476</v>
      </c>
      <c r="B407">
        <v>25</v>
      </c>
      <c r="C407">
        <v>5</v>
      </c>
      <c r="D407">
        <v>200</v>
      </c>
      <c r="E407">
        <v>1</v>
      </c>
      <c r="F407" t="s">
        <v>69</v>
      </c>
      <c r="G407" t="s">
        <v>70</v>
      </c>
      <c r="H407" s="2">
        <v>4</v>
      </c>
      <c r="I407" s="2">
        <v>4</v>
      </c>
      <c r="J407" s="2">
        <v>4</v>
      </c>
      <c r="K407" s="2">
        <v>6</v>
      </c>
      <c r="L407" s="2">
        <v>4</v>
      </c>
      <c r="M407" s="2">
        <f t="shared" si="78"/>
        <v>4</v>
      </c>
      <c r="N407" t="e">
        <f t="shared" ca="1" si="79"/>
        <v>#NAME?</v>
      </c>
      <c r="O407" t="str">
        <f t="shared" si="80"/>
        <v/>
      </c>
      <c r="P407" s="2">
        <f t="shared" si="81"/>
        <v>0</v>
      </c>
      <c r="Q407" s="2">
        <f t="shared" si="82"/>
        <v>0</v>
      </c>
      <c r="R407" s="2">
        <f t="shared" si="83"/>
        <v>0</v>
      </c>
      <c r="S407" s="2">
        <f t="shared" si="84"/>
        <v>50</v>
      </c>
      <c r="T407" s="2">
        <f t="shared" si="85"/>
        <v>0</v>
      </c>
      <c r="U407" s="3" t="str">
        <f t="shared" si="86"/>
        <v>YES</v>
      </c>
      <c r="V407" s="3" t="str">
        <f t="shared" si="87"/>
        <v>YES</v>
      </c>
      <c r="W407" s="3" t="str">
        <f t="shared" si="88"/>
        <v>YES</v>
      </c>
      <c r="X407" s="3" t="str">
        <f t="shared" si="89"/>
        <v/>
      </c>
      <c r="Y407" s="3" t="str">
        <f t="shared" si="90"/>
        <v>YES</v>
      </c>
    </row>
    <row r="408" spans="1:25">
      <c r="A408" t="s">
        <v>477</v>
      </c>
      <c r="B408">
        <v>25</v>
      </c>
      <c r="C408">
        <v>5</v>
      </c>
      <c r="D408">
        <v>200</v>
      </c>
      <c r="E408">
        <v>10</v>
      </c>
      <c r="F408" t="s">
        <v>69</v>
      </c>
      <c r="G408" t="s">
        <v>70</v>
      </c>
      <c r="H408" s="2">
        <v>85</v>
      </c>
      <c r="I408" s="2">
        <v>85</v>
      </c>
      <c r="J408" s="2">
        <v>88</v>
      </c>
      <c r="K408" s="2">
        <v>83</v>
      </c>
      <c r="L408" s="2">
        <v>72</v>
      </c>
      <c r="M408" s="2">
        <f t="shared" si="78"/>
        <v>72</v>
      </c>
      <c r="N408" t="e">
        <f t="shared" ca="1" si="79"/>
        <v>#NAME?</v>
      </c>
      <c r="O408" t="str">
        <f t="shared" si="80"/>
        <v>MSIG Cost</v>
      </c>
      <c r="P408" s="2">
        <f t="shared" si="81"/>
        <v>18.055555555555554</v>
      </c>
      <c r="Q408" s="2">
        <f t="shared" si="82"/>
        <v>18.055555555555554</v>
      </c>
      <c r="R408" s="2">
        <f t="shared" si="83"/>
        <v>22.222222222222221</v>
      </c>
      <c r="S408" s="2">
        <f t="shared" si="84"/>
        <v>15.277777777777779</v>
      </c>
      <c r="T408" s="2">
        <f t="shared" si="85"/>
        <v>0</v>
      </c>
      <c r="U408" s="3" t="str">
        <f t="shared" si="86"/>
        <v/>
      </c>
      <c r="V408" s="3" t="str">
        <f t="shared" si="87"/>
        <v/>
      </c>
      <c r="W408" s="3" t="str">
        <f t="shared" si="88"/>
        <v/>
      </c>
      <c r="X408" s="3" t="str">
        <f t="shared" si="89"/>
        <v/>
      </c>
      <c r="Y408" s="3" t="str">
        <f t="shared" si="90"/>
        <v>YES</v>
      </c>
    </row>
    <row r="409" spans="1:25">
      <c r="A409" t="s">
        <v>478</v>
      </c>
      <c r="B409">
        <v>25</v>
      </c>
      <c r="C409">
        <v>5</v>
      </c>
      <c r="D409">
        <v>200</v>
      </c>
      <c r="E409">
        <v>10</v>
      </c>
      <c r="F409" t="s">
        <v>69</v>
      </c>
      <c r="G409" t="s">
        <v>70</v>
      </c>
      <c r="H409" s="2">
        <v>80</v>
      </c>
      <c r="I409" s="2">
        <v>80</v>
      </c>
      <c r="J409" s="2">
        <v>74</v>
      </c>
      <c r="K409" s="2">
        <v>80</v>
      </c>
      <c r="L409" s="2">
        <v>69</v>
      </c>
      <c r="M409" s="2">
        <f t="shared" si="78"/>
        <v>69</v>
      </c>
      <c r="N409" t="e">
        <f t="shared" ca="1" si="79"/>
        <v>#NAME?</v>
      </c>
      <c r="O409" t="str">
        <f t="shared" si="80"/>
        <v>MSIG Cost</v>
      </c>
      <c r="P409" s="2">
        <f t="shared" si="81"/>
        <v>15.942028985507244</v>
      </c>
      <c r="Q409" s="2">
        <f t="shared" si="82"/>
        <v>15.942028985507244</v>
      </c>
      <c r="R409" s="2">
        <f t="shared" si="83"/>
        <v>7.2463768115942031</v>
      </c>
      <c r="S409" s="2">
        <f t="shared" si="84"/>
        <v>15.942028985507244</v>
      </c>
      <c r="T409" s="2">
        <f t="shared" si="85"/>
        <v>0</v>
      </c>
      <c r="U409" s="3" t="str">
        <f t="shared" si="86"/>
        <v/>
      </c>
      <c r="V409" s="3" t="str">
        <f t="shared" si="87"/>
        <v/>
      </c>
      <c r="W409" s="3" t="str">
        <f t="shared" si="88"/>
        <v/>
      </c>
      <c r="X409" s="3" t="str">
        <f t="shared" si="89"/>
        <v/>
      </c>
      <c r="Y409" s="3" t="str">
        <f t="shared" si="90"/>
        <v>YES</v>
      </c>
    </row>
    <row r="410" spans="1:25">
      <c r="A410" t="s">
        <v>479</v>
      </c>
      <c r="B410">
        <v>25</v>
      </c>
      <c r="C410">
        <v>5</v>
      </c>
      <c r="D410">
        <v>200</v>
      </c>
      <c r="E410">
        <v>1</v>
      </c>
      <c r="F410" t="s">
        <v>69</v>
      </c>
      <c r="G410" t="s">
        <v>70</v>
      </c>
      <c r="H410" s="2">
        <v>10</v>
      </c>
      <c r="I410" s="2">
        <v>10</v>
      </c>
      <c r="J410" s="2">
        <v>10</v>
      </c>
      <c r="K410" s="2">
        <v>10</v>
      </c>
      <c r="L410" s="2">
        <v>9</v>
      </c>
      <c r="M410" s="2">
        <f t="shared" si="78"/>
        <v>9</v>
      </c>
      <c r="N410" t="e">
        <f t="shared" ca="1" si="79"/>
        <v>#NAME?</v>
      </c>
      <c r="O410" t="str">
        <f t="shared" si="80"/>
        <v>MSIG Cost</v>
      </c>
      <c r="P410" s="2">
        <f t="shared" si="81"/>
        <v>11.111111111111111</v>
      </c>
      <c r="Q410" s="2">
        <f t="shared" si="82"/>
        <v>11.111111111111111</v>
      </c>
      <c r="R410" s="2">
        <f t="shared" si="83"/>
        <v>11.111111111111111</v>
      </c>
      <c r="S410" s="2">
        <f t="shared" si="84"/>
        <v>11.111111111111111</v>
      </c>
      <c r="T410" s="2">
        <f t="shared" si="85"/>
        <v>0</v>
      </c>
      <c r="U410" s="3" t="str">
        <f t="shared" si="86"/>
        <v/>
      </c>
      <c r="V410" s="3" t="str">
        <f t="shared" si="87"/>
        <v/>
      </c>
      <c r="W410" s="3" t="str">
        <f t="shared" si="88"/>
        <v/>
      </c>
      <c r="X410" s="3" t="str">
        <f t="shared" si="89"/>
        <v/>
      </c>
      <c r="Y410" s="3" t="str">
        <f t="shared" si="90"/>
        <v>YES</v>
      </c>
    </row>
    <row r="411" spans="1:25">
      <c r="A411" t="s">
        <v>480</v>
      </c>
      <c r="B411">
        <v>25</v>
      </c>
      <c r="C411">
        <v>5</v>
      </c>
      <c r="D411">
        <v>200</v>
      </c>
      <c r="E411">
        <v>1</v>
      </c>
      <c r="F411" t="s">
        <v>69</v>
      </c>
      <c r="G411" t="s">
        <v>70</v>
      </c>
      <c r="H411" s="2">
        <v>9</v>
      </c>
      <c r="I411" s="2">
        <v>9</v>
      </c>
      <c r="J411" s="2">
        <v>9</v>
      </c>
      <c r="K411" s="2">
        <v>10</v>
      </c>
      <c r="L411" s="2">
        <v>8</v>
      </c>
      <c r="M411" s="2">
        <f t="shared" si="78"/>
        <v>8</v>
      </c>
      <c r="N411" t="e">
        <f t="shared" ca="1" si="79"/>
        <v>#NAME?</v>
      </c>
      <c r="O411" t="str">
        <f t="shared" si="80"/>
        <v>MSIG Cost</v>
      </c>
      <c r="P411" s="2">
        <f t="shared" si="81"/>
        <v>12.5</v>
      </c>
      <c r="Q411" s="2">
        <f t="shared" si="82"/>
        <v>12.5</v>
      </c>
      <c r="R411" s="2">
        <f t="shared" si="83"/>
        <v>12.5</v>
      </c>
      <c r="S411" s="2">
        <f t="shared" si="84"/>
        <v>25</v>
      </c>
      <c r="T411" s="2">
        <f t="shared" si="85"/>
        <v>0</v>
      </c>
      <c r="U411" s="3" t="str">
        <f t="shared" si="86"/>
        <v/>
      </c>
      <c r="V411" s="3" t="str">
        <f t="shared" si="87"/>
        <v/>
      </c>
      <c r="W411" s="3" t="str">
        <f t="shared" si="88"/>
        <v/>
      </c>
      <c r="X411" s="3" t="str">
        <f t="shared" si="89"/>
        <v/>
      </c>
      <c r="Y411" s="3" t="str">
        <f t="shared" si="90"/>
        <v>YES</v>
      </c>
    </row>
    <row r="412" spans="1:25">
      <c r="A412" t="s">
        <v>481</v>
      </c>
      <c r="B412">
        <v>25</v>
      </c>
      <c r="C412">
        <v>5</v>
      </c>
      <c r="D412">
        <v>200</v>
      </c>
      <c r="E412">
        <v>10</v>
      </c>
      <c r="F412" t="s">
        <v>69</v>
      </c>
      <c r="G412" t="s">
        <v>70</v>
      </c>
      <c r="H412" s="2">
        <v>180</v>
      </c>
      <c r="I412" s="2">
        <v>175</v>
      </c>
      <c r="J412" s="2">
        <v>172</v>
      </c>
      <c r="K412" s="2">
        <v>147</v>
      </c>
      <c r="L412" s="2">
        <v>133</v>
      </c>
      <c r="M412" s="2">
        <f t="shared" si="78"/>
        <v>133</v>
      </c>
      <c r="N412" t="e">
        <f t="shared" ca="1" si="79"/>
        <v>#NAME?</v>
      </c>
      <c r="O412" t="str">
        <f t="shared" si="80"/>
        <v>MSIG Cost</v>
      </c>
      <c r="P412" s="2">
        <f t="shared" si="81"/>
        <v>35.338345864661655</v>
      </c>
      <c r="Q412" s="2">
        <f t="shared" si="82"/>
        <v>31.578947368421051</v>
      </c>
      <c r="R412" s="2">
        <f t="shared" si="83"/>
        <v>29.323308270676691</v>
      </c>
      <c r="S412" s="2">
        <f t="shared" si="84"/>
        <v>10.526315789473683</v>
      </c>
      <c r="T412" s="2">
        <f t="shared" si="85"/>
        <v>0</v>
      </c>
      <c r="U412" s="3" t="str">
        <f t="shared" si="86"/>
        <v/>
      </c>
      <c r="V412" s="3" t="str">
        <f t="shared" si="87"/>
        <v/>
      </c>
      <c r="W412" s="3" t="str">
        <f t="shared" si="88"/>
        <v/>
      </c>
      <c r="X412" s="3" t="str">
        <f t="shared" si="89"/>
        <v/>
      </c>
      <c r="Y412" s="3" t="str">
        <f t="shared" si="90"/>
        <v>YES</v>
      </c>
    </row>
    <row r="413" spans="1:25">
      <c r="A413" t="s">
        <v>482</v>
      </c>
      <c r="B413">
        <v>25</v>
      </c>
      <c r="C413">
        <v>5</v>
      </c>
      <c r="D413">
        <v>200</v>
      </c>
      <c r="E413">
        <v>10</v>
      </c>
      <c r="F413" t="s">
        <v>69</v>
      </c>
      <c r="G413" t="s">
        <v>70</v>
      </c>
      <c r="H413" s="2">
        <v>135</v>
      </c>
      <c r="I413" s="2">
        <v>137</v>
      </c>
      <c r="J413" s="2">
        <v>133</v>
      </c>
      <c r="K413" s="2">
        <v>135</v>
      </c>
      <c r="L413" s="2">
        <v>114</v>
      </c>
      <c r="M413" s="2">
        <f t="shared" si="78"/>
        <v>114</v>
      </c>
      <c r="N413" t="e">
        <f t="shared" ca="1" si="79"/>
        <v>#NAME?</v>
      </c>
      <c r="O413" t="str">
        <f t="shared" si="80"/>
        <v>MSIG Cost</v>
      </c>
      <c r="P413" s="2">
        <f t="shared" si="81"/>
        <v>18.421052631578945</v>
      </c>
      <c r="Q413" s="2">
        <f t="shared" si="82"/>
        <v>20.175438596491226</v>
      </c>
      <c r="R413" s="2">
        <f t="shared" si="83"/>
        <v>16.666666666666664</v>
      </c>
      <c r="S413" s="2">
        <f t="shared" si="84"/>
        <v>18.421052631578945</v>
      </c>
      <c r="T413" s="2">
        <f t="shared" si="85"/>
        <v>0</v>
      </c>
      <c r="U413" s="3" t="str">
        <f t="shared" si="86"/>
        <v/>
      </c>
      <c r="V413" s="3" t="str">
        <f t="shared" si="87"/>
        <v/>
      </c>
      <c r="W413" s="3" t="str">
        <f t="shared" si="88"/>
        <v/>
      </c>
      <c r="X413" s="3" t="str">
        <f t="shared" si="89"/>
        <v/>
      </c>
      <c r="Y413" s="3" t="str">
        <f t="shared" si="90"/>
        <v>YES</v>
      </c>
    </row>
    <row r="414" spans="1:25">
      <c r="A414" t="s">
        <v>483</v>
      </c>
      <c r="B414">
        <v>25</v>
      </c>
      <c r="C414">
        <v>5</v>
      </c>
      <c r="D414">
        <v>200</v>
      </c>
      <c r="E414">
        <v>1</v>
      </c>
      <c r="F414" t="s">
        <v>69</v>
      </c>
      <c r="G414" t="s">
        <v>70</v>
      </c>
      <c r="H414" s="2">
        <v>8</v>
      </c>
      <c r="I414" s="2">
        <v>8</v>
      </c>
      <c r="J414" s="2">
        <v>8</v>
      </c>
      <c r="K414" s="2">
        <v>9</v>
      </c>
      <c r="L414" s="2">
        <v>8</v>
      </c>
      <c r="M414" s="2">
        <f t="shared" si="78"/>
        <v>8</v>
      </c>
      <c r="N414" t="e">
        <f t="shared" ca="1" si="79"/>
        <v>#NAME?</v>
      </c>
      <c r="O414" t="str">
        <f t="shared" si="80"/>
        <v/>
      </c>
      <c r="P414" s="2">
        <f t="shared" si="81"/>
        <v>0</v>
      </c>
      <c r="Q414" s="2">
        <f t="shared" si="82"/>
        <v>0</v>
      </c>
      <c r="R414" s="2">
        <f t="shared" si="83"/>
        <v>0</v>
      </c>
      <c r="S414" s="2">
        <f t="shared" si="84"/>
        <v>12.5</v>
      </c>
      <c r="T414" s="2">
        <f t="shared" si="85"/>
        <v>0</v>
      </c>
      <c r="U414" s="3" t="str">
        <f t="shared" si="86"/>
        <v>YES</v>
      </c>
      <c r="V414" s="3" t="str">
        <f t="shared" si="87"/>
        <v>YES</v>
      </c>
      <c r="W414" s="3" t="str">
        <f t="shared" si="88"/>
        <v>YES</v>
      </c>
      <c r="X414" s="3" t="str">
        <f t="shared" si="89"/>
        <v/>
      </c>
      <c r="Y414" s="3" t="str">
        <f t="shared" si="90"/>
        <v>YES</v>
      </c>
    </row>
    <row r="415" spans="1:25">
      <c r="A415" t="s">
        <v>484</v>
      </c>
      <c r="B415">
        <v>25</v>
      </c>
      <c r="C415">
        <v>5</v>
      </c>
      <c r="D415">
        <v>200</v>
      </c>
      <c r="E415">
        <v>1</v>
      </c>
      <c r="F415" t="s">
        <v>69</v>
      </c>
      <c r="G415" t="s">
        <v>70</v>
      </c>
      <c r="H415" s="2">
        <v>7</v>
      </c>
      <c r="I415" s="2">
        <v>7</v>
      </c>
      <c r="J415" s="2">
        <v>8</v>
      </c>
      <c r="K415" s="2">
        <v>8</v>
      </c>
      <c r="L415" s="2">
        <v>7</v>
      </c>
      <c r="M415" s="2">
        <f t="shared" si="78"/>
        <v>7</v>
      </c>
      <c r="N415" t="e">
        <f t="shared" ca="1" si="79"/>
        <v>#NAME?</v>
      </c>
      <c r="O415" t="str">
        <f t="shared" si="80"/>
        <v/>
      </c>
      <c r="P415" s="2">
        <f t="shared" si="81"/>
        <v>0</v>
      </c>
      <c r="Q415" s="2">
        <f t="shared" si="82"/>
        <v>0</v>
      </c>
      <c r="R415" s="2">
        <f t="shared" si="83"/>
        <v>14.285714285714285</v>
      </c>
      <c r="S415" s="2">
        <f t="shared" si="84"/>
        <v>14.285714285714285</v>
      </c>
      <c r="T415" s="2">
        <f t="shared" si="85"/>
        <v>0</v>
      </c>
      <c r="U415" s="3" t="str">
        <f t="shared" si="86"/>
        <v>YES</v>
      </c>
      <c r="V415" s="3" t="str">
        <f t="shared" si="87"/>
        <v>YES</v>
      </c>
      <c r="W415" s="3" t="str">
        <f t="shared" si="88"/>
        <v/>
      </c>
      <c r="X415" s="3" t="str">
        <f t="shared" si="89"/>
        <v/>
      </c>
      <c r="Y415" s="3" t="str">
        <f t="shared" si="90"/>
        <v>YES</v>
      </c>
    </row>
    <row r="416" spans="1:25">
      <c r="A416" t="s">
        <v>485</v>
      </c>
      <c r="B416">
        <v>25</v>
      </c>
      <c r="C416">
        <v>5</v>
      </c>
      <c r="D416">
        <v>200</v>
      </c>
      <c r="E416">
        <v>10</v>
      </c>
      <c r="F416" t="s">
        <v>69</v>
      </c>
      <c r="G416" t="s">
        <v>70</v>
      </c>
      <c r="H416" s="2">
        <v>144</v>
      </c>
      <c r="I416" s="2">
        <v>143</v>
      </c>
      <c r="J416" s="2">
        <v>145</v>
      </c>
      <c r="K416" s="2">
        <v>132</v>
      </c>
      <c r="L416" s="2">
        <v>116</v>
      </c>
      <c r="M416" s="2">
        <f t="shared" si="78"/>
        <v>116</v>
      </c>
      <c r="N416" t="e">
        <f t="shared" ca="1" si="79"/>
        <v>#NAME?</v>
      </c>
      <c r="O416" t="str">
        <f t="shared" si="80"/>
        <v>MSIG Cost</v>
      </c>
      <c r="P416" s="2">
        <f t="shared" si="81"/>
        <v>24.137931034482758</v>
      </c>
      <c r="Q416" s="2">
        <f t="shared" si="82"/>
        <v>23.275862068965516</v>
      </c>
      <c r="R416" s="2">
        <f t="shared" si="83"/>
        <v>25</v>
      </c>
      <c r="S416" s="2">
        <f t="shared" si="84"/>
        <v>13.793103448275861</v>
      </c>
      <c r="T416" s="2">
        <f t="shared" si="85"/>
        <v>0</v>
      </c>
      <c r="U416" s="3" t="str">
        <f t="shared" si="86"/>
        <v/>
      </c>
      <c r="V416" s="3" t="str">
        <f t="shared" si="87"/>
        <v/>
      </c>
      <c r="W416" s="3" t="str">
        <f t="shared" si="88"/>
        <v/>
      </c>
      <c r="X416" s="3" t="str">
        <f t="shared" si="89"/>
        <v/>
      </c>
      <c r="Y416" s="3" t="str">
        <f t="shared" si="90"/>
        <v>YES</v>
      </c>
    </row>
    <row r="417" spans="1:25">
      <c r="A417" t="s">
        <v>486</v>
      </c>
      <c r="B417">
        <v>25</v>
      </c>
      <c r="C417">
        <v>5</v>
      </c>
      <c r="D417">
        <v>200</v>
      </c>
      <c r="E417">
        <v>10</v>
      </c>
      <c r="F417" t="s">
        <v>69</v>
      </c>
      <c r="G417" t="s">
        <v>70</v>
      </c>
      <c r="H417" s="2">
        <v>116</v>
      </c>
      <c r="I417" s="2">
        <v>130</v>
      </c>
      <c r="J417" s="2">
        <v>113</v>
      </c>
      <c r="K417" s="2">
        <v>110</v>
      </c>
      <c r="L417" s="2">
        <v>94</v>
      </c>
      <c r="M417" s="2">
        <f t="shared" si="78"/>
        <v>94</v>
      </c>
      <c r="N417" t="e">
        <f t="shared" ca="1" si="79"/>
        <v>#NAME?</v>
      </c>
      <c r="O417" t="str">
        <f t="shared" si="80"/>
        <v>MSIG Cost</v>
      </c>
      <c r="P417" s="2">
        <f t="shared" si="81"/>
        <v>23.404255319148938</v>
      </c>
      <c r="Q417" s="2">
        <f t="shared" si="82"/>
        <v>38.297872340425535</v>
      </c>
      <c r="R417" s="2">
        <f t="shared" si="83"/>
        <v>20.212765957446805</v>
      </c>
      <c r="S417" s="2">
        <f t="shared" si="84"/>
        <v>17.021276595744681</v>
      </c>
      <c r="T417" s="2">
        <f t="shared" si="85"/>
        <v>0</v>
      </c>
      <c r="U417" s="3" t="str">
        <f t="shared" si="86"/>
        <v/>
      </c>
      <c r="V417" s="3" t="str">
        <f t="shared" si="87"/>
        <v/>
      </c>
      <c r="W417" s="3" t="str">
        <f t="shared" si="88"/>
        <v/>
      </c>
      <c r="X417" s="3" t="str">
        <f t="shared" si="89"/>
        <v/>
      </c>
      <c r="Y417" s="3" t="str">
        <f t="shared" si="90"/>
        <v>YES</v>
      </c>
    </row>
    <row r="418" spans="1:25">
      <c r="A418" t="s">
        <v>487</v>
      </c>
      <c r="B418">
        <v>50</v>
      </c>
      <c r="C418">
        <v>10</v>
      </c>
      <c r="D418">
        <v>200</v>
      </c>
      <c r="E418">
        <v>1</v>
      </c>
      <c r="F418" t="s">
        <v>69</v>
      </c>
      <c r="G418" t="s">
        <v>70</v>
      </c>
      <c r="H418" s="2">
        <v>11</v>
      </c>
      <c r="I418" s="2">
        <v>11</v>
      </c>
      <c r="J418" s="2">
        <v>11</v>
      </c>
      <c r="K418" s="2">
        <v>11</v>
      </c>
      <c r="L418" s="2">
        <v>10</v>
      </c>
      <c r="M418" s="2">
        <f t="shared" si="78"/>
        <v>10</v>
      </c>
      <c r="N418" t="e">
        <f t="shared" ca="1" si="79"/>
        <v>#NAME?</v>
      </c>
      <c r="O418" t="str">
        <f t="shared" si="80"/>
        <v>MSIG Cost</v>
      </c>
      <c r="P418" s="2">
        <f t="shared" si="81"/>
        <v>10</v>
      </c>
      <c r="Q418" s="2">
        <f t="shared" si="82"/>
        <v>10</v>
      </c>
      <c r="R418" s="2">
        <f t="shared" si="83"/>
        <v>10</v>
      </c>
      <c r="S418" s="2">
        <f t="shared" si="84"/>
        <v>10</v>
      </c>
      <c r="T418" s="2">
        <f t="shared" si="85"/>
        <v>0</v>
      </c>
      <c r="U418" s="3" t="str">
        <f t="shared" si="86"/>
        <v/>
      </c>
      <c r="V418" s="3" t="str">
        <f t="shared" si="87"/>
        <v/>
      </c>
      <c r="W418" s="3" t="str">
        <f t="shared" si="88"/>
        <v/>
      </c>
      <c r="X418" s="3" t="str">
        <f t="shared" si="89"/>
        <v/>
      </c>
      <c r="Y418" s="3" t="str">
        <f t="shared" si="90"/>
        <v>YES</v>
      </c>
    </row>
    <row r="419" spans="1:25">
      <c r="A419" t="s">
        <v>488</v>
      </c>
      <c r="B419">
        <v>50</v>
      </c>
      <c r="C419">
        <v>10</v>
      </c>
      <c r="D419">
        <v>200</v>
      </c>
      <c r="E419">
        <v>1</v>
      </c>
      <c r="F419" t="s">
        <v>69</v>
      </c>
      <c r="G419" t="s">
        <v>70</v>
      </c>
      <c r="H419" s="2">
        <v>12</v>
      </c>
      <c r="I419" s="2">
        <v>12</v>
      </c>
      <c r="J419" s="2">
        <v>11</v>
      </c>
      <c r="K419" s="2">
        <v>10</v>
      </c>
      <c r="L419" s="2">
        <v>10</v>
      </c>
      <c r="M419" s="2">
        <f t="shared" si="78"/>
        <v>10</v>
      </c>
      <c r="N419" t="e">
        <f t="shared" ca="1" si="79"/>
        <v>#NAME?</v>
      </c>
      <c r="O419" t="str">
        <f t="shared" si="80"/>
        <v/>
      </c>
      <c r="P419" s="2">
        <f t="shared" si="81"/>
        <v>20</v>
      </c>
      <c r="Q419" s="2">
        <f t="shared" si="82"/>
        <v>20</v>
      </c>
      <c r="R419" s="2">
        <f t="shared" si="83"/>
        <v>10</v>
      </c>
      <c r="S419" s="2">
        <f t="shared" si="84"/>
        <v>0</v>
      </c>
      <c r="T419" s="2">
        <f t="shared" si="85"/>
        <v>0</v>
      </c>
      <c r="U419" s="3" t="str">
        <f t="shared" si="86"/>
        <v/>
      </c>
      <c r="V419" s="3" t="str">
        <f t="shared" si="87"/>
        <v/>
      </c>
      <c r="W419" s="3" t="str">
        <f t="shared" si="88"/>
        <v/>
      </c>
      <c r="X419" s="3" t="str">
        <f t="shared" si="89"/>
        <v>YES</v>
      </c>
      <c r="Y419" s="3" t="str">
        <f t="shared" si="90"/>
        <v>YES</v>
      </c>
    </row>
    <row r="420" spans="1:25">
      <c r="A420" t="s">
        <v>489</v>
      </c>
      <c r="B420">
        <v>50</v>
      </c>
      <c r="C420">
        <v>10</v>
      </c>
      <c r="D420">
        <v>200</v>
      </c>
      <c r="E420">
        <v>10</v>
      </c>
      <c r="F420" t="s">
        <v>69</v>
      </c>
      <c r="G420" t="s">
        <v>70</v>
      </c>
      <c r="H420" s="2">
        <v>219</v>
      </c>
      <c r="I420" s="2">
        <v>210</v>
      </c>
      <c r="J420" s="2">
        <v>223</v>
      </c>
      <c r="K420" s="2">
        <v>181</v>
      </c>
      <c r="L420" s="2">
        <v>139</v>
      </c>
      <c r="M420" s="2">
        <f t="shared" si="78"/>
        <v>139</v>
      </c>
      <c r="N420" t="e">
        <f t="shared" ca="1" si="79"/>
        <v>#NAME?</v>
      </c>
      <c r="O420" t="str">
        <f t="shared" si="80"/>
        <v>MSIG Cost</v>
      </c>
      <c r="P420" s="2">
        <f t="shared" si="81"/>
        <v>57.553956834532372</v>
      </c>
      <c r="Q420" s="2">
        <f t="shared" si="82"/>
        <v>51.079136690647488</v>
      </c>
      <c r="R420" s="2">
        <f t="shared" si="83"/>
        <v>60.431654676258994</v>
      </c>
      <c r="S420" s="2">
        <f t="shared" si="84"/>
        <v>30.215827338129497</v>
      </c>
      <c r="T420" s="2">
        <f t="shared" si="85"/>
        <v>0</v>
      </c>
      <c r="U420" s="3" t="str">
        <f t="shared" si="86"/>
        <v/>
      </c>
      <c r="V420" s="3" t="str">
        <f t="shared" si="87"/>
        <v/>
      </c>
      <c r="W420" s="3" t="str">
        <f t="shared" si="88"/>
        <v/>
      </c>
      <c r="X420" s="3" t="str">
        <f t="shared" si="89"/>
        <v/>
      </c>
      <c r="Y420" s="3" t="str">
        <f t="shared" si="90"/>
        <v>YES</v>
      </c>
    </row>
    <row r="421" spans="1:25">
      <c r="A421" t="s">
        <v>490</v>
      </c>
      <c r="B421">
        <v>50</v>
      </c>
      <c r="C421">
        <v>10</v>
      </c>
      <c r="D421">
        <v>200</v>
      </c>
      <c r="E421">
        <v>10</v>
      </c>
      <c r="F421" t="s">
        <v>69</v>
      </c>
      <c r="G421" t="s">
        <v>70</v>
      </c>
      <c r="H421" s="2">
        <v>217</v>
      </c>
      <c r="I421" s="2">
        <v>217</v>
      </c>
      <c r="J421" s="2">
        <v>218</v>
      </c>
      <c r="K421" s="2">
        <v>184</v>
      </c>
      <c r="L421" s="2">
        <v>149</v>
      </c>
      <c r="M421" s="2">
        <f t="shared" si="78"/>
        <v>149</v>
      </c>
      <c r="N421" t="e">
        <f t="shared" ca="1" si="79"/>
        <v>#NAME?</v>
      </c>
      <c r="O421" t="str">
        <f t="shared" si="80"/>
        <v>MSIG Cost</v>
      </c>
      <c r="P421" s="2">
        <f t="shared" si="81"/>
        <v>45.63758389261745</v>
      </c>
      <c r="Q421" s="2">
        <f t="shared" si="82"/>
        <v>45.63758389261745</v>
      </c>
      <c r="R421" s="2">
        <f t="shared" si="83"/>
        <v>46.308724832214764</v>
      </c>
      <c r="S421" s="2">
        <f t="shared" si="84"/>
        <v>23.48993288590604</v>
      </c>
      <c r="T421" s="2">
        <f t="shared" si="85"/>
        <v>0</v>
      </c>
      <c r="U421" s="3" t="str">
        <f t="shared" si="86"/>
        <v/>
      </c>
      <c r="V421" s="3" t="str">
        <f t="shared" si="87"/>
        <v/>
      </c>
      <c r="W421" s="3" t="str">
        <f t="shared" si="88"/>
        <v/>
      </c>
      <c r="X421" s="3" t="str">
        <f t="shared" si="89"/>
        <v/>
      </c>
      <c r="Y421" s="3" t="str">
        <f t="shared" si="90"/>
        <v>YES</v>
      </c>
    </row>
    <row r="422" spans="1:25">
      <c r="A422" t="s">
        <v>491</v>
      </c>
      <c r="B422">
        <v>50</v>
      </c>
      <c r="C422">
        <v>10</v>
      </c>
      <c r="D422">
        <v>200</v>
      </c>
      <c r="E422">
        <v>1</v>
      </c>
      <c r="F422" t="s">
        <v>69</v>
      </c>
      <c r="G422" t="s">
        <v>70</v>
      </c>
      <c r="H422" s="2">
        <v>9</v>
      </c>
      <c r="I422" s="2">
        <v>9</v>
      </c>
      <c r="J422" s="2">
        <v>9</v>
      </c>
      <c r="K422" s="2">
        <v>10</v>
      </c>
      <c r="L422" s="2">
        <v>8</v>
      </c>
      <c r="M422" s="2">
        <f t="shared" si="78"/>
        <v>8</v>
      </c>
      <c r="N422" t="e">
        <f t="shared" ca="1" si="79"/>
        <v>#NAME?</v>
      </c>
      <c r="O422" t="str">
        <f t="shared" si="80"/>
        <v>MSIG Cost</v>
      </c>
      <c r="P422" s="2">
        <f t="shared" si="81"/>
        <v>12.5</v>
      </c>
      <c r="Q422" s="2">
        <f t="shared" si="82"/>
        <v>12.5</v>
      </c>
      <c r="R422" s="2">
        <f t="shared" si="83"/>
        <v>12.5</v>
      </c>
      <c r="S422" s="2">
        <f t="shared" si="84"/>
        <v>25</v>
      </c>
      <c r="T422" s="2">
        <f t="shared" si="85"/>
        <v>0</v>
      </c>
      <c r="U422" s="3" t="str">
        <f t="shared" si="86"/>
        <v/>
      </c>
      <c r="V422" s="3" t="str">
        <f t="shared" si="87"/>
        <v/>
      </c>
      <c r="W422" s="3" t="str">
        <f t="shared" si="88"/>
        <v/>
      </c>
      <c r="X422" s="3" t="str">
        <f t="shared" si="89"/>
        <v/>
      </c>
      <c r="Y422" s="3" t="str">
        <f t="shared" si="90"/>
        <v>YES</v>
      </c>
    </row>
    <row r="423" spans="1:25">
      <c r="A423" t="s">
        <v>492</v>
      </c>
      <c r="B423">
        <v>50</v>
      </c>
      <c r="C423">
        <v>10</v>
      </c>
      <c r="D423">
        <v>200</v>
      </c>
      <c r="E423">
        <v>1</v>
      </c>
      <c r="F423" t="s">
        <v>69</v>
      </c>
      <c r="G423" t="s">
        <v>70</v>
      </c>
      <c r="H423" s="2">
        <v>8</v>
      </c>
      <c r="I423" s="2">
        <v>8</v>
      </c>
      <c r="J423" s="2">
        <v>8</v>
      </c>
      <c r="K423" s="2">
        <v>10</v>
      </c>
      <c r="L423" s="2">
        <v>8</v>
      </c>
      <c r="M423" s="2">
        <f t="shared" si="78"/>
        <v>8</v>
      </c>
      <c r="N423" t="e">
        <f t="shared" ca="1" si="79"/>
        <v>#NAME?</v>
      </c>
      <c r="O423" t="str">
        <f t="shared" si="80"/>
        <v/>
      </c>
      <c r="P423" s="2">
        <f t="shared" si="81"/>
        <v>0</v>
      </c>
      <c r="Q423" s="2">
        <f t="shared" si="82"/>
        <v>0</v>
      </c>
      <c r="R423" s="2">
        <f t="shared" si="83"/>
        <v>0</v>
      </c>
      <c r="S423" s="2">
        <f t="shared" si="84"/>
        <v>25</v>
      </c>
      <c r="T423" s="2">
        <f t="shared" si="85"/>
        <v>0</v>
      </c>
      <c r="U423" s="3" t="str">
        <f t="shared" si="86"/>
        <v>YES</v>
      </c>
      <c r="V423" s="3" t="str">
        <f t="shared" si="87"/>
        <v>YES</v>
      </c>
      <c r="W423" s="3" t="str">
        <f t="shared" si="88"/>
        <v>YES</v>
      </c>
      <c r="X423" s="3" t="str">
        <f t="shared" si="89"/>
        <v/>
      </c>
      <c r="Y423" s="3" t="str">
        <f t="shared" si="90"/>
        <v>YES</v>
      </c>
    </row>
    <row r="424" spans="1:25">
      <c r="A424" t="s">
        <v>493</v>
      </c>
      <c r="B424">
        <v>50</v>
      </c>
      <c r="C424">
        <v>10</v>
      </c>
      <c r="D424">
        <v>200</v>
      </c>
      <c r="E424">
        <v>10</v>
      </c>
      <c r="F424" t="s">
        <v>69</v>
      </c>
      <c r="G424" t="s">
        <v>70</v>
      </c>
      <c r="H424" s="2">
        <v>182</v>
      </c>
      <c r="I424" s="2">
        <v>181</v>
      </c>
      <c r="J424" s="2">
        <v>199</v>
      </c>
      <c r="K424" s="2">
        <v>161</v>
      </c>
      <c r="L424" s="2">
        <v>135</v>
      </c>
      <c r="M424" s="2">
        <f t="shared" si="78"/>
        <v>135</v>
      </c>
      <c r="N424" t="e">
        <f t="shared" ca="1" si="79"/>
        <v>#NAME?</v>
      </c>
      <c r="O424" t="str">
        <f t="shared" si="80"/>
        <v>MSIG Cost</v>
      </c>
      <c r="P424" s="2">
        <f t="shared" si="81"/>
        <v>34.814814814814817</v>
      </c>
      <c r="Q424" s="2">
        <f t="shared" si="82"/>
        <v>34.074074074074076</v>
      </c>
      <c r="R424" s="2">
        <f t="shared" si="83"/>
        <v>47.407407407407412</v>
      </c>
      <c r="S424" s="2">
        <f t="shared" si="84"/>
        <v>19.25925925925926</v>
      </c>
      <c r="T424" s="2">
        <f t="shared" si="85"/>
        <v>0</v>
      </c>
      <c r="U424" s="3" t="str">
        <f t="shared" si="86"/>
        <v/>
      </c>
      <c r="V424" s="3" t="str">
        <f t="shared" si="87"/>
        <v/>
      </c>
      <c r="W424" s="3" t="str">
        <f t="shared" si="88"/>
        <v/>
      </c>
      <c r="X424" s="3" t="str">
        <f t="shared" si="89"/>
        <v/>
      </c>
      <c r="Y424" s="3" t="str">
        <f t="shared" si="90"/>
        <v>YES</v>
      </c>
    </row>
    <row r="425" spans="1:25">
      <c r="A425" t="s">
        <v>494</v>
      </c>
      <c r="B425">
        <v>50</v>
      </c>
      <c r="C425">
        <v>10</v>
      </c>
      <c r="D425">
        <v>200</v>
      </c>
      <c r="E425">
        <v>10</v>
      </c>
      <c r="F425" t="s">
        <v>69</v>
      </c>
      <c r="G425" t="s">
        <v>70</v>
      </c>
      <c r="H425" s="2">
        <v>193</v>
      </c>
      <c r="I425" s="2">
        <v>193</v>
      </c>
      <c r="J425" s="2">
        <v>207</v>
      </c>
      <c r="K425" s="2">
        <v>184</v>
      </c>
      <c r="L425" s="2">
        <v>142</v>
      </c>
      <c r="M425" s="2">
        <f t="shared" si="78"/>
        <v>142</v>
      </c>
      <c r="N425" t="e">
        <f t="shared" ca="1" si="79"/>
        <v>#NAME?</v>
      </c>
      <c r="O425" t="str">
        <f t="shared" si="80"/>
        <v>MSIG Cost</v>
      </c>
      <c r="P425" s="2">
        <f t="shared" si="81"/>
        <v>35.91549295774648</v>
      </c>
      <c r="Q425" s="2">
        <f t="shared" si="82"/>
        <v>35.91549295774648</v>
      </c>
      <c r="R425" s="2">
        <f t="shared" si="83"/>
        <v>45.774647887323944</v>
      </c>
      <c r="S425" s="2">
        <f t="shared" si="84"/>
        <v>29.577464788732392</v>
      </c>
      <c r="T425" s="2">
        <f t="shared" si="85"/>
        <v>0</v>
      </c>
      <c r="U425" s="3" t="str">
        <f t="shared" si="86"/>
        <v/>
      </c>
      <c r="V425" s="3" t="str">
        <f t="shared" si="87"/>
        <v/>
      </c>
      <c r="W425" s="3" t="str">
        <f t="shared" si="88"/>
        <v/>
      </c>
      <c r="X425" s="3" t="str">
        <f t="shared" si="89"/>
        <v/>
      </c>
      <c r="Y425" s="3" t="str">
        <f t="shared" si="90"/>
        <v>YES</v>
      </c>
    </row>
    <row r="426" spans="1:25">
      <c r="A426" t="s">
        <v>495</v>
      </c>
      <c r="B426">
        <v>50</v>
      </c>
      <c r="C426">
        <v>10</v>
      </c>
      <c r="D426">
        <v>200</v>
      </c>
      <c r="E426">
        <v>1</v>
      </c>
      <c r="F426" t="s">
        <v>69</v>
      </c>
      <c r="G426" t="s">
        <v>70</v>
      </c>
      <c r="H426" s="2">
        <v>20</v>
      </c>
      <c r="I426" s="2">
        <v>20</v>
      </c>
      <c r="J426" s="2">
        <v>21</v>
      </c>
      <c r="K426" s="2">
        <v>18</v>
      </c>
      <c r="L426" s="2">
        <v>17</v>
      </c>
      <c r="M426" s="2">
        <f t="shared" si="78"/>
        <v>17</v>
      </c>
      <c r="N426" t="e">
        <f t="shared" ca="1" si="79"/>
        <v>#NAME?</v>
      </c>
      <c r="O426" t="str">
        <f t="shared" si="80"/>
        <v>MSIG Cost</v>
      </c>
      <c r="P426" s="2">
        <f t="shared" si="81"/>
        <v>17.647058823529413</v>
      </c>
      <c r="Q426" s="2">
        <f t="shared" si="82"/>
        <v>17.647058823529413</v>
      </c>
      <c r="R426" s="2">
        <f t="shared" si="83"/>
        <v>23.52941176470588</v>
      </c>
      <c r="S426" s="2">
        <f t="shared" si="84"/>
        <v>5.8823529411764701</v>
      </c>
      <c r="T426" s="2">
        <f t="shared" si="85"/>
        <v>0</v>
      </c>
      <c r="U426" s="3" t="str">
        <f t="shared" si="86"/>
        <v/>
      </c>
      <c r="V426" s="3" t="str">
        <f t="shared" si="87"/>
        <v/>
      </c>
      <c r="W426" s="3" t="str">
        <f t="shared" si="88"/>
        <v/>
      </c>
      <c r="X426" s="3" t="str">
        <f t="shared" si="89"/>
        <v/>
      </c>
      <c r="Y426" s="3" t="str">
        <f t="shared" si="90"/>
        <v>YES</v>
      </c>
    </row>
    <row r="427" spans="1:25">
      <c r="A427" t="s">
        <v>496</v>
      </c>
      <c r="B427">
        <v>50</v>
      </c>
      <c r="C427">
        <v>10</v>
      </c>
      <c r="D427">
        <v>200</v>
      </c>
      <c r="E427">
        <v>1</v>
      </c>
      <c r="F427" t="s">
        <v>69</v>
      </c>
      <c r="G427" t="s">
        <v>70</v>
      </c>
      <c r="H427" s="2">
        <v>19</v>
      </c>
      <c r="I427" s="2">
        <v>19</v>
      </c>
      <c r="J427" s="2">
        <v>20</v>
      </c>
      <c r="K427" s="2">
        <v>18</v>
      </c>
      <c r="L427" s="2">
        <v>17</v>
      </c>
      <c r="M427" s="2">
        <f t="shared" si="78"/>
        <v>17</v>
      </c>
      <c r="N427" t="e">
        <f t="shared" ca="1" si="79"/>
        <v>#NAME?</v>
      </c>
      <c r="O427" t="str">
        <f t="shared" si="80"/>
        <v>MSIG Cost</v>
      </c>
      <c r="P427" s="2">
        <f t="shared" si="81"/>
        <v>11.76470588235294</v>
      </c>
      <c r="Q427" s="2">
        <f t="shared" si="82"/>
        <v>11.76470588235294</v>
      </c>
      <c r="R427" s="2">
        <f t="shared" si="83"/>
        <v>17.647058823529413</v>
      </c>
      <c r="S427" s="2">
        <f t="shared" si="84"/>
        <v>5.8823529411764701</v>
      </c>
      <c r="T427" s="2">
        <f t="shared" si="85"/>
        <v>0</v>
      </c>
      <c r="U427" s="3" t="str">
        <f t="shared" si="86"/>
        <v/>
      </c>
      <c r="V427" s="3" t="str">
        <f t="shared" si="87"/>
        <v/>
      </c>
      <c r="W427" s="3" t="str">
        <f t="shared" si="88"/>
        <v/>
      </c>
      <c r="X427" s="3" t="str">
        <f t="shared" si="89"/>
        <v/>
      </c>
      <c r="Y427" s="3" t="str">
        <f t="shared" si="90"/>
        <v>YES</v>
      </c>
    </row>
    <row r="428" spans="1:25">
      <c r="A428" t="s">
        <v>497</v>
      </c>
      <c r="B428">
        <v>50</v>
      </c>
      <c r="C428">
        <v>10</v>
      </c>
      <c r="D428">
        <v>200</v>
      </c>
      <c r="E428">
        <v>10</v>
      </c>
      <c r="F428" t="s">
        <v>69</v>
      </c>
      <c r="G428" t="s">
        <v>70</v>
      </c>
      <c r="H428" s="2">
        <v>292</v>
      </c>
      <c r="I428" s="2">
        <v>292</v>
      </c>
      <c r="J428" s="2">
        <v>293</v>
      </c>
      <c r="K428" s="2">
        <v>244</v>
      </c>
      <c r="L428" s="2">
        <v>203</v>
      </c>
      <c r="M428" s="2">
        <f t="shared" si="78"/>
        <v>203</v>
      </c>
      <c r="N428" t="e">
        <f t="shared" ca="1" si="79"/>
        <v>#NAME?</v>
      </c>
      <c r="O428" t="str">
        <f t="shared" si="80"/>
        <v>MSIG Cost</v>
      </c>
      <c r="P428" s="2">
        <f t="shared" si="81"/>
        <v>43.842364532019708</v>
      </c>
      <c r="Q428" s="2">
        <f t="shared" si="82"/>
        <v>43.842364532019708</v>
      </c>
      <c r="R428" s="2">
        <f t="shared" si="83"/>
        <v>44.334975369458128</v>
      </c>
      <c r="S428" s="2">
        <f t="shared" si="84"/>
        <v>20.19704433497537</v>
      </c>
      <c r="T428" s="2">
        <f t="shared" si="85"/>
        <v>0</v>
      </c>
      <c r="U428" s="3" t="str">
        <f t="shared" si="86"/>
        <v/>
      </c>
      <c r="V428" s="3" t="str">
        <f t="shared" si="87"/>
        <v/>
      </c>
      <c r="W428" s="3" t="str">
        <f t="shared" si="88"/>
        <v/>
      </c>
      <c r="X428" s="3" t="str">
        <f t="shared" si="89"/>
        <v/>
      </c>
      <c r="Y428" s="3" t="str">
        <f t="shared" si="90"/>
        <v>YES</v>
      </c>
    </row>
    <row r="429" spans="1:25">
      <c r="A429" t="s">
        <v>498</v>
      </c>
      <c r="B429">
        <v>50</v>
      </c>
      <c r="C429">
        <v>10</v>
      </c>
      <c r="D429">
        <v>200</v>
      </c>
      <c r="E429">
        <v>10</v>
      </c>
      <c r="F429" t="s">
        <v>69</v>
      </c>
      <c r="G429" t="s">
        <v>70</v>
      </c>
      <c r="H429" s="2">
        <v>274</v>
      </c>
      <c r="I429" s="2">
        <v>283</v>
      </c>
      <c r="J429" s="2">
        <v>289</v>
      </c>
      <c r="K429" s="2">
        <v>262</v>
      </c>
      <c r="L429" s="2">
        <v>221</v>
      </c>
      <c r="M429" s="2">
        <f t="shared" si="78"/>
        <v>221</v>
      </c>
      <c r="N429" t="e">
        <f t="shared" ca="1" si="79"/>
        <v>#NAME?</v>
      </c>
      <c r="O429" t="str">
        <f t="shared" si="80"/>
        <v>MSIG Cost</v>
      </c>
      <c r="P429" s="2">
        <f t="shared" si="81"/>
        <v>23.981900452488688</v>
      </c>
      <c r="Q429" s="2">
        <f t="shared" si="82"/>
        <v>28.054298642533936</v>
      </c>
      <c r="R429" s="2">
        <f t="shared" si="83"/>
        <v>30.76923076923077</v>
      </c>
      <c r="S429" s="2">
        <f t="shared" si="84"/>
        <v>18.552036199095024</v>
      </c>
      <c r="T429" s="2">
        <f t="shared" si="85"/>
        <v>0</v>
      </c>
      <c r="U429" s="3" t="str">
        <f t="shared" si="86"/>
        <v/>
      </c>
      <c r="V429" s="3" t="str">
        <f t="shared" si="87"/>
        <v/>
      </c>
      <c r="W429" s="3" t="str">
        <f t="shared" si="88"/>
        <v/>
      </c>
      <c r="X429" s="3" t="str">
        <f t="shared" si="89"/>
        <v/>
      </c>
      <c r="Y429" s="3" t="str">
        <f t="shared" si="90"/>
        <v>YES</v>
      </c>
    </row>
    <row r="430" spans="1:25">
      <c r="A430" t="s">
        <v>499</v>
      </c>
      <c r="B430">
        <v>50</v>
      </c>
      <c r="C430">
        <v>10</v>
      </c>
      <c r="D430">
        <v>200</v>
      </c>
      <c r="E430">
        <v>1</v>
      </c>
      <c r="F430" t="s">
        <v>69</v>
      </c>
      <c r="G430" t="s">
        <v>70</v>
      </c>
      <c r="H430" s="2">
        <v>16</v>
      </c>
      <c r="I430" s="2">
        <v>16</v>
      </c>
      <c r="J430" s="2">
        <v>16</v>
      </c>
      <c r="K430" s="2">
        <v>16</v>
      </c>
      <c r="L430" s="2">
        <v>15</v>
      </c>
      <c r="M430" s="2">
        <f t="shared" si="78"/>
        <v>15</v>
      </c>
      <c r="N430" t="e">
        <f t="shared" ca="1" si="79"/>
        <v>#NAME?</v>
      </c>
      <c r="O430" t="str">
        <f t="shared" si="80"/>
        <v>MSIG Cost</v>
      </c>
      <c r="P430" s="2">
        <f t="shared" si="81"/>
        <v>6.666666666666667</v>
      </c>
      <c r="Q430" s="2">
        <f t="shared" si="82"/>
        <v>6.666666666666667</v>
      </c>
      <c r="R430" s="2">
        <f t="shared" si="83"/>
        <v>6.666666666666667</v>
      </c>
      <c r="S430" s="2">
        <f t="shared" si="84"/>
        <v>6.666666666666667</v>
      </c>
      <c r="T430" s="2">
        <f t="shared" si="85"/>
        <v>0</v>
      </c>
      <c r="U430" s="3" t="str">
        <f t="shared" si="86"/>
        <v/>
      </c>
      <c r="V430" s="3" t="str">
        <f t="shared" si="87"/>
        <v/>
      </c>
      <c r="W430" s="3" t="str">
        <f t="shared" si="88"/>
        <v/>
      </c>
      <c r="X430" s="3" t="str">
        <f t="shared" si="89"/>
        <v/>
      </c>
      <c r="Y430" s="3" t="str">
        <f t="shared" si="90"/>
        <v>YES</v>
      </c>
    </row>
    <row r="431" spans="1:25">
      <c r="A431" t="s">
        <v>500</v>
      </c>
      <c r="B431">
        <v>50</v>
      </c>
      <c r="C431">
        <v>10</v>
      </c>
      <c r="D431">
        <v>200</v>
      </c>
      <c r="E431">
        <v>1</v>
      </c>
      <c r="F431" t="s">
        <v>69</v>
      </c>
      <c r="G431" t="s">
        <v>70</v>
      </c>
      <c r="H431" s="2">
        <v>15</v>
      </c>
      <c r="I431" s="2">
        <v>15</v>
      </c>
      <c r="J431" s="2">
        <v>15</v>
      </c>
      <c r="K431" s="2">
        <v>15</v>
      </c>
      <c r="L431" s="2">
        <v>14</v>
      </c>
      <c r="M431" s="2">
        <f t="shared" si="78"/>
        <v>14</v>
      </c>
      <c r="N431" t="e">
        <f t="shared" ca="1" si="79"/>
        <v>#NAME?</v>
      </c>
      <c r="O431" t="str">
        <f t="shared" si="80"/>
        <v>MSIG Cost</v>
      </c>
      <c r="P431" s="2">
        <f t="shared" si="81"/>
        <v>7.1428571428571423</v>
      </c>
      <c r="Q431" s="2">
        <f t="shared" si="82"/>
        <v>7.1428571428571423</v>
      </c>
      <c r="R431" s="2">
        <f t="shared" si="83"/>
        <v>7.1428571428571423</v>
      </c>
      <c r="S431" s="2">
        <f t="shared" si="84"/>
        <v>7.1428571428571423</v>
      </c>
      <c r="T431" s="2">
        <f t="shared" si="85"/>
        <v>0</v>
      </c>
      <c r="U431" s="3" t="str">
        <f t="shared" si="86"/>
        <v/>
      </c>
      <c r="V431" s="3" t="str">
        <f t="shared" si="87"/>
        <v/>
      </c>
      <c r="W431" s="3" t="str">
        <f t="shared" si="88"/>
        <v/>
      </c>
      <c r="X431" s="3" t="str">
        <f t="shared" si="89"/>
        <v/>
      </c>
      <c r="Y431" s="3" t="str">
        <f t="shared" si="90"/>
        <v>YES</v>
      </c>
    </row>
    <row r="432" spans="1:25">
      <c r="A432" t="s">
        <v>501</v>
      </c>
      <c r="B432">
        <v>50</v>
      </c>
      <c r="C432">
        <v>10</v>
      </c>
      <c r="D432">
        <v>200</v>
      </c>
      <c r="E432">
        <v>10</v>
      </c>
      <c r="F432" t="s">
        <v>69</v>
      </c>
      <c r="G432" t="s">
        <v>70</v>
      </c>
      <c r="H432" s="2">
        <v>242</v>
      </c>
      <c r="I432" s="2">
        <v>242</v>
      </c>
      <c r="J432" s="2">
        <v>248</v>
      </c>
      <c r="K432" s="2">
        <v>224</v>
      </c>
      <c r="L432" s="2">
        <v>193</v>
      </c>
      <c r="M432" s="2">
        <f t="shared" si="78"/>
        <v>193</v>
      </c>
      <c r="N432" t="e">
        <f t="shared" ca="1" si="79"/>
        <v>#NAME?</v>
      </c>
      <c r="O432" t="str">
        <f t="shared" si="80"/>
        <v>MSIG Cost</v>
      </c>
      <c r="P432" s="2">
        <f t="shared" si="81"/>
        <v>25.388601036269431</v>
      </c>
      <c r="Q432" s="2">
        <f t="shared" si="82"/>
        <v>25.388601036269431</v>
      </c>
      <c r="R432" s="2">
        <f t="shared" si="83"/>
        <v>28.497409326424872</v>
      </c>
      <c r="S432" s="2">
        <f t="shared" si="84"/>
        <v>16.062176165803109</v>
      </c>
      <c r="T432" s="2">
        <f t="shared" si="85"/>
        <v>0</v>
      </c>
      <c r="U432" s="3" t="str">
        <f t="shared" si="86"/>
        <v/>
      </c>
      <c r="V432" s="3" t="str">
        <f t="shared" si="87"/>
        <v/>
      </c>
      <c r="W432" s="3" t="str">
        <f t="shared" si="88"/>
        <v/>
      </c>
      <c r="X432" s="3" t="str">
        <f t="shared" si="89"/>
        <v/>
      </c>
      <c r="Y432" s="3" t="str">
        <f t="shared" si="90"/>
        <v>YES</v>
      </c>
    </row>
    <row r="433" spans="1:25">
      <c r="A433" t="s">
        <v>502</v>
      </c>
      <c r="B433">
        <v>50</v>
      </c>
      <c r="C433">
        <v>10</v>
      </c>
      <c r="D433">
        <v>200</v>
      </c>
      <c r="E433">
        <v>10</v>
      </c>
      <c r="F433" t="s">
        <v>69</v>
      </c>
      <c r="G433" t="s">
        <v>70</v>
      </c>
      <c r="H433" s="2">
        <v>293</v>
      </c>
      <c r="I433" s="2">
        <v>292</v>
      </c>
      <c r="J433" s="2">
        <v>283</v>
      </c>
      <c r="K433" s="2">
        <v>222</v>
      </c>
      <c r="L433" s="2">
        <v>211</v>
      </c>
      <c r="M433" s="2">
        <f t="shared" si="78"/>
        <v>211</v>
      </c>
      <c r="N433" t="e">
        <f t="shared" ca="1" si="79"/>
        <v>#NAME?</v>
      </c>
      <c r="O433" t="str">
        <f t="shared" si="80"/>
        <v>MSIG Cost</v>
      </c>
      <c r="P433" s="2">
        <f t="shared" si="81"/>
        <v>38.862559241706165</v>
      </c>
      <c r="Q433" s="2">
        <f t="shared" si="82"/>
        <v>38.388625592417064</v>
      </c>
      <c r="R433" s="2">
        <f t="shared" si="83"/>
        <v>34.123222748815166</v>
      </c>
      <c r="S433" s="2">
        <f t="shared" si="84"/>
        <v>5.2132701421800949</v>
      </c>
      <c r="T433" s="2">
        <f t="shared" si="85"/>
        <v>0</v>
      </c>
      <c r="U433" s="3" t="str">
        <f t="shared" si="86"/>
        <v/>
      </c>
      <c r="V433" s="3" t="str">
        <f t="shared" si="87"/>
        <v/>
      </c>
      <c r="W433" s="3" t="str">
        <f t="shared" si="88"/>
        <v/>
      </c>
      <c r="X433" s="3" t="str">
        <f t="shared" si="89"/>
        <v/>
      </c>
      <c r="Y433" s="3" t="str">
        <f t="shared" si="90"/>
        <v>YES</v>
      </c>
    </row>
    <row r="434" spans="1:25">
      <c r="A434" t="s">
        <v>503</v>
      </c>
      <c r="B434">
        <v>50</v>
      </c>
      <c r="C434">
        <v>5</v>
      </c>
      <c r="D434">
        <v>200</v>
      </c>
      <c r="E434">
        <v>1</v>
      </c>
      <c r="F434" t="s">
        <v>69</v>
      </c>
      <c r="G434" t="s">
        <v>70</v>
      </c>
      <c r="H434" s="2">
        <v>10</v>
      </c>
      <c r="I434" s="2">
        <v>10</v>
      </c>
      <c r="J434" s="2">
        <v>10</v>
      </c>
      <c r="K434" s="2">
        <v>10</v>
      </c>
      <c r="L434" s="2">
        <v>8</v>
      </c>
      <c r="M434" s="2">
        <f t="shared" si="78"/>
        <v>8</v>
      </c>
      <c r="N434" t="e">
        <f t="shared" ca="1" si="79"/>
        <v>#NAME?</v>
      </c>
      <c r="O434" t="str">
        <f t="shared" si="80"/>
        <v>MSIG Cost</v>
      </c>
      <c r="P434" s="2">
        <f t="shared" si="81"/>
        <v>25</v>
      </c>
      <c r="Q434" s="2">
        <f t="shared" si="82"/>
        <v>25</v>
      </c>
      <c r="R434" s="2">
        <f t="shared" si="83"/>
        <v>25</v>
      </c>
      <c r="S434" s="2">
        <f t="shared" si="84"/>
        <v>25</v>
      </c>
      <c r="T434" s="2">
        <f t="shared" si="85"/>
        <v>0</v>
      </c>
      <c r="U434" s="3" t="str">
        <f t="shared" si="86"/>
        <v/>
      </c>
      <c r="V434" s="3" t="str">
        <f t="shared" si="87"/>
        <v/>
      </c>
      <c r="W434" s="3" t="str">
        <f t="shared" si="88"/>
        <v/>
      </c>
      <c r="X434" s="3" t="str">
        <f t="shared" si="89"/>
        <v/>
      </c>
      <c r="Y434" s="3" t="str">
        <f t="shared" si="90"/>
        <v>YES</v>
      </c>
    </row>
    <row r="435" spans="1:25">
      <c r="A435" t="s">
        <v>504</v>
      </c>
      <c r="B435">
        <v>50</v>
      </c>
      <c r="C435">
        <v>5</v>
      </c>
      <c r="D435">
        <v>200</v>
      </c>
      <c r="E435">
        <v>1</v>
      </c>
      <c r="F435" t="s">
        <v>69</v>
      </c>
      <c r="G435" t="s">
        <v>70</v>
      </c>
      <c r="H435" s="2">
        <v>11</v>
      </c>
      <c r="I435" s="2">
        <v>11</v>
      </c>
      <c r="J435" s="2">
        <v>10</v>
      </c>
      <c r="K435" s="2">
        <v>10</v>
      </c>
      <c r="L435" s="2">
        <v>9</v>
      </c>
      <c r="M435" s="2">
        <f t="shared" si="78"/>
        <v>9</v>
      </c>
      <c r="N435" t="e">
        <f t="shared" ca="1" si="79"/>
        <v>#NAME?</v>
      </c>
      <c r="O435" t="str">
        <f t="shared" si="80"/>
        <v>MSIG Cost</v>
      </c>
      <c r="P435" s="2">
        <f t="shared" si="81"/>
        <v>22.222222222222221</v>
      </c>
      <c r="Q435" s="2">
        <f t="shared" si="82"/>
        <v>22.222222222222221</v>
      </c>
      <c r="R435" s="2">
        <f t="shared" si="83"/>
        <v>11.111111111111111</v>
      </c>
      <c r="S435" s="2">
        <f t="shared" si="84"/>
        <v>11.111111111111111</v>
      </c>
      <c r="T435" s="2">
        <f t="shared" si="85"/>
        <v>0</v>
      </c>
      <c r="U435" s="3" t="str">
        <f t="shared" si="86"/>
        <v/>
      </c>
      <c r="V435" s="3" t="str">
        <f t="shared" si="87"/>
        <v/>
      </c>
      <c r="W435" s="3" t="str">
        <f t="shared" si="88"/>
        <v/>
      </c>
      <c r="X435" s="3" t="str">
        <f t="shared" si="89"/>
        <v/>
      </c>
      <c r="Y435" s="3" t="str">
        <f t="shared" si="90"/>
        <v>YES</v>
      </c>
    </row>
    <row r="436" spans="1:25">
      <c r="A436" t="s">
        <v>505</v>
      </c>
      <c r="B436">
        <v>50</v>
      </c>
      <c r="C436">
        <v>5</v>
      </c>
      <c r="D436">
        <v>200</v>
      </c>
      <c r="E436">
        <v>10</v>
      </c>
      <c r="F436" t="s">
        <v>69</v>
      </c>
      <c r="G436" t="s">
        <v>70</v>
      </c>
      <c r="H436" s="2">
        <v>213</v>
      </c>
      <c r="I436" s="2">
        <v>217</v>
      </c>
      <c r="J436" s="2">
        <v>211</v>
      </c>
      <c r="K436" s="2">
        <v>150</v>
      </c>
      <c r="L436" s="2">
        <v>133</v>
      </c>
      <c r="M436" s="2">
        <f t="shared" si="78"/>
        <v>133</v>
      </c>
      <c r="N436" t="e">
        <f t="shared" ca="1" si="79"/>
        <v>#NAME?</v>
      </c>
      <c r="O436" t="str">
        <f t="shared" si="80"/>
        <v>MSIG Cost</v>
      </c>
      <c r="P436" s="2">
        <f t="shared" si="81"/>
        <v>60.150375939849624</v>
      </c>
      <c r="Q436" s="2">
        <f t="shared" si="82"/>
        <v>63.157894736842103</v>
      </c>
      <c r="R436" s="2">
        <f t="shared" si="83"/>
        <v>58.646616541353382</v>
      </c>
      <c r="S436" s="2">
        <f t="shared" si="84"/>
        <v>12.781954887218044</v>
      </c>
      <c r="T436" s="2">
        <f t="shared" si="85"/>
        <v>0</v>
      </c>
      <c r="U436" s="3" t="str">
        <f t="shared" si="86"/>
        <v/>
      </c>
      <c r="V436" s="3" t="str">
        <f t="shared" si="87"/>
        <v/>
      </c>
      <c r="W436" s="3" t="str">
        <f t="shared" si="88"/>
        <v/>
      </c>
      <c r="X436" s="3" t="str">
        <f t="shared" si="89"/>
        <v/>
      </c>
      <c r="Y436" s="3" t="str">
        <f t="shared" si="90"/>
        <v>YES</v>
      </c>
    </row>
    <row r="437" spans="1:25">
      <c r="A437" t="s">
        <v>506</v>
      </c>
      <c r="B437">
        <v>50</v>
      </c>
      <c r="C437">
        <v>5</v>
      </c>
      <c r="D437">
        <v>200</v>
      </c>
      <c r="E437">
        <v>10</v>
      </c>
      <c r="F437" t="s">
        <v>69</v>
      </c>
      <c r="G437" t="s">
        <v>70</v>
      </c>
      <c r="H437" s="2">
        <v>203</v>
      </c>
      <c r="I437" s="2">
        <v>180</v>
      </c>
      <c r="J437" s="2">
        <v>198</v>
      </c>
      <c r="K437" s="2">
        <v>129</v>
      </c>
      <c r="L437" s="2">
        <v>139</v>
      </c>
      <c r="M437" s="2">
        <f t="shared" si="78"/>
        <v>129</v>
      </c>
      <c r="N437" t="e">
        <f t="shared" ca="1" si="79"/>
        <v>#NAME?</v>
      </c>
      <c r="O437" t="str">
        <f t="shared" si="80"/>
        <v>Best C-TP Cost</v>
      </c>
      <c r="P437" s="2">
        <f t="shared" si="81"/>
        <v>57.36434108527132</v>
      </c>
      <c r="Q437" s="2">
        <f t="shared" si="82"/>
        <v>39.534883720930232</v>
      </c>
      <c r="R437" s="2">
        <f t="shared" si="83"/>
        <v>53.488372093023251</v>
      </c>
      <c r="S437" s="2">
        <f t="shared" si="84"/>
        <v>0</v>
      </c>
      <c r="T437" s="2">
        <f t="shared" si="85"/>
        <v>7.7519379844961236</v>
      </c>
      <c r="U437" s="3" t="str">
        <f t="shared" si="86"/>
        <v/>
      </c>
      <c r="V437" s="3" t="str">
        <f t="shared" si="87"/>
        <v/>
      </c>
      <c r="W437" s="3" t="str">
        <f t="shared" si="88"/>
        <v/>
      </c>
      <c r="X437" s="3" t="str">
        <f t="shared" si="89"/>
        <v>YES</v>
      </c>
      <c r="Y437" s="3" t="str">
        <f t="shared" si="90"/>
        <v/>
      </c>
    </row>
    <row r="438" spans="1:25">
      <c r="A438" t="s">
        <v>507</v>
      </c>
      <c r="B438">
        <v>50</v>
      </c>
      <c r="C438">
        <v>5</v>
      </c>
      <c r="D438">
        <v>200</v>
      </c>
      <c r="E438">
        <v>1</v>
      </c>
      <c r="F438" t="s">
        <v>69</v>
      </c>
      <c r="G438" t="s">
        <v>70</v>
      </c>
      <c r="H438" s="2">
        <v>8</v>
      </c>
      <c r="I438" s="2">
        <v>8</v>
      </c>
      <c r="J438" s="2">
        <v>7</v>
      </c>
      <c r="K438" s="2">
        <v>9</v>
      </c>
      <c r="L438" s="2">
        <v>7</v>
      </c>
      <c r="M438" s="2">
        <f t="shared" si="78"/>
        <v>7</v>
      </c>
      <c r="N438" t="e">
        <f t="shared" ca="1" si="79"/>
        <v>#NAME?</v>
      </c>
      <c r="O438" t="str">
        <f t="shared" si="80"/>
        <v/>
      </c>
      <c r="P438" s="2">
        <f t="shared" si="81"/>
        <v>14.285714285714285</v>
      </c>
      <c r="Q438" s="2">
        <f t="shared" si="82"/>
        <v>14.285714285714285</v>
      </c>
      <c r="R438" s="2">
        <f t="shared" si="83"/>
        <v>0</v>
      </c>
      <c r="S438" s="2">
        <f t="shared" si="84"/>
        <v>28.571428571428569</v>
      </c>
      <c r="T438" s="2">
        <f t="shared" si="85"/>
        <v>0</v>
      </c>
      <c r="U438" s="3" t="str">
        <f t="shared" si="86"/>
        <v/>
      </c>
      <c r="V438" s="3" t="str">
        <f t="shared" si="87"/>
        <v/>
      </c>
      <c r="W438" s="3" t="str">
        <f t="shared" si="88"/>
        <v>YES</v>
      </c>
      <c r="X438" s="3" t="str">
        <f t="shared" si="89"/>
        <v/>
      </c>
      <c r="Y438" s="3" t="str">
        <f t="shared" si="90"/>
        <v>YES</v>
      </c>
    </row>
    <row r="439" spans="1:25">
      <c r="A439" t="s">
        <v>508</v>
      </c>
      <c r="B439">
        <v>50</v>
      </c>
      <c r="C439">
        <v>5</v>
      </c>
      <c r="D439">
        <v>200</v>
      </c>
      <c r="E439">
        <v>1</v>
      </c>
      <c r="F439" t="s">
        <v>69</v>
      </c>
      <c r="G439" t="s">
        <v>70</v>
      </c>
      <c r="H439" s="2">
        <v>7</v>
      </c>
      <c r="I439" s="2">
        <v>7</v>
      </c>
      <c r="J439" s="2">
        <v>8</v>
      </c>
      <c r="K439" s="2">
        <v>10</v>
      </c>
      <c r="L439" s="2">
        <v>7</v>
      </c>
      <c r="M439" s="2">
        <f t="shared" si="78"/>
        <v>7</v>
      </c>
      <c r="N439" t="e">
        <f t="shared" ca="1" si="79"/>
        <v>#NAME?</v>
      </c>
      <c r="O439" t="str">
        <f t="shared" si="80"/>
        <v/>
      </c>
      <c r="P439" s="2">
        <f t="shared" si="81"/>
        <v>0</v>
      </c>
      <c r="Q439" s="2">
        <f t="shared" si="82"/>
        <v>0</v>
      </c>
      <c r="R439" s="2">
        <f t="shared" si="83"/>
        <v>14.285714285714285</v>
      </c>
      <c r="S439" s="2">
        <f t="shared" si="84"/>
        <v>42.857142857142854</v>
      </c>
      <c r="T439" s="2">
        <f t="shared" si="85"/>
        <v>0</v>
      </c>
      <c r="U439" s="3" t="str">
        <f t="shared" si="86"/>
        <v>YES</v>
      </c>
      <c r="V439" s="3" t="str">
        <f t="shared" si="87"/>
        <v>YES</v>
      </c>
      <c r="W439" s="3" t="str">
        <f t="shared" si="88"/>
        <v/>
      </c>
      <c r="X439" s="3" t="str">
        <f t="shared" si="89"/>
        <v/>
      </c>
      <c r="Y439" s="3" t="str">
        <f t="shared" si="90"/>
        <v>YES</v>
      </c>
    </row>
    <row r="440" spans="1:25">
      <c r="A440" t="s">
        <v>509</v>
      </c>
      <c r="B440">
        <v>50</v>
      </c>
      <c r="C440">
        <v>5</v>
      </c>
      <c r="D440">
        <v>200</v>
      </c>
      <c r="E440">
        <v>10</v>
      </c>
      <c r="F440" t="s">
        <v>69</v>
      </c>
      <c r="G440" t="s">
        <v>70</v>
      </c>
      <c r="H440" s="2">
        <v>170</v>
      </c>
      <c r="I440" s="2">
        <v>170</v>
      </c>
      <c r="J440" s="2">
        <v>174</v>
      </c>
      <c r="K440" s="2">
        <v>140</v>
      </c>
      <c r="L440" s="2">
        <v>125</v>
      </c>
      <c r="M440" s="2">
        <f t="shared" si="78"/>
        <v>125</v>
      </c>
      <c r="N440" t="e">
        <f t="shared" ca="1" si="79"/>
        <v>#NAME?</v>
      </c>
      <c r="O440" t="str">
        <f t="shared" si="80"/>
        <v>MSIG Cost</v>
      </c>
      <c r="P440" s="2">
        <f t="shared" si="81"/>
        <v>36</v>
      </c>
      <c r="Q440" s="2">
        <f t="shared" si="82"/>
        <v>36</v>
      </c>
      <c r="R440" s="2">
        <f t="shared" si="83"/>
        <v>39.200000000000003</v>
      </c>
      <c r="S440" s="2">
        <f t="shared" si="84"/>
        <v>12</v>
      </c>
      <c r="T440" s="2">
        <f t="shared" si="85"/>
        <v>0</v>
      </c>
      <c r="U440" s="3" t="str">
        <f t="shared" si="86"/>
        <v/>
      </c>
      <c r="V440" s="3" t="str">
        <f t="shared" si="87"/>
        <v/>
      </c>
      <c r="W440" s="3" t="str">
        <f t="shared" si="88"/>
        <v/>
      </c>
      <c r="X440" s="3" t="str">
        <f t="shared" si="89"/>
        <v/>
      </c>
      <c r="Y440" s="3" t="str">
        <f t="shared" si="90"/>
        <v>YES</v>
      </c>
    </row>
    <row r="441" spans="1:25">
      <c r="A441" t="s">
        <v>510</v>
      </c>
      <c r="B441">
        <v>50</v>
      </c>
      <c r="C441">
        <v>5</v>
      </c>
      <c r="D441">
        <v>200</v>
      </c>
      <c r="E441">
        <v>10</v>
      </c>
      <c r="F441" t="s">
        <v>69</v>
      </c>
      <c r="G441" t="s">
        <v>70</v>
      </c>
      <c r="H441" s="2">
        <v>165</v>
      </c>
      <c r="I441" s="2">
        <v>175</v>
      </c>
      <c r="J441" s="2">
        <v>156</v>
      </c>
      <c r="K441" s="2">
        <v>119</v>
      </c>
      <c r="L441" s="2">
        <v>117</v>
      </c>
      <c r="M441" s="2">
        <f t="shared" si="78"/>
        <v>117</v>
      </c>
      <c r="N441" t="e">
        <f t="shared" ca="1" si="79"/>
        <v>#NAME?</v>
      </c>
      <c r="O441" t="str">
        <f t="shared" si="80"/>
        <v>MSIG Cost</v>
      </c>
      <c r="P441" s="2">
        <f t="shared" si="81"/>
        <v>41.025641025641022</v>
      </c>
      <c r="Q441" s="2">
        <f t="shared" si="82"/>
        <v>49.572649572649574</v>
      </c>
      <c r="R441" s="2">
        <f t="shared" si="83"/>
        <v>33.333333333333329</v>
      </c>
      <c r="S441" s="2">
        <f t="shared" si="84"/>
        <v>1.7094017094017095</v>
      </c>
      <c r="T441" s="2">
        <f t="shared" si="85"/>
        <v>0</v>
      </c>
      <c r="U441" s="3" t="str">
        <f t="shared" si="86"/>
        <v/>
      </c>
      <c r="V441" s="3" t="str">
        <f t="shared" si="87"/>
        <v/>
      </c>
      <c r="W441" s="3" t="str">
        <f t="shared" si="88"/>
        <v/>
      </c>
      <c r="X441" s="3" t="str">
        <f t="shared" si="89"/>
        <v/>
      </c>
      <c r="Y441" s="3" t="str">
        <f t="shared" si="90"/>
        <v>YES</v>
      </c>
    </row>
    <row r="442" spans="1:25">
      <c r="A442" t="s">
        <v>511</v>
      </c>
      <c r="B442">
        <v>50</v>
      </c>
      <c r="C442">
        <v>5</v>
      </c>
      <c r="D442">
        <v>200</v>
      </c>
      <c r="E442">
        <v>1</v>
      </c>
      <c r="F442" t="s">
        <v>69</v>
      </c>
      <c r="G442" t="s">
        <v>70</v>
      </c>
      <c r="H442" s="2">
        <v>18</v>
      </c>
      <c r="I442" s="2">
        <v>18</v>
      </c>
      <c r="J442" s="2">
        <v>19</v>
      </c>
      <c r="K442" s="2">
        <v>17</v>
      </c>
      <c r="L442" s="2">
        <v>16</v>
      </c>
      <c r="M442" s="2">
        <f t="shared" si="78"/>
        <v>16</v>
      </c>
      <c r="N442" t="e">
        <f t="shared" ca="1" si="79"/>
        <v>#NAME?</v>
      </c>
      <c r="O442" t="str">
        <f t="shared" si="80"/>
        <v>MSIG Cost</v>
      </c>
      <c r="P442" s="2">
        <f t="shared" si="81"/>
        <v>12.5</v>
      </c>
      <c r="Q442" s="2">
        <f t="shared" si="82"/>
        <v>12.5</v>
      </c>
      <c r="R442" s="2">
        <f t="shared" si="83"/>
        <v>18.75</v>
      </c>
      <c r="S442" s="2">
        <f t="shared" si="84"/>
        <v>6.25</v>
      </c>
      <c r="T442" s="2">
        <f t="shared" si="85"/>
        <v>0</v>
      </c>
      <c r="U442" s="3" t="str">
        <f t="shared" si="86"/>
        <v/>
      </c>
      <c r="V442" s="3" t="str">
        <f t="shared" si="87"/>
        <v/>
      </c>
      <c r="W442" s="3" t="str">
        <f t="shared" si="88"/>
        <v/>
      </c>
      <c r="X442" s="3" t="str">
        <f t="shared" si="89"/>
        <v/>
      </c>
      <c r="Y442" s="3" t="str">
        <f t="shared" si="90"/>
        <v>YES</v>
      </c>
    </row>
    <row r="443" spans="1:25">
      <c r="A443" t="s">
        <v>512</v>
      </c>
      <c r="B443">
        <v>50</v>
      </c>
      <c r="C443">
        <v>5</v>
      </c>
      <c r="D443">
        <v>200</v>
      </c>
      <c r="E443">
        <v>1</v>
      </c>
      <c r="F443" t="s">
        <v>69</v>
      </c>
      <c r="G443" t="s">
        <v>70</v>
      </c>
      <c r="H443" s="2">
        <v>18</v>
      </c>
      <c r="I443" s="2">
        <v>18</v>
      </c>
      <c r="J443" s="2">
        <v>18</v>
      </c>
      <c r="K443" s="2">
        <v>17</v>
      </c>
      <c r="L443" s="2">
        <v>16</v>
      </c>
      <c r="M443" s="2">
        <f t="shared" si="78"/>
        <v>16</v>
      </c>
      <c r="N443" t="e">
        <f t="shared" ca="1" si="79"/>
        <v>#NAME?</v>
      </c>
      <c r="O443" t="str">
        <f t="shared" si="80"/>
        <v>MSIG Cost</v>
      </c>
      <c r="P443" s="2">
        <f t="shared" si="81"/>
        <v>12.5</v>
      </c>
      <c r="Q443" s="2">
        <f t="shared" si="82"/>
        <v>12.5</v>
      </c>
      <c r="R443" s="2">
        <f t="shared" si="83"/>
        <v>12.5</v>
      </c>
      <c r="S443" s="2">
        <f t="shared" si="84"/>
        <v>6.25</v>
      </c>
      <c r="T443" s="2">
        <f t="shared" si="85"/>
        <v>0</v>
      </c>
      <c r="U443" s="3" t="str">
        <f t="shared" si="86"/>
        <v/>
      </c>
      <c r="V443" s="3" t="str">
        <f t="shared" si="87"/>
        <v/>
      </c>
      <c r="W443" s="3" t="str">
        <f t="shared" si="88"/>
        <v/>
      </c>
      <c r="X443" s="3" t="str">
        <f t="shared" si="89"/>
        <v/>
      </c>
      <c r="Y443" s="3" t="str">
        <f t="shared" si="90"/>
        <v>YES</v>
      </c>
    </row>
    <row r="444" spans="1:25">
      <c r="A444" t="s">
        <v>513</v>
      </c>
      <c r="B444">
        <v>50</v>
      </c>
      <c r="C444">
        <v>5</v>
      </c>
      <c r="D444">
        <v>200</v>
      </c>
      <c r="E444">
        <v>10</v>
      </c>
      <c r="F444" t="s">
        <v>69</v>
      </c>
      <c r="G444" t="s">
        <v>70</v>
      </c>
      <c r="H444" s="2">
        <v>281</v>
      </c>
      <c r="I444" s="2">
        <v>284</v>
      </c>
      <c r="J444" s="2">
        <v>296</v>
      </c>
      <c r="K444" s="2">
        <v>222</v>
      </c>
      <c r="L444" s="2">
        <v>211</v>
      </c>
      <c r="M444" s="2">
        <f t="shared" si="78"/>
        <v>211</v>
      </c>
      <c r="N444" t="e">
        <f t="shared" ca="1" si="79"/>
        <v>#NAME?</v>
      </c>
      <c r="O444" t="str">
        <f t="shared" si="80"/>
        <v>MSIG Cost</v>
      </c>
      <c r="P444" s="2">
        <f t="shared" si="81"/>
        <v>33.175355450236964</v>
      </c>
      <c r="Q444" s="2">
        <f t="shared" si="82"/>
        <v>34.597156398104268</v>
      </c>
      <c r="R444" s="2">
        <f t="shared" si="83"/>
        <v>40.284360189573462</v>
      </c>
      <c r="S444" s="2">
        <f t="shared" si="84"/>
        <v>5.2132701421800949</v>
      </c>
      <c r="T444" s="2">
        <f t="shared" si="85"/>
        <v>0</v>
      </c>
      <c r="U444" s="3" t="str">
        <f t="shared" si="86"/>
        <v/>
      </c>
      <c r="V444" s="3" t="str">
        <f t="shared" si="87"/>
        <v/>
      </c>
      <c r="W444" s="3" t="str">
        <f t="shared" si="88"/>
        <v/>
      </c>
      <c r="X444" s="3" t="str">
        <f t="shared" si="89"/>
        <v/>
      </c>
      <c r="Y444" s="3" t="str">
        <f t="shared" si="90"/>
        <v>YES</v>
      </c>
    </row>
    <row r="445" spans="1:25">
      <c r="A445" t="s">
        <v>514</v>
      </c>
      <c r="B445">
        <v>50</v>
      </c>
      <c r="C445">
        <v>5</v>
      </c>
      <c r="D445">
        <v>200</v>
      </c>
      <c r="E445">
        <v>10</v>
      </c>
      <c r="F445" t="s">
        <v>69</v>
      </c>
      <c r="G445" t="s">
        <v>70</v>
      </c>
      <c r="H445" s="2">
        <v>285</v>
      </c>
      <c r="I445" s="2">
        <v>292</v>
      </c>
      <c r="J445" s="2">
        <v>288</v>
      </c>
      <c r="K445" s="2">
        <v>230</v>
      </c>
      <c r="L445" s="2">
        <v>209</v>
      </c>
      <c r="M445" s="2">
        <f t="shared" si="78"/>
        <v>209</v>
      </c>
      <c r="N445" t="e">
        <f t="shared" ca="1" si="79"/>
        <v>#NAME?</v>
      </c>
      <c r="O445" t="str">
        <f t="shared" si="80"/>
        <v>MSIG Cost</v>
      </c>
      <c r="P445" s="2">
        <f t="shared" si="81"/>
        <v>36.363636363636367</v>
      </c>
      <c r="Q445" s="2">
        <f t="shared" si="82"/>
        <v>39.71291866028708</v>
      </c>
      <c r="R445" s="2">
        <f t="shared" si="83"/>
        <v>37.799043062200951</v>
      </c>
      <c r="S445" s="2">
        <f t="shared" si="84"/>
        <v>10.047846889952153</v>
      </c>
      <c r="T445" s="2">
        <f t="shared" si="85"/>
        <v>0</v>
      </c>
      <c r="U445" s="3" t="str">
        <f t="shared" si="86"/>
        <v/>
      </c>
      <c r="V445" s="3" t="str">
        <f t="shared" si="87"/>
        <v/>
      </c>
      <c r="W445" s="3" t="str">
        <f t="shared" si="88"/>
        <v/>
      </c>
      <c r="X445" s="3" t="str">
        <f t="shared" si="89"/>
        <v/>
      </c>
      <c r="Y445" s="3" t="str">
        <f t="shared" si="90"/>
        <v>YES</v>
      </c>
    </row>
    <row r="446" spans="1:25">
      <c r="A446" t="s">
        <v>515</v>
      </c>
      <c r="B446">
        <v>50</v>
      </c>
      <c r="C446">
        <v>5</v>
      </c>
      <c r="D446">
        <v>200</v>
      </c>
      <c r="E446">
        <v>1</v>
      </c>
      <c r="F446" t="s">
        <v>69</v>
      </c>
      <c r="G446" t="s">
        <v>70</v>
      </c>
      <c r="H446" s="2">
        <v>16</v>
      </c>
      <c r="I446" s="2">
        <v>16</v>
      </c>
      <c r="J446" s="2">
        <v>15</v>
      </c>
      <c r="K446" s="2">
        <v>16</v>
      </c>
      <c r="L446" s="2">
        <v>14</v>
      </c>
      <c r="M446" s="2">
        <f t="shared" si="78"/>
        <v>14</v>
      </c>
      <c r="N446" t="e">
        <f t="shared" ca="1" si="79"/>
        <v>#NAME?</v>
      </c>
      <c r="O446" t="str">
        <f t="shared" si="80"/>
        <v>MSIG Cost</v>
      </c>
      <c r="P446" s="2">
        <f t="shared" si="81"/>
        <v>14.285714285714285</v>
      </c>
      <c r="Q446" s="2">
        <f t="shared" si="82"/>
        <v>14.285714285714285</v>
      </c>
      <c r="R446" s="2">
        <f t="shared" si="83"/>
        <v>7.1428571428571423</v>
      </c>
      <c r="S446" s="2">
        <f t="shared" si="84"/>
        <v>14.285714285714285</v>
      </c>
      <c r="T446" s="2">
        <f t="shared" si="85"/>
        <v>0</v>
      </c>
      <c r="U446" s="3" t="str">
        <f t="shared" si="86"/>
        <v/>
      </c>
      <c r="V446" s="3" t="str">
        <f t="shared" si="87"/>
        <v/>
      </c>
      <c r="W446" s="3" t="str">
        <f t="shared" si="88"/>
        <v/>
      </c>
      <c r="X446" s="3" t="str">
        <f t="shared" si="89"/>
        <v/>
      </c>
      <c r="Y446" s="3" t="str">
        <f t="shared" si="90"/>
        <v>YES</v>
      </c>
    </row>
    <row r="447" spans="1:25">
      <c r="A447" t="s">
        <v>516</v>
      </c>
      <c r="B447">
        <v>50</v>
      </c>
      <c r="C447">
        <v>5</v>
      </c>
      <c r="D447">
        <v>200</v>
      </c>
      <c r="E447">
        <v>1</v>
      </c>
      <c r="F447" t="s">
        <v>69</v>
      </c>
      <c r="G447" t="s">
        <v>70</v>
      </c>
      <c r="H447" s="2">
        <v>15</v>
      </c>
      <c r="I447" s="2">
        <v>15</v>
      </c>
      <c r="J447" s="2">
        <v>15</v>
      </c>
      <c r="K447" s="2">
        <v>14</v>
      </c>
      <c r="L447" s="2">
        <v>13</v>
      </c>
      <c r="M447" s="2">
        <f t="shared" si="78"/>
        <v>13</v>
      </c>
      <c r="N447" t="e">
        <f t="shared" ca="1" si="79"/>
        <v>#NAME?</v>
      </c>
      <c r="O447" t="str">
        <f t="shared" si="80"/>
        <v>MSIG Cost</v>
      </c>
      <c r="P447" s="2">
        <f t="shared" si="81"/>
        <v>15.384615384615385</v>
      </c>
      <c r="Q447" s="2">
        <f t="shared" si="82"/>
        <v>15.384615384615385</v>
      </c>
      <c r="R447" s="2">
        <f t="shared" si="83"/>
        <v>15.384615384615385</v>
      </c>
      <c r="S447" s="2">
        <f t="shared" si="84"/>
        <v>7.6923076923076925</v>
      </c>
      <c r="T447" s="2">
        <f t="shared" si="85"/>
        <v>0</v>
      </c>
      <c r="U447" s="3" t="str">
        <f t="shared" si="86"/>
        <v/>
      </c>
      <c r="V447" s="3" t="str">
        <f t="shared" si="87"/>
        <v/>
      </c>
      <c r="W447" s="3" t="str">
        <f t="shared" si="88"/>
        <v/>
      </c>
      <c r="X447" s="3" t="str">
        <f t="shared" si="89"/>
        <v/>
      </c>
      <c r="Y447" s="3" t="str">
        <f t="shared" si="90"/>
        <v>YES</v>
      </c>
    </row>
    <row r="448" spans="1:25">
      <c r="A448" t="s">
        <v>517</v>
      </c>
      <c r="B448">
        <v>50</v>
      </c>
      <c r="C448">
        <v>5</v>
      </c>
      <c r="D448">
        <v>200</v>
      </c>
      <c r="E448">
        <v>10</v>
      </c>
      <c r="F448" t="s">
        <v>69</v>
      </c>
      <c r="G448" t="s">
        <v>70</v>
      </c>
      <c r="H448" s="2">
        <v>236</v>
      </c>
      <c r="I448" s="2">
        <v>244</v>
      </c>
      <c r="J448" s="2">
        <v>247</v>
      </c>
      <c r="K448" s="2">
        <v>212</v>
      </c>
      <c r="L448" s="2">
        <v>184</v>
      </c>
      <c r="M448" s="2">
        <f t="shared" si="78"/>
        <v>184</v>
      </c>
      <c r="N448" t="e">
        <f t="shared" ca="1" si="79"/>
        <v>#NAME?</v>
      </c>
      <c r="O448" t="str">
        <f t="shared" si="80"/>
        <v>MSIG Cost</v>
      </c>
      <c r="P448" s="2">
        <f t="shared" si="81"/>
        <v>28.260869565217391</v>
      </c>
      <c r="Q448" s="2">
        <f t="shared" si="82"/>
        <v>32.608695652173914</v>
      </c>
      <c r="R448" s="2">
        <f t="shared" si="83"/>
        <v>34.239130434782609</v>
      </c>
      <c r="S448" s="2">
        <f t="shared" si="84"/>
        <v>15.217391304347828</v>
      </c>
      <c r="T448" s="2">
        <f t="shared" si="85"/>
        <v>0</v>
      </c>
      <c r="U448" s="3" t="str">
        <f t="shared" si="86"/>
        <v/>
      </c>
      <c r="V448" s="3" t="str">
        <f t="shared" si="87"/>
        <v/>
      </c>
      <c r="W448" s="3" t="str">
        <f t="shared" si="88"/>
        <v/>
      </c>
      <c r="X448" s="3" t="str">
        <f t="shared" si="89"/>
        <v/>
      </c>
      <c r="Y448" s="3" t="str">
        <f t="shared" si="90"/>
        <v>YES</v>
      </c>
    </row>
    <row r="449" spans="1:25">
      <c r="A449" t="s">
        <v>518</v>
      </c>
      <c r="B449">
        <v>50</v>
      </c>
      <c r="C449">
        <v>5</v>
      </c>
      <c r="D449">
        <v>200</v>
      </c>
      <c r="E449">
        <v>10</v>
      </c>
      <c r="F449" t="s">
        <v>69</v>
      </c>
      <c r="G449" t="s">
        <v>70</v>
      </c>
      <c r="H449" s="2">
        <v>272</v>
      </c>
      <c r="I449" s="2">
        <v>263</v>
      </c>
      <c r="J449" s="2">
        <v>266</v>
      </c>
      <c r="K449" s="2">
        <v>196</v>
      </c>
      <c r="L449" s="2">
        <v>186</v>
      </c>
      <c r="M449" s="2">
        <f t="shared" si="78"/>
        <v>186</v>
      </c>
      <c r="N449" t="e">
        <f t="shared" ca="1" si="79"/>
        <v>#NAME?</v>
      </c>
      <c r="O449" t="str">
        <f t="shared" si="80"/>
        <v>MSIG Cost</v>
      </c>
      <c r="P449" s="2">
        <f t="shared" si="81"/>
        <v>46.236559139784944</v>
      </c>
      <c r="Q449" s="2">
        <f t="shared" si="82"/>
        <v>41.397849462365592</v>
      </c>
      <c r="R449" s="2">
        <f t="shared" si="83"/>
        <v>43.01075268817204</v>
      </c>
      <c r="S449" s="2">
        <f t="shared" si="84"/>
        <v>5.376344086021505</v>
      </c>
      <c r="T449" s="2">
        <f t="shared" si="85"/>
        <v>0</v>
      </c>
      <c r="U449" s="3" t="str">
        <f t="shared" si="86"/>
        <v/>
      </c>
      <c r="V449" s="3" t="str">
        <f t="shared" si="87"/>
        <v/>
      </c>
      <c r="W449" s="3" t="str">
        <f t="shared" si="88"/>
        <v/>
      </c>
      <c r="X449" s="3" t="str">
        <f t="shared" si="89"/>
        <v/>
      </c>
      <c r="Y449" s="3" t="str">
        <f t="shared" si="90"/>
        <v>YES</v>
      </c>
    </row>
    <row r="450" spans="1:25">
      <c r="A450" t="s">
        <v>519</v>
      </c>
      <c r="B450">
        <v>75</v>
      </c>
      <c r="C450">
        <v>10</v>
      </c>
      <c r="D450">
        <v>200</v>
      </c>
      <c r="E450">
        <v>1</v>
      </c>
      <c r="F450" t="s">
        <v>69</v>
      </c>
      <c r="G450" t="s">
        <v>70</v>
      </c>
      <c r="H450" s="2">
        <v>15</v>
      </c>
      <c r="I450" s="2">
        <v>15</v>
      </c>
      <c r="J450" s="2">
        <v>15</v>
      </c>
      <c r="K450" s="2">
        <v>14</v>
      </c>
      <c r="L450" s="2">
        <v>12</v>
      </c>
      <c r="M450" s="2">
        <f t="shared" ref="M450:M513" si="91">MIN(H450:L450)</f>
        <v>12</v>
      </c>
      <c r="N450" t="e">
        <f t="shared" ref="N450:N513" ca="1" si="92">_xludf.TEXTJOIN(", ",TRUE,IF(H450=M450,"S-FFD",""),IF(I450=M450,"S-BFD",""),IF(J450=M450,"S-WFD",""),IF(K450=M450,"Best C-TP",""),IF(L450=M450,"MSIG",""))</f>
        <v>#NAME?</v>
      </c>
      <c r="O450" t="str">
        <f t="shared" ref="O450:O481" si="93">IF(COUNTIF(H450:L450,M450)=1,INDEX($H$1:$L$1,1,MATCH(M450,H450:L450,0)),"")</f>
        <v>MSIG Cost</v>
      </c>
      <c r="P450" s="2">
        <f t="shared" ref="P450:P481" si="94">(H450-$M450)/$M450*100</f>
        <v>25</v>
      </c>
      <c r="Q450" s="2">
        <f t="shared" ref="Q450:Q481" si="95">(I450-$M450)/$M450*100</f>
        <v>25</v>
      </c>
      <c r="R450" s="2">
        <f t="shared" ref="R450:R481" si="96">(J450-$M450)/$M450*100</f>
        <v>25</v>
      </c>
      <c r="S450" s="2">
        <f t="shared" ref="S450:S481" si="97">(K450-$M450)/$M450*100</f>
        <v>16.666666666666664</v>
      </c>
      <c r="T450" s="2">
        <f t="shared" ref="T450:T481" si="98">(L450-$M450)/$M450*100</f>
        <v>0</v>
      </c>
      <c r="U450" s="3" t="str">
        <f t="shared" ref="U450:U481" si="99">IF(H450=$M450,"YES","")</f>
        <v/>
      </c>
      <c r="V450" s="3" t="str">
        <f t="shared" ref="V450:V481" si="100">IF(I450=$M450,"YES","")</f>
        <v/>
      </c>
      <c r="W450" s="3" t="str">
        <f t="shared" ref="W450:W481" si="101">IF(J450=$M450,"YES","")</f>
        <v/>
      </c>
      <c r="X450" s="3" t="str">
        <f t="shared" ref="X450:X481" si="102">IF(K450=$M450,"YES","")</f>
        <v/>
      </c>
      <c r="Y450" s="3" t="str">
        <f t="shared" ref="Y450:Y481" si="103">IF(L450=$M450,"YES","")</f>
        <v>YES</v>
      </c>
    </row>
    <row r="451" spans="1:25">
      <c r="A451" t="s">
        <v>520</v>
      </c>
      <c r="B451">
        <v>75</v>
      </c>
      <c r="C451">
        <v>10</v>
      </c>
      <c r="D451">
        <v>200</v>
      </c>
      <c r="E451">
        <v>1</v>
      </c>
      <c r="F451" t="s">
        <v>69</v>
      </c>
      <c r="G451" t="s">
        <v>70</v>
      </c>
      <c r="H451" s="2">
        <v>16</v>
      </c>
      <c r="I451" s="2">
        <v>16</v>
      </c>
      <c r="J451" s="2">
        <v>16</v>
      </c>
      <c r="K451" s="2">
        <v>14</v>
      </c>
      <c r="L451" s="2">
        <v>13</v>
      </c>
      <c r="M451" s="2">
        <f t="shared" si="91"/>
        <v>13</v>
      </c>
      <c r="N451" t="e">
        <f t="shared" ca="1" si="92"/>
        <v>#NAME?</v>
      </c>
      <c r="O451" t="str">
        <f t="shared" si="93"/>
        <v>MSIG Cost</v>
      </c>
      <c r="P451" s="2">
        <f t="shared" si="94"/>
        <v>23.076923076923077</v>
      </c>
      <c r="Q451" s="2">
        <f t="shared" si="95"/>
        <v>23.076923076923077</v>
      </c>
      <c r="R451" s="2">
        <f t="shared" si="96"/>
        <v>23.076923076923077</v>
      </c>
      <c r="S451" s="2">
        <f t="shared" si="97"/>
        <v>7.6923076923076925</v>
      </c>
      <c r="T451" s="2">
        <f t="shared" si="98"/>
        <v>0</v>
      </c>
      <c r="U451" s="3" t="str">
        <f t="shared" si="99"/>
        <v/>
      </c>
      <c r="V451" s="3" t="str">
        <f t="shared" si="100"/>
        <v/>
      </c>
      <c r="W451" s="3" t="str">
        <f t="shared" si="101"/>
        <v/>
      </c>
      <c r="X451" s="3" t="str">
        <f t="shared" si="102"/>
        <v/>
      </c>
      <c r="Y451" s="3" t="str">
        <f t="shared" si="103"/>
        <v>YES</v>
      </c>
    </row>
    <row r="452" spans="1:25">
      <c r="A452" t="s">
        <v>521</v>
      </c>
      <c r="B452">
        <v>75</v>
      </c>
      <c r="C452">
        <v>10</v>
      </c>
      <c r="D452">
        <v>200</v>
      </c>
      <c r="E452">
        <v>10</v>
      </c>
      <c r="F452" t="s">
        <v>69</v>
      </c>
      <c r="G452" t="s">
        <v>70</v>
      </c>
      <c r="H452" s="2">
        <v>313</v>
      </c>
      <c r="I452" s="2">
        <v>317</v>
      </c>
      <c r="J452" s="2">
        <v>328</v>
      </c>
      <c r="K452" s="2">
        <v>236</v>
      </c>
      <c r="L452" s="2">
        <v>200</v>
      </c>
      <c r="M452" s="2">
        <f t="shared" si="91"/>
        <v>200</v>
      </c>
      <c r="N452" t="e">
        <f t="shared" ca="1" si="92"/>
        <v>#NAME?</v>
      </c>
      <c r="O452" t="str">
        <f t="shared" si="93"/>
        <v>MSIG Cost</v>
      </c>
      <c r="P452" s="2">
        <f t="shared" si="94"/>
        <v>56.499999999999993</v>
      </c>
      <c r="Q452" s="2">
        <f t="shared" si="95"/>
        <v>58.5</v>
      </c>
      <c r="R452" s="2">
        <f t="shared" si="96"/>
        <v>64</v>
      </c>
      <c r="S452" s="2">
        <f t="shared" si="97"/>
        <v>18</v>
      </c>
      <c r="T452" s="2">
        <f t="shared" si="98"/>
        <v>0</v>
      </c>
      <c r="U452" s="3" t="str">
        <f t="shared" si="99"/>
        <v/>
      </c>
      <c r="V452" s="3" t="str">
        <f t="shared" si="100"/>
        <v/>
      </c>
      <c r="W452" s="3" t="str">
        <f t="shared" si="101"/>
        <v/>
      </c>
      <c r="X452" s="3" t="str">
        <f t="shared" si="102"/>
        <v/>
      </c>
      <c r="Y452" s="3" t="str">
        <f t="shared" si="103"/>
        <v>YES</v>
      </c>
    </row>
    <row r="453" spans="1:25">
      <c r="A453" t="s">
        <v>522</v>
      </c>
      <c r="B453">
        <v>75</v>
      </c>
      <c r="C453">
        <v>10</v>
      </c>
      <c r="D453">
        <v>200</v>
      </c>
      <c r="E453">
        <v>10</v>
      </c>
      <c r="F453" t="s">
        <v>69</v>
      </c>
      <c r="G453" t="s">
        <v>70</v>
      </c>
      <c r="H453" s="2">
        <v>310</v>
      </c>
      <c r="I453" s="2">
        <v>312</v>
      </c>
      <c r="J453" s="2">
        <v>325</v>
      </c>
      <c r="K453" s="2">
        <v>237</v>
      </c>
      <c r="L453" s="2">
        <v>186</v>
      </c>
      <c r="M453" s="2">
        <f t="shared" si="91"/>
        <v>186</v>
      </c>
      <c r="N453" t="e">
        <f t="shared" ca="1" si="92"/>
        <v>#NAME?</v>
      </c>
      <c r="O453" t="str">
        <f t="shared" si="93"/>
        <v>MSIG Cost</v>
      </c>
      <c r="P453" s="2">
        <f t="shared" si="94"/>
        <v>66.666666666666657</v>
      </c>
      <c r="Q453" s="2">
        <f t="shared" si="95"/>
        <v>67.741935483870961</v>
      </c>
      <c r="R453" s="2">
        <f t="shared" si="96"/>
        <v>74.731182795698928</v>
      </c>
      <c r="S453" s="2">
        <f t="shared" si="97"/>
        <v>27.419354838709676</v>
      </c>
      <c r="T453" s="2">
        <f t="shared" si="98"/>
        <v>0</v>
      </c>
      <c r="U453" s="3" t="str">
        <f t="shared" si="99"/>
        <v/>
      </c>
      <c r="V453" s="3" t="str">
        <f t="shared" si="100"/>
        <v/>
      </c>
      <c r="W453" s="3" t="str">
        <f t="shared" si="101"/>
        <v/>
      </c>
      <c r="X453" s="3" t="str">
        <f t="shared" si="102"/>
        <v/>
      </c>
      <c r="Y453" s="3" t="str">
        <f t="shared" si="103"/>
        <v>YES</v>
      </c>
    </row>
    <row r="454" spans="1:25">
      <c r="A454" t="s">
        <v>523</v>
      </c>
      <c r="B454">
        <v>75</v>
      </c>
      <c r="C454">
        <v>10</v>
      </c>
      <c r="D454">
        <v>200</v>
      </c>
      <c r="E454">
        <v>1</v>
      </c>
      <c r="F454" t="s">
        <v>69</v>
      </c>
      <c r="G454" t="s">
        <v>70</v>
      </c>
      <c r="H454" s="2">
        <v>10</v>
      </c>
      <c r="I454" s="2">
        <v>10</v>
      </c>
      <c r="J454" s="2">
        <v>10</v>
      </c>
      <c r="K454" s="2">
        <v>14</v>
      </c>
      <c r="L454" s="2">
        <v>10</v>
      </c>
      <c r="M454" s="2">
        <f t="shared" si="91"/>
        <v>10</v>
      </c>
      <c r="N454" t="e">
        <f t="shared" ca="1" si="92"/>
        <v>#NAME?</v>
      </c>
      <c r="O454" t="str">
        <f t="shared" si="93"/>
        <v/>
      </c>
      <c r="P454" s="2">
        <f t="shared" si="94"/>
        <v>0</v>
      </c>
      <c r="Q454" s="2">
        <f t="shared" si="95"/>
        <v>0</v>
      </c>
      <c r="R454" s="2">
        <f t="shared" si="96"/>
        <v>0</v>
      </c>
      <c r="S454" s="2">
        <f t="shared" si="97"/>
        <v>40</v>
      </c>
      <c r="T454" s="2">
        <f t="shared" si="98"/>
        <v>0</v>
      </c>
      <c r="U454" s="3" t="str">
        <f t="shared" si="99"/>
        <v>YES</v>
      </c>
      <c r="V454" s="3" t="str">
        <f t="shared" si="100"/>
        <v>YES</v>
      </c>
      <c r="W454" s="3" t="str">
        <f t="shared" si="101"/>
        <v>YES</v>
      </c>
      <c r="X454" s="3" t="str">
        <f t="shared" si="102"/>
        <v/>
      </c>
      <c r="Y454" s="3" t="str">
        <f t="shared" si="103"/>
        <v>YES</v>
      </c>
    </row>
    <row r="455" spans="1:25">
      <c r="A455" t="s">
        <v>524</v>
      </c>
      <c r="B455">
        <v>75</v>
      </c>
      <c r="C455">
        <v>10</v>
      </c>
      <c r="D455">
        <v>200</v>
      </c>
      <c r="E455">
        <v>1</v>
      </c>
      <c r="F455" t="s">
        <v>69</v>
      </c>
      <c r="G455" t="s">
        <v>70</v>
      </c>
      <c r="H455" s="2">
        <v>11</v>
      </c>
      <c r="I455" s="2">
        <v>11</v>
      </c>
      <c r="J455" s="2">
        <v>11</v>
      </c>
      <c r="K455" s="2">
        <v>13</v>
      </c>
      <c r="L455" s="2">
        <v>10</v>
      </c>
      <c r="M455" s="2">
        <f t="shared" si="91"/>
        <v>10</v>
      </c>
      <c r="N455" t="e">
        <f t="shared" ca="1" si="92"/>
        <v>#NAME?</v>
      </c>
      <c r="O455" t="str">
        <f t="shared" si="93"/>
        <v>MSIG Cost</v>
      </c>
      <c r="P455" s="2">
        <f t="shared" si="94"/>
        <v>10</v>
      </c>
      <c r="Q455" s="2">
        <f t="shared" si="95"/>
        <v>10</v>
      </c>
      <c r="R455" s="2">
        <f t="shared" si="96"/>
        <v>10</v>
      </c>
      <c r="S455" s="2">
        <f t="shared" si="97"/>
        <v>30</v>
      </c>
      <c r="T455" s="2">
        <f t="shared" si="98"/>
        <v>0</v>
      </c>
      <c r="U455" s="3" t="str">
        <f t="shared" si="99"/>
        <v/>
      </c>
      <c r="V455" s="3" t="str">
        <f t="shared" si="100"/>
        <v/>
      </c>
      <c r="W455" s="3" t="str">
        <f t="shared" si="101"/>
        <v/>
      </c>
      <c r="X455" s="3" t="str">
        <f t="shared" si="102"/>
        <v/>
      </c>
      <c r="Y455" s="3" t="str">
        <f t="shared" si="103"/>
        <v>YES</v>
      </c>
    </row>
    <row r="456" spans="1:25">
      <c r="A456" t="s">
        <v>525</v>
      </c>
      <c r="B456">
        <v>75</v>
      </c>
      <c r="C456">
        <v>10</v>
      </c>
      <c r="D456">
        <v>200</v>
      </c>
      <c r="E456">
        <v>10</v>
      </c>
      <c r="F456" t="s">
        <v>69</v>
      </c>
      <c r="G456" t="s">
        <v>70</v>
      </c>
      <c r="H456" s="2">
        <v>276</v>
      </c>
      <c r="I456" s="2">
        <v>252</v>
      </c>
      <c r="J456" s="2">
        <v>288</v>
      </c>
      <c r="K456" s="2">
        <v>236</v>
      </c>
      <c r="L456" s="2">
        <v>178</v>
      </c>
      <c r="M456" s="2">
        <f t="shared" si="91"/>
        <v>178</v>
      </c>
      <c r="N456" t="e">
        <f t="shared" ca="1" si="92"/>
        <v>#NAME?</v>
      </c>
      <c r="O456" t="str">
        <f t="shared" si="93"/>
        <v>MSIG Cost</v>
      </c>
      <c r="P456" s="2">
        <f t="shared" si="94"/>
        <v>55.056179775280903</v>
      </c>
      <c r="Q456" s="2">
        <f t="shared" si="95"/>
        <v>41.573033707865171</v>
      </c>
      <c r="R456" s="2">
        <f t="shared" si="96"/>
        <v>61.797752808988761</v>
      </c>
      <c r="S456" s="2">
        <f t="shared" si="97"/>
        <v>32.584269662921351</v>
      </c>
      <c r="T456" s="2">
        <f t="shared" si="98"/>
        <v>0</v>
      </c>
      <c r="U456" s="3" t="str">
        <f t="shared" si="99"/>
        <v/>
      </c>
      <c r="V456" s="3" t="str">
        <f t="shared" si="100"/>
        <v/>
      </c>
      <c r="W456" s="3" t="str">
        <f t="shared" si="101"/>
        <v/>
      </c>
      <c r="X456" s="3" t="str">
        <f t="shared" si="102"/>
        <v/>
      </c>
      <c r="Y456" s="3" t="str">
        <f t="shared" si="103"/>
        <v>YES</v>
      </c>
    </row>
    <row r="457" spans="1:25">
      <c r="A457" t="s">
        <v>526</v>
      </c>
      <c r="B457">
        <v>75</v>
      </c>
      <c r="C457">
        <v>10</v>
      </c>
      <c r="D457">
        <v>200</v>
      </c>
      <c r="E457">
        <v>10</v>
      </c>
      <c r="F457" t="s">
        <v>69</v>
      </c>
      <c r="G457" t="s">
        <v>70</v>
      </c>
      <c r="H457" s="2">
        <v>276</v>
      </c>
      <c r="I457" s="2">
        <v>264</v>
      </c>
      <c r="J457" s="2">
        <v>275</v>
      </c>
      <c r="K457" s="2">
        <v>217</v>
      </c>
      <c r="L457" s="2">
        <v>172</v>
      </c>
      <c r="M457" s="2">
        <f t="shared" si="91"/>
        <v>172</v>
      </c>
      <c r="N457" t="e">
        <f t="shared" ca="1" si="92"/>
        <v>#NAME?</v>
      </c>
      <c r="O457" t="str">
        <f t="shared" si="93"/>
        <v>MSIG Cost</v>
      </c>
      <c r="P457" s="2">
        <f t="shared" si="94"/>
        <v>60.465116279069761</v>
      </c>
      <c r="Q457" s="2">
        <f t="shared" si="95"/>
        <v>53.488372093023251</v>
      </c>
      <c r="R457" s="2">
        <f t="shared" si="96"/>
        <v>59.883720930232556</v>
      </c>
      <c r="S457" s="2">
        <f t="shared" si="97"/>
        <v>26.162790697674421</v>
      </c>
      <c r="T457" s="2">
        <f t="shared" si="98"/>
        <v>0</v>
      </c>
      <c r="U457" s="3" t="str">
        <f t="shared" si="99"/>
        <v/>
      </c>
      <c r="V457" s="3" t="str">
        <f t="shared" si="100"/>
        <v/>
      </c>
      <c r="W457" s="3" t="str">
        <f t="shared" si="101"/>
        <v/>
      </c>
      <c r="X457" s="3" t="str">
        <f t="shared" si="102"/>
        <v/>
      </c>
      <c r="Y457" s="3" t="str">
        <f t="shared" si="103"/>
        <v>YES</v>
      </c>
    </row>
    <row r="458" spans="1:25">
      <c r="A458" t="s">
        <v>527</v>
      </c>
      <c r="B458">
        <v>75</v>
      </c>
      <c r="C458">
        <v>10</v>
      </c>
      <c r="D458">
        <v>200</v>
      </c>
      <c r="E458">
        <v>1</v>
      </c>
      <c r="F458" t="s">
        <v>69</v>
      </c>
      <c r="G458" t="s">
        <v>70</v>
      </c>
      <c r="H458" s="2">
        <v>29</v>
      </c>
      <c r="I458" s="2">
        <v>29</v>
      </c>
      <c r="J458" s="2">
        <v>30</v>
      </c>
      <c r="K458" s="2">
        <v>26</v>
      </c>
      <c r="L458" s="2">
        <v>25</v>
      </c>
      <c r="M458" s="2">
        <f t="shared" si="91"/>
        <v>25</v>
      </c>
      <c r="N458" t="e">
        <f t="shared" ca="1" si="92"/>
        <v>#NAME?</v>
      </c>
      <c r="O458" t="str">
        <f t="shared" si="93"/>
        <v>MSIG Cost</v>
      </c>
      <c r="P458" s="2">
        <f t="shared" si="94"/>
        <v>16</v>
      </c>
      <c r="Q458" s="2">
        <f t="shared" si="95"/>
        <v>16</v>
      </c>
      <c r="R458" s="2">
        <f t="shared" si="96"/>
        <v>20</v>
      </c>
      <c r="S458" s="2">
        <f t="shared" si="97"/>
        <v>4</v>
      </c>
      <c r="T458" s="2">
        <f t="shared" si="98"/>
        <v>0</v>
      </c>
      <c r="U458" s="3" t="str">
        <f t="shared" si="99"/>
        <v/>
      </c>
      <c r="V458" s="3" t="str">
        <f t="shared" si="100"/>
        <v/>
      </c>
      <c r="W458" s="3" t="str">
        <f t="shared" si="101"/>
        <v/>
      </c>
      <c r="X458" s="3" t="str">
        <f t="shared" si="102"/>
        <v/>
      </c>
      <c r="Y458" s="3" t="str">
        <f t="shared" si="103"/>
        <v>YES</v>
      </c>
    </row>
    <row r="459" spans="1:25">
      <c r="A459" t="s">
        <v>528</v>
      </c>
      <c r="B459">
        <v>75</v>
      </c>
      <c r="C459">
        <v>10</v>
      </c>
      <c r="D459">
        <v>200</v>
      </c>
      <c r="E459">
        <v>1</v>
      </c>
      <c r="F459" t="s">
        <v>69</v>
      </c>
      <c r="G459" t="s">
        <v>70</v>
      </c>
      <c r="H459" s="2">
        <v>29</v>
      </c>
      <c r="I459" s="2">
        <v>28</v>
      </c>
      <c r="J459" s="2">
        <v>29</v>
      </c>
      <c r="K459" s="2">
        <v>25</v>
      </c>
      <c r="L459" s="2">
        <v>25</v>
      </c>
      <c r="M459" s="2">
        <f t="shared" si="91"/>
        <v>25</v>
      </c>
      <c r="N459" t="e">
        <f t="shared" ca="1" si="92"/>
        <v>#NAME?</v>
      </c>
      <c r="O459" t="str">
        <f t="shared" si="93"/>
        <v/>
      </c>
      <c r="P459" s="2">
        <f t="shared" si="94"/>
        <v>16</v>
      </c>
      <c r="Q459" s="2">
        <f t="shared" si="95"/>
        <v>12</v>
      </c>
      <c r="R459" s="2">
        <f t="shared" si="96"/>
        <v>16</v>
      </c>
      <c r="S459" s="2">
        <f t="shared" si="97"/>
        <v>0</v>
      </c>
      <c r="T459" s="2">
        <f t="shared" si="98"/>
        <v>0</v>
      </c>
      <c r="U459" s="3" t="str">
        <f t="shared" si="99"/>
        <v/>
      </c>
      <c r="V459" s="3" t="str">
        <f t="shared" si="100"/>
        <v/>
      </c>
      <c r="W459" s="3" t="str">
        <f t="shared" si="101"/>
        <v/>
      </c>
      <c r="X459" s="3" t="str">
        <f t="shared" si="102"/>
        <v>YES</v>
      </c>
      <c r="Y459" s="3" t="str">
        <f t="shared" si="103"/>
        <v>YES</v>
      </c>
    </row>
    <row r="460" spans="1:25">
      <c r="A460" t="s">
        <v>529</v>
      </c>
      <c r="B460">
        <v>75</v>
      </c>
      <c r="C460">
        <v>10</v>
      </c>
      <c r="D460">
        <v>200</v>
      </c>
      <c r="E460">
        <v>10</v>
      </c>
      <c r="F460" t="s">
        <v>69</v>
      </c>
      <c r="G460" t="s">
        <v>70</v>
      </c>
      <c r="H460" s="2">
        <v>454</v>
      </c>
      <c r="I460" s="2">
        <v>456</v>
      </c>
      <c r="J460" s="2">
        <v>473</v>
      </c>
      <c r="K460" s="2">
        <v>354</v>
      </c>
      <c r="L460" s="2">
        <v>328</v>
      </c>
      <c r="M460" s="2">
        <f t="shared" si="91"/>
        <v>328</v>
      </c>
      <c r="N460" t="e">
        <f t="shared" ca="1" si="92"/>
        <v>#NAME?</v>
      </c>
      <c r="O460" t="str">
        <f t="shared" si="93"/>
        <v>MSIG Cost</v>
      </c>
      <c r="P460" s="2">
        <f t="shared" si="94"/>
        <v>38.414634146341463</v>
      </c>
      <c r="Q460" s="2">
        <f t="shared" si="95"/>
        <v>39.024390243902438</v>
      </c>
      <c r="R460" s="2">
        <f t="shared" si="96"/>
        <v>44.207317073170735</v>
      </c>
      <c r="S460" s="2">
        <f t="shared" si="97"/>
        <v>7.9268292682926829</v>
      </c>
      <c r="T460" s="2">
        <f t="shared" si="98"/>
        <v>0</v>
      </c>
      <c r="U460" s="3" t="str">
        <f t="shared" si="99"/>
        <v/>
      </c>
      <c r="V460" s="3" t="str">
        <f t="shared" si="100"/>
        <v/>
      </c>
      <c r="W460" s="3" t="str">
        <f t="shared" si="101"/>
        <v/>
      </c>
      <c r="X460" s="3" t="str">
        <f t="shared" si="102"/>
        <v/>
      </c>
      <c r="Y460" s="3" t="str">
        <f t="shared" si="103"/>
        <v>YES</v>
      </c>
    </row>
    <row r="461" spans="1:25">
      <c r="A461" t="s">
        <v>530</v>
      </c>
      <c r="B461">
        <v>75</v>
      </c>
      <c r="C461">
        <v>10</v>
      </c>
      <c r="D461">
        <v>200</v>
      </c>
      <c r="E461">
        <v>10</v>
      </c>
      <c r="F461" t="s">
        <v>69</v>
      </c>
      <c r="G461" t="s">
        <v>70</v>
      </c>
      <c r="H461" s="2">
        <v>442</v>
      </c>
      <c r="I461" s="2">
        <v>447</v>
      </c>
      <c r="J461" s="2">
        <v>443</v>
      </c>
      <c r="K461" s="2">
        <v>330</v>
      </c>
      <c r="L461" s="2">
        <v>325</v>
      </c>
      <c r="M461" s="2">
        <f t="shared" si="91"/>
        <v>325</v>
      </c>
      <c r="N461" t="e">
        <f t="shared" ca="1" si="92"/>
        <v>#NAME?</v>
      </c>
      <c r="O461" t="str">
        <f t="shared" si="93"/>
        <v>MSIG Cost</v>
      </c>
      <c r="P461" s="2">
        <f t="shared" si="94"/>
        <v>36</v>
      </c>
      <c r="Q461" s="2">
        <f t="shared" si="95"/>
        <v>37.53846153846154</v>
      </c>
      <c r="R461" s="2">
        <f t="shared" si="96"/>
        <v>36.307692307692307</v>
      </c>
      <c r="S461" s="2">
        <f t="shared" si="97"/>
        <v>1.5384615384615385</v>
      </c>
      <c r="T461" s="2">
        <f t="shared" si="98"/>
        <v>0</v>
      </c>
      <c r="U461" s="3" t="str">
        <f t="shared" si="99"/>
        <v/>
      </c>
      <c r="V461" s="3" t="str">
        <f t="shared" si="100"/>
        <v/>
      </c>
      <c r="W461" s="3" t="str">
        <f t="shared" si="101"/>
        <v/>
      </c>
      <c r="X461" s="3" t="str">
        <f t="shared" si="102"/>
        <v/>
      </c>
      <c r="Y461" s="3" t="str">
        <f t="shared" si="103"/>
        <v>YES</v>
      </c>
    </row>
    <row r="462" spans="1:25">
      <c r="A462" t="s">
        <v>531</v>
      </c>
      <c r="B462">
        <v>75</v>
      </c>
      <c r="C462">
        <v>10</v>
      </c>
      <c r="D462">
        <v>200</v>
      </c>
      <c r="E462">
        <v>1</v>
      </c>
      <c r="F462" t="s">
        <v>69</v>
      </c>
      <c r="G462" t="s">
        <v>70</v>
      </c>
      <c r="H462" s="2">
        <v>22</v>
      </c>
      <c r="I462" s="2">
        <v>22</v>
      </c>
      <c r="J462" s="2">
        <v>23</v>
      </c>
      <c r="K462" s="2">
        <v>23</v>
      </c>
      <c r="L462" s="2">
        <v>22</v>
      </c>
      <c r="M462" s="2">
        <f t="shared" si="91"/>
        <v>22</v>
      </c>
      <c r="N462" t="e">
        <f t="shared" ca="1" si="92"/>
        <v>#NAME?</v>
      </c>
      <c r="O462" t="str">
        <f t="shared" si="93"/>
        <v/>
      </c>
      <c r="P462" s="2">
        <f t="shared" si="94"/>
        <v>0</v>
      </c>
      <c r="Q462" s="2">
        <f t="shared" si="95"/>
        <v>0</v>
      </c>
      <c r="R462" s="2">
        <f t="shared" si="96"/>
        <v>4.5454545454545459</v>
      </c>
      <c r="S462" s="2">
        <f t="shared" si="97"/>
        <v>4.5454545454545459</v>
      </c>
      <c r="T462" s="2">
        <f t="shared" si="98"/>
        <v>0</v>
      </c>
      <c r="U462" s="3" t="str">
        <f t="shared" si="99"/>
        <v>YES</v>
      </c>
      <c r="V462" s="3" t="str">
        <f t="shared" si="100"/>
        <v>YES</v>
      </c>
      <c r="W462" s="3" t="str">
        <f t="shared" si="101"/>
        <v/>
      </c>
      <c r="X462" s="3" t="str">
        <f t="shared" si="102"/>
        <v/>
      </c>
      <c r="Y462" s="3" t="str">
        <f t="shared" si="103"/>
        <v>YES</v>
      </c>
    </row>
    <row r="463" spans="1:25">
      <c r="A463" t="s">
        <v>532</v>
      </c>
      <c r="B463">
        <v>75</v>
      </c>
      <c r="C463">
        <v>10</v>
      </c>
      <c r="D463">
        <v>200</v>
      </c>
      <c r="E463">
        <v>1</v>
      </c>
      <c r="F463" t="s">
        <v>69</v>
      </c>
      <c r="G463" t="s">
        <v>70</v>
      </c>
      <c r="H463" s="2">
        <v>22</v>
      </c>
      <c r="I463" s="2">
        <v>22</v>
      </c>
      <c r="J463" s="2">
        <v>22</v>
      </c>
      <c r="K463" s="2">
        <v>21</v>
      </c>
      <c r="L463" s="2">
        <v>20</v>
      </c>
      <c r="M463" s="2">
        <f t="shared" si="91"/>
        <v>20</v>
      </c>
      <c r="N463" t="e">
        <f t="shared" ca="1" si="92"/>
        <v>#NAME?</v>
      </c>
      <c r="O463" t="str">
        <f t="shared" si="93"/>
        <v>MSIG Cost</v>
      </c>
      <c r="P463" s="2">
        <f t="shared" si="94"/>
        <v>10</v>
      </c>
      <c r="Q463" s="2">
        <f t="shared" si="95"/>
        <v>10</v>
      </c>
      <c r="R463" s="2">
        <f t="shared" si="96"/>
        <v>10</v>
      </c>
      <c r="S463" s="2">
        <f t="shared" si="97"/>
        <v>5</v>
      </c>
      <c r="T463" s="2">
        <f t="shared" si="98"/>
        <v>0</v>
      </c>
      <c r="U463" s="3" t="str">
        <f t="shared" si="99"/>
        <v/>
      </c>
      <c r="V463" s="3" t="str">
        <f t="shared" si="100"/>
        <v/>
      </c>
      <c r="W463" s="3" t="str">
        <f t="shared" si="101"/>
        <v/>
      </c>
      <c r="X463" s="3" t="str">
        <f t="shared" si="102"/>
        <v/>
      </c>
      <c r="Y463" s="3" t="str">
        <f t="shared" si="103"/>
        <v>YES</v>
      </c>
    </row>
    <row r="464" spans="1:25">
      <c r="A464" t="s">
        <v>533</v>
      </c>
      <c r="B464">
        <v>75</v>
      </c>
      <c r="C464">
        <v>10</v>
      </c>
      <c r="D464">
        <v>200</v>
      </c>
      <c r="E464">
        <v>10</v>
      </c>
      <c r="F464" t="s">
        <v>69</v>
      </c>
      <c r="G464" t="s">
        <v>70</v>
      </c>
      <c r="H464" s="2">
        <v>429</v>
      </c>
      <c r="I464" s="2">
        <v>432</v>
      </c>
      <c r="J464" s="2">
        <v>435</v>
      </c>
      <c r="K464" s="2">
        <v>324</v>
      </c>
      <c r="L464" s="2">
        <v>296</v>
      </c>
      <c r="M464" s="2">
        <f t="shared" si="91"/>
        <v>296</v>
      </c>
      <c r="N464" t="e">
        <f t="shared" ca="1" si="92"/>
        <v>#NAME?</v>
      </c>
      <c r="O464" t="str">
        <f t="shared" si="93"/>
        <v>MSIG Cost</v>
      </c>
      <c r="P464" s="2">
        <f t="shared" si="94"/>
        <v>44.932432432432435</v>
      </c>
      <c r="Q464" s="2">
        <f t="shared" si="95"/>
        <v>45.945945945945951</v>
      </c>
      <c r="R464" s="2">
        <f t="shared" si="96"/>
        <v>46.95945945945946</v>
      </c>
      <c r="S464" s="2">
        <f t="shared" si="97"/>
        <v>9.4594594594594597</v>
      </c>
      <c r="T464" s="2">
        <f t="shared" si="98"/>
        <v>0</v>
      </c>
      <c r="U464" s="3" t="str">
        <f t="shared" si="99"/>
        <v/>
      </c>
      <c r="V464" s="3" t="str">
        <f t="shared" si="100"/>
        <v/>
      </c>
      <c r="W464" s="3" t="str">
        <f t="shared" si="101"/>
        <v/>
      </c>
      <c r="X464" s="3" t="str">
        <f t="shared" si="102"/>
        <v/>
      </c>
      <c r="Y464" s="3" t="str">
        <f t="shared" si="103"/>
        <v>YES</v>
      </c>
    </row>
    <row r="465" spans="1:25">
      <c r="A465" t="s">
        <v>534</v>
      </c>
      <c r="B465">
        <v>75</v>
      </c>
      <c r="C465">
        <v>10</v>
      </c>
      <c r="D465">
        <v>200</v>
      </c>
      <c r="E465">
        <v>10</v>
      </c>
      <c r="F465" t="s">
        <v>69</v>
      </c>
      <c r="G465" t="s">
        <v>70</v>
      </c>
      <c r="H465" s="2">
        <v>408</v>
      </c>
      <c r="I465" s="2">
        <v>394</v>
      </c>
      <c r="J465" s="2">
        <v>424</v>
      </c>
      <c r="K465" s="2">
        <v>310</v>
      </c>
      <c r="L465" s="2">
        <v>282</v>
      </c>
      <c r="M465" s="2">
        <f t="shared" si="91"/>
        <v>282</v>
      </c>
      <c r="N465" t="e">
        <f t="shared" ca="1" si="92"/>
        <v>#NAME?</v>
      </c>
      <c r="O465" t="str">
        <f t="shared" si="93"/>
        <v>MSIG Cost</v>
      </c>
      <c r="P465" s="2">
        <f t="shared" si="94"/>
        <v>44.680851063829785</v>
      </c>
      <c r="Q465" s="2">
        <f t="shared" si="95"/>
        <v>39.716312056737593</v>
      </c>
      <c r="R465" s="2">
        <f t="shared" si="96"/>
        <v>50.354609929078009</v>
      </c>
      <c r="S465" s="2">
        <f t="shared" si="97"/>
        <v>9.9290780141843982</v>
      </c>
      <c r="T465" s="2">
        <f t="shared" si="98"/>
        <v>0</v>
      </c>
      <c r="U465" s="3" t="str">
        <f t="shared" si="99"/>
        <v/>
      </c>
      <c r="V465" s="3" t="str">
        <f t="shared" si="100"/>
        <v/>
      </c>
      <c r="W465" s="3" t="str">
        <f t="shared" si="101"/>
        <v/>
      </c>
      <c r="X465" s="3" t="str">
        <f t="shared" si="102"/>
        <v/>
      </c>
      <c r="Y465" s="3" t="str">
        <f t="shared" si="103"/>
        <v>YES</v>
      </c>
    </row>
    <row r="466" spans="1:25">
      <c r="A466" t="s">
        <v>535</v>
      </c>
      <c r="B466">
        <v>75</v>
      </c>
      <c r="C466">
        <v>5</v>
      </c>
      <c r="D466">
        <v>200</v>
      </c>
      <c r="E466">
        <v>1</v>
      </c>
      <c r="F466" t="s">
        <v>69</v>
      </c>
      <c r="G466" t="s">
        <v>70</v>
      </c>
      <c r="H466" s="2">
        <v>13</v>
      </c>
      <c r="I466" s="2">
        <v>14</v>
      </c>
      <c r="J466" s="2">
        <v>13</v>
      </c>
      <c r="K466" s="2">
        <v>12</v>
      </c>
      <c r="L466" s="2">
        <v>12</v>
      </c>
      <c r="M466" s="2">
        <f t="shared" si="91"/>
        <v>12</v>
      </c>
      <c r="N466" t="e">
        <f t="shared" ca="1" si="92"/>
        <v>#NAME?</v>
      </c>
      <c r="O466" t="str">
        <f t="shared" si="93"/>
        <v/>
      </c>
      <c r="P466" s="2">
        <f t="shared" si="94"/>
        <v>8.3333333333333321</v>
      </c>
      <c r="Q466" s="2">
        <f t="shared" si="95"/>
        <v>16.666666666666664</v>
      </c>
      <c r="R466" s="2">
        <f t="shared" si="96"/>
        <v>8.3333333333333321</v>
      </c>
      <c r="S466" s="2">
        <f t="shared" si="97"/>
        <v>0</v>
      </c>
      <c r="T466" s="2">
        <f t="shared" si="98"/>
        <v>0</v>
      </c>
      <c r="U466" s="3" t="str">
        <f t="shared" si="99"/>
        <v/>
      </c>
      <c r="V466" s="3" t="str">
        <f t="shared" si="100"/>
        <v/>
      </c>
      <c r="W466" s="3" t="str">
        <f t="shared" si="101"/>
        <v/>
      </c>
      <c r="X466" s="3" t="str">
        <f t="shared" si="102"/>
        <v>YES</v>
      </c>
      <c r="Y466" s="3" t="str">
        <f t="shared" si="103"/>
        <v>YES</v>
      </c>
    </row>
    <row r="467" spans="1:25">
      <c r="A467" t="s">
        <v>536</v>
      </c>
      <c r="B467">
        <v>75</v>
      </c>
      <c r="C467">
        <v>5</v>
      </c>
      <c r="D467">
        <v>200</v>
      </c>
      <c r="E467">
        <v>1</v>
      </c>
      <c r="F467" t="s">
        <v>69</v>
      </c>
      <c r="G467" t="s">
        <v>70</v>
      </c>
      <c r="H467" s="2">
        <v>14</v>
      </c>
      <c r="I467" s="2">
        <v>15</v>
      </c>
      <c r="J467" s="2">
        <v>14</v>
      </c>
      <c r="K467" s="2">
        <v>14</v>
      </c>
      <c r="L467" s="2">
        <v>12</v>
      </c>
      <c r="M467" s="2">
        <f t="shared" si="91"/>
        <v>12</v>
      </c>
      <c r="N467" t="e">
        <f t="shared" ca="1" si="92"/>
        <v>#NAME?</v>
      </c>
      <c r="O467" t="str">
        <f t="shared" si="93"/>
        <v>MSIG Cost</v>
      </c>
      <c r="P467" s="2">
        <f t="shared" si="94"/>
        <v>16.666666666666664</v>
      </c>
      <c r="Q467" s="2">
        <f t="shared" si="95"/>
        <v>25</v>
      </c>
      <c r="R467" s="2">
        <f t="shared" si="96"/>
        <v>16.666666666666664</v>
      </c>
      <c r="S467" s="2">
        <f t="shared" si="97"/>
        <v>16.666666666666664</v>
      </c>
      <c r="T467" s="2">
        <f t="shared" si="98"/>
        <v>0</v>
      </c>
      <c r="U467" s="3" t="str">
        <f t="shared" si="99"/>
        <v/>
      </c>
      <c r="V467" s="3" t="str">
        <f t="shared" si="100"/>
        <v/>
      </c>
      <c r="W467" s="3" t="str">
        <f t="shared" si="101"/>
        <v/>
      </c>
      <c r="X467" s="3" t="str">
        <f t="shared" si="102"/>
        <v/>
      </c>
      <c r="Y467" s="3" t="str">
        <f t="shared" si="103"/>
        <v>YES</v>
      </c>
    </row>
    <row r="468" spans="1:25">
      <c r="A468" t="s">
        <v>537</v>
      </c>
      <c r="B468">
        <v>75</v>
      </c>
      <c r="C468">
        <v>5</v>
      </c>
      <c r="D468">
        <v>200</v>
      </c>
      <c r="E468">
        <v>10</v>
      </c>
      <c r="F468" t="s">
        <v>69</v>
      </c>
      <c r="G468" t="s">
        <v>70</v>
      </c>
      <c r="H468" s="2">
        <v>273</v>
      </c>
      <c r="I468" s="2">
        <v>279</v>
      </c>
      <c r="J468" s="2">
        <v>268</v>
      </c>
      <c r="K468" s="2">
        <v>195</v>
      </c>
      <c r="L468" s="2">
        <v>166</v>
      </c>
      <c r="M468" s="2">
        <f t="shared" si="91"/>
        <v>166</v>
      </c>
      <c r="N468" t="e">
        <f t="shared" ca="1" si="92"/>
        <v>#NAME?</v>
      </c>
      <c r="O468" t="str">
        <f t="shared" si="93"/>
        <v>MSIG Cost</v>
      </c>
      <c r="P468" s="2">
        <f t="shared" si="94"/>
        <v>64.457831325301214</v>
      </c>
      <c r="Q468" s="2">
        <f t="shared" si="95"/>
        <v>68.07228915662651</v>
      </c>
      <c r="R468" s="2">
        <f t="shared" si="96"/>
        <v>61.445783132530117</v>
      </c>
      <c r="S468" s="2">
        <f t="shared" si="97"/>
        <v>17.46987951807229</v>
      </c>
      <c r="T468" s="2">
        <f t="shared" si="98"/>
        <v>0</v>
      </c>
      <c r="U468" s="3" t="str">
        <f t="shared" si="99"/>
        <v/>
      </c>
      <c r="V468" s="3" t="str">
        <f t="shared" si="100"/>
        <v/>
      </c>
      <c r="W468" s="3" t="str">
        <f t="shared" si="101"/>
        <v/>
      </c>
      <c r="X468" s="3" t="str">
        <f t="shared" si="102"/>
        <v/>
      </c>
      <c r="Y468" s="3" t="str">
        <f t="shared" si="103"/>
        <v>YES</v>
      </c>
    </row>
    <row r="469" spans="1:25">
      <c r="A469" t="s">
        <v>538</v>
      </c>
      <c r="B469">
        <v>75</v>
      </c>
      <c r="C469">
        <v>5</v>
      </c>
      <c r="D469">
        <v>200</v>
      </c>
      <c r="E469">
        <v>10</v>
      </c>
      <c r="F469" t="s">
        <v>69</v>
      </c>
      <c r="G469" t="s">
        <v>70</v>
      </c>
      <c r="H469" s="2">
        <v>218</v>
      </c>
      <c r="I469" s="2">
        <v>231</v>
      </c>
      <c r="J469" s="2">
        <v>224</v>
      </c>
      <c r="K469" s="2">
        <v>178</v>
      </c>
      <c r="L469" s="2">
        <v>150</v>
      </c>
      <c r="M469" s="2">
        <f t="shared" si="91"/>
        <v>150</v>
      </c>
      <c r="N469" t="e">
        <f t="shared" ca="1" si="92"/>
        <v>#NAME?</v>
      </c>
      <c r="O469" t="str">
        <f t="shared" si="93"/>
        <v>MSIG Cost</v>
      </c>
      <c r="P469" s="2">
        <f t="shared" si="94"/>
        <v>45.333333333333329</v>
      </c>
      <c r="Q469" s="2">
        <f t="shared" si="95"/>
        <v>54</v>
      </c>
      <c r="R469" s="2">
        <f t="shared" si="96"/>
        <v>49.333333333333336</v>
      </c>
      <c r="S469" s="2">
        <f t="shared" si="97"/>
        <v>18.666666666666668</v>
      </c>
      <c r="T469" s="2">
        <f t="shared" si="98"/>
        <v>0</v>
      </c>
      <c r="U469" s="3" t="str">
        <f t="shared" si="99"/>
        <v/>
      </c>
      <c r="V469" s="3" t="str">
        <f t="shared" si="100"/>
        <v/>
      </c>
      <c r="W469" s="3" t="str">
        <f t="shared" si="101"/>
        <v/>
      </c>
      <c r="X469" s="3" t="str">
        <f t="shared" si="102"/>
        <v/>
      </c>
      <c r="Y469" s="3" t="str">
        <f t="shared" si="103"/>
        <v>YES</v>
      </c>
    </row>
    <row r="470" spans="1:25">
      <c r="A470" t="s">
        <v>539</v>
      </c>
      <c r="B470">
        <v>75</v>
      </c>
      <c r="C470">
        <v>5</v>
      </c>
      <c r="D470">
        <v>200</v>
      </c>
      <c r="E470">
        <v>1</v>
      </c>
      <c r="F470" t="s">
        <v>69</v>
      </c>
      <c r="G470" t="s">
        <v>70</v>
      </c>
      <c r="H470" s="2">
        <v>9</v>
      </c>
      <c r="I470" s="2">
        <v>10</v>
      </c>
      <c r="J470" s="2">
        <v>10</v>
      </c>
      <c r="K470" s="2">
        <v>12</v>
      </c>
      <c r="L470" s="2">
        <v>9</v>
      </c>
      <c r="M470" s="2">
        <f t="shared" si="91"/>
        <v>9</v>
      </c>
      <c r="N470" t="e">
        <f t="shared" ca="1" si="92"/>
        <v>#NAME?</v>
      </c>
      <c r="O470" t="str">
        <f t="shared" si="93"/>
        <v/>
      </c>
      <c r="P470" s="2">
        <f t="shared" si="94"/>
        <v>0</v>
      </c>
      <c r="Q470" s="2">
        <f t="shared" si="95"/>
        <v>11.111111111111111</v>
      </c>
      <c r="R470" s="2">
        <f t="shared" si="96"/>
        <v>11.111111111111111</v>
      </c>
      <c r="S470" s="2">
        <f t="shared" si="97"/>
        <v>33.333333333333329</v>
      </c>
      <c r="T470" s="2">
        <f t="shared" si="98"/>
        <v>0</v>
      </c>
      <c r="U470" s="3" t="str">
        <f t="shared" si="99"/>
        <v>YES</v>
      </c>
      <c r="V470" s="3" t="str">
        <f t="shared" si="100"/>
        <v/>
      </c>
      <c r="W470" s="3" t="str">
        <f t="shared" si="101"/>
        <v/>
      </c>
      <c r="X470" s="3" t="str">
        <f t="shared" si="102"/>
        <v/>
      </c>
      <c r="Y470" s="3" t="str">
        <f t="shared" si="103"/>
        <v>YES</v>
      </c>
    </row>
    <row r="471" spans="1:25">
      <c r="A471" t="s">
        <v>540</v>
      </c>
      <c r="B471">
        <v>75</v>
      </c>
      <c r="C471">
        <v>5</v>
      </c>
      <c r="D471">
        <v>200</v>
      </c>
      <c r="E471">
        <v>1</v>
      </c>
      <c r="F471" t="s">
        <v>69</v>
      </c>
      <c r="G471" t="s">
        <v>70</v>
      </c>
      <c r="H471" s="2">
        <v>10</v>
      </c>
      <c r="I471" s="2">
        <v>10</v>
      </c>
      <c r="J471" s="2">
        <v>10</v>
      </c>
      <c r="K471" s="2">
        <v>13</v>
      </c>
      <c r="L471" s="2">
        <v>10</v>
      </c>
      <c r="M471" s="2">
        <f t="shared" si="91"/>
        <v>10</v>
      </c>
      <c r="N471" t="e">
        <f t="shared" ca="1" si="92"/>
        <v>#NAME?</v>
      </c>
      <c r="O471" t="str">
        <f t="shared" si="93"/>
        <v/>
      </c>
      <c r="P471" s="2">
        <f t="shared" si="94"/>
        <v>0</v>
      </c>
      <c r="Q471" s="2">
        <f t="shared" si="95"/>
        <v>0</v>
      </c>
      <c r="R471" s="2">
        <f t="shared" si="96"/>
        <v>0</v>
      </c>
      <c r="S471" s="2">
        <f t="shared" si="97"/>
        <v>30</v>
      </c>
      <c r="T471" s="2">
        <f t="shared" si="98"/>
        <v>0</v>
      </c>
      <c r="U471" s="3" t="str">
        <f t="shared" si="99"/>
        <v>YES</v>
      </c>
      <c r="V471" s="3" t="str">
        <f t="shared" si="100"/>
        <v>YES</v>
      </c>
      <c r="W471" s="3" t="str">
        <f t="shared" si="101"/>
        <v>YES</v>
      </c>
      <c r="X471" s="3" t="str">
        <f t="shared" si="102"/>
        <v/>
      </c>
      <c r="Y471" s="3" t="str">
        <f t="shared" si="103"/>
        <v>YES</v>
      </c>
    </row>
    <row r="472" spans="1:25">
      <c r="A472" t="s">
        <v>541</v>
      </c>
      <c r="B472">
        <v>75</v>
      </c>
      <c r="C472">
        <v>5</v>
      </c>
      <c r="D472">
        <v>200</v>
      </c>
      <c r="E472">
        <v>10</v>
      </c>
      <c r="F472" t="s">
        <v>91</v>
      </c>
      <c r="G472" t="s">
        <v>70</v>
      </c>
      <c r="H472" s="2">
        <v>235</v>
      </c>
      <c r="I472" s="2">
        <v>228</v>
      </c>
      <c r="J472" s="2">
        <v>229</v>
      </c>
      <c r="K472" s="2">
        <v>185</v>
      </c>
      <c r="L472" s="2">
        <v>147</v>
      </c>
      <c r="M472" s="2">
        <f t="shared" si="91"/>
        <v>147</v>
      </c>
      <c r="N472" t="e">
        <f t="shared" ca="1" si="92"/>
        <v>#NAME?</v>
      </c>
      <c r="O472" t="str">
        <f t="shared" si="93"/>
        <v>MSIG Cost</v>
      </c>
      <c r="P472" s="2">
        <f t="shared" si="94"/>
        <v>59.863945578231295</v>
      </c>
      <c r="Q472" s="2">
        <f t="shared" si="95"/>
        <v>55.102040816326522</v>
      </c>
      <c r="R472" s="2">
        <f t="shared" si="96"/>
        <v>55.782312925170061</v>
      </c>
      <c r="S472" s="2">
        <f t="shared" si="97"/>
        <v>25.850340136054424</v>
      </c>
      <c r="T472" s="2">
        <f t="shared" si="98"/>
        <v>0</v>
      </c>
      <c r="U472" s="3" t="str">
        <f t="shared" si="99"/>
        <v/>
      </c>
      <c r="V472" s="3" t="str">
        <f t="shared" si="100"/>
        <v/>
      </c>
      <c r="W472" s="3" t="str">
        <f t="shared" si="101"/>
        <v/>
      </c>
      <c r="X472" s="3" t="str">
        <f t="shared" si="102"/>
        <v/>
      </c>
      <c r="Y472" s="3" t="str">
        <f t="shared" si="103"/>
        <v>YES</v>
      </c>
    </row>
    <row r="473" spans="1:25">
      <c r="A473" t="s">
        <v>542</v>
      </c>
      <c r="B473">
        <v>75</v>
      </c>
      <c r="C473">
        <v>5</v>
      </c>
      <c r="D473">
        <v>200</v>
      </c>
      <c r="E473">
        <v>10</v>
      </c>
      <c r="F473" t="s">
        <v>69</v>
      </c>
      <c r="G473" t="s">
        <v>70</v>
      </c>
      <c r="H473" s="2">
        <v>183</v>
      </c>
      <c r="I473" s="2">
        <v>181</v>
      </c>
      <c r="J473" s="2">
        <v>186</v>
      </c>
      <c r="K473" s="2">
        <v>167</v>
      </c>
      <c r="L473" s="2">
        <v>127</v>
      </c>
      <c r="M473" s="2">
        <f t="shared" si="91"/>
        <v>127</v>
      </c>
      <c r="N473" t="e">
        <f t="shared" ca="1" si="92"/>
        <v>#NAME?</v>
      </c>
      <c r="O473" t="str">
        <f t="shared" si="93"/>
        <v>MSIG Cost</v>
      </c>
      <c r="P473" s="2">
        <f t="shared" si="94"/>
        <v>44.094488188976378</v>
      </c>
      <c r="Q473" s="2">
        <f t="shared" si="95"/>
        <v>42.519685039370081</v>
      </c>
      <c r="R473" s="2">
        <f t="shared" si="96"/>
        <v>46.45669291338583</v>
      </c>
      <c r="S473" s="2">
        <f t="shared" si="97"/>
        <v>31.496062992125985</v>
      </c>
      <c r="T473" s="2">
        <f t="shared" si="98"/>
        <v>0</v>
      </c>
      <c r="U473" s="3" t="str">
        <f t="shared" si="99"/>
        <v/>
      </c>
      <c r="V473" s="3" t="str">
        <f t="shared" si="100"/>
        <v/>
      </c>
      <c r="W473" s="3" t="str">
        <f t="shared" si="101"/>
        <v/>
      </c>
      <c r="X473" s="3" t="str">
        <f t="shared" si="102"/>
        <v/>
      </c>
      <c r="Y473" s="3" t="str">
        <f t="shared" si="103"/>
        <v>YES</v>
      </c>
    </row>
    <row r="474" spans="1:25">
      <c r="A474" t="s">
        <v>543</v>
      </c>
      <c r="B474">
        <v>75</v>
      </c>
      <c r="C474">
        <v>5</v>
      </c>
      <c r="D474">
        <v>200</v>
      </c>
      <c r="E474">
        <v>1</v>
      </c>
      <c r="F474" t="s">
        <v>69</v>
      </c>
      <c r="G474" t="s">
        <v>70</v>
      </c>
      <c r="H474" s="2">
        <v>29</v>
      </c>
      <c r="I474" s="2">
        <v>29</v>
      </c>
      <c r="J474" s="2">
        <v>30</v>
      </c>
      <c r="K474" s="2">
        <v>25</v>
      </c>
      <c r="L474" s="2">
        <v>25</v>
      </c>
      <c r="M474" s="2">
        <f t="shared" si="91"/>
        <v>25</v>
      </c>
      <c r="N474" t="e">
        <f t="shared" ca="1" si="92"/>
        <v>#NAME?</v>
      </c>
      <c r="O474" t="str">
        <f t="shared" si="93"/>
        <v/>
      </c>
      <c r="P474" s="2">
        <f t="shared" si="94"/>
        <v>16</v>
      </c>
      <c r="Q474" s="2">
        <f t="shared" si="95"/>
        <v>16</v>
      </c>
      <c r="R474" s="2">
        <f t="shared" si="96"/>
        <v>20</v>
      </c>
      <c r="S474" s="2">
        <f t="shared" si="97"/>
        <v>0</v>
      </c>
      <c r="T474" s="2">
        <f t="shared" si="98"/>
        <v>0</v>
      </c>
      <c r="U474" s="3" t="str">
        <f t="shared" si="99"/>
        <v/>
      </c>
      <c r="V474" s="3" t="str">
        <f t="shared" si="100"/>
        <v/>
      </c>
      <c r="W474" s="3" t="str">
        <f t="shared" si="101"/>
        <v/>
      </c>
      <c r="X474" s="3" t="str">
        <f t="shared" si="102"/>
        <v>YES</v>
      </c>
      <c r="Y474" s="3" t="str">
        <f t="shared" si="103"/>
        <v>YES</v>
      </c>
    </row>
    <row r="475" spans="1:25">
      <c r="A475" t="s">
        <v>544</v>
      </c>
      <c r="B475">
        <v>75</v>
      </c>
      <c r="C475">
        <v>5</v>
      </c>
      <c r="D475">
        <v>200</v>
      </c>
      <c r="E475">
        <v>1</v>
      </c>
      <c r="F475" t="s">
        <v>69</v>
      </c>
      <c r="G475" t="s">
        <v>70</v>
      </c>
      <c r="H475" s="2">
        <v>27</v>
      </c>
      <c r="I475" s="2">
        <v>27</v>
      </c>
      <c r="J475" s="2">
        <v>27</v>
      </c>
      <c r="K475" s="2">
        <v>24</v>
      </c>
      <c r="L475" s="2">
        <v>24</v>
      </c>
      <c r="M475" s="2">
        <f t="shared" si="91"/>
        <v>24</v>
      </c>
      <c r="N475" t="e">
        <f t="shared" ca="1" si="92"/>
        <v>#NAME?</v>
      </c>
      <c r="O475" t="str">
        <f t="shared" si="93"/>
        <v/>
      </c>
      <c r="P475" s="2">
        <f t="shared" si="94"/>
        <v>12.5</v>
      </c>
      <c r="Q475" s="2">
        <f t="shared" si="95"/>
        <v>12.5</v>
      </c>
      <c r="R475" s="2">
        <f t="shared" si="96"/>
        <v>12.5</v>
      </c>
      <c r="S475" s="2">
        <f t="shared" si="97"/>
        <v>0</v>
      </c>
      <c r="T475" s="2">
        <f t="shared" si="98"/>
        <v>0</v>
      </c>
      <c r="U475" s="3" t="str">
        <f t="shared" si="99"/>
        <v/>
      </c>
      <c r="V475" s="3" t="str">
        <f t="shared" si="100"/>
        <v/>
      </c>
      <c r="W475" s="3" t="str">
        <f t="shared" si="101"/>
        <v/>
      </c>
      <c r="X475" s="3" t="str">
        <f t="shared" si="102"/>
        <v>YES</v>
      </c>
      <c r="Y475" s="3" t="str">
        <f t="shared" si="103"/>
        <v>YES</v>
      </c>
    </row>
    <row r="476" spans="1:25">
      <c r="A476" t="s">
        <v>545</v>
      </c>
      <c r="B476">
        <v>75</v>
      </c>
      <c r="C476">
        <v>5</v>
      </c>
      <c r="D476">
        <v>200</v>
      </c>
      <c r="E476">
        <v>10</v>
      </c>
      <c r="F476" t="s">
        <v>69</v>
      </c>
      <c r="G476" t="s">
        <v>70</v>
      </c>
      <c r="H476" s="2">
        <v>413</v>
      </c>
      <c r="I476" s="2">
        <v>409</v>
      </c>
      <c r="J476" s="2">
        <v>398</v>
      </c>
      <c r="K476" s="2">
        <v>326</v>
      </c>
      <c r="L476" s="2">
        <v>299</v>
      </c>
      <c r="M476" s="2">
        <f t="shared" si="91"/>
        <v>299</v>
      </c>
      <c r="N476" t="e">
        <f t="shared" ca="1" si="92"/>
        <v>#NAME?</v>
      </c>
      <c r="O476" t="str">
        <f t="shared" si="93"/>
        <v>MSIG Cost</v>
      </c>
      <c r="P476" s="2">
        <f t="shared" si="94"/>
        <v>38.127090301003349</v>
      </c>
      <c r="Q476" s="2">
        <f t="shared" si="95"/>
        <v>36.789297658862871</v>
      </c>
      <c r="R476" s="2">
        <f t="shared" si="96"/>
        <v>33.110367892976591</v>
      </c>
      <c r="S476" s="2">
        <f t="shared" si="97"/>
        <v>9.0301003344481607</v>
      </c>
      <c r="T476" s="2">
        <f t="shared" si="98"/>
        <v>0</v>
      </c>
      <c r="U476" s="3" t="str">
        <f t="shared" si="99"/>
        <v/>
      </c>
      <c r="V476" s="3" t="str">
        <f t="shared" si="100"/>
        <v/>
      </c>
      <c r="W476" s="3" t="str">
        <f t="shared" si="101"/>
        <v/>
      </c>
      <c r="X476" s="3" t="str">
        <f t="shared" si="102"/>
        <v/>
      </c>
      <c r="Y476" s="3" t="str">
        <f t="shared" si="103"/>
        <v>YES</v>
      </c>
    </row>
    <row r="477" spans="1:25">
      <c r="A477" t="s">
        <v>546</v>
      </c>
      <c r="B477">
        <v>75</v>
      </c>
      <c r="C477">
        <v>5</v>
      </c>
      <c r="D477">
        <v>200</v>
      </c>
      <c r="E477">
        <v>10</v>
      </c>
      <c r="F477" t="s">
        <v>69</v>
      </c>
      <c r="G477" t="s">
        <v>70</v>
      </c>
      <c r="H477" s="2">
        <v>414</v>
      </c>
      <c r="I477" s="2">
        <v>409</v>
      </c>
      <c r="J477" s="2">
        <v>400</v>
      </c>
      <c r="K477" s="2">
        <v>322</v>
      </c>
      <c r="L477" s="2">
        <v>293</v>
      </c>
      <c r="M477" s="2">
        <f t="shared" si="91"/>
        <v>293</v>
      </c>
      <c r="N477" t="e">
        <f t="shared" ca="1" si="92"/>
        <v>#NAME?</v>
      </c>
      <c r="O477" t="str">
        <f t="shared" si="93"/>
        <v>MSIG Cost</v>
      </c>
      <c r="P477" s="2">
        <f t="shared" si="94"/>
        <v>41.296928327645048</v>
      </c>
      <c r="Q477" s="2">
        <f t="shared" si="95"/>
        <v>39.590443686006829</v>
      </c>
      <c r="R477" s="2">
        <f t="shared" si="96"/>
        <v>36.518771331058019</v>
      </c>
      <c r="S477" s="2">
        <f t="shared" si="97"/>
        <v>9.8976109215017072</v>
      </c>
      <c r="T477" s="2">
        <f t="shared" si="98"/>
        <v>0</v>
      </c>
      <c r="U477" s="3" t="str">
        <f t="shared" si="99"/>
        <v/>
      </c>
      <c r="V477" s="3" t="str">
        <f t="shared" si="100"/>
        <v/>
      </c>
      <c r="W477" s="3" t="str">
        <f t="shared" si="101"/>
        <v/>
      </c>
      <c r="X477" s="3" t="str">
        <f t="shared" si="102"/>
        <v/>
      </c>
      <c r="Y477" s="3" t="str">
        <f t="shared" si="103"/>
        <v>YES</v>
      </c>
    </row>
    <row r="478" spans="1:25">
      <c r="A478" t="s">
        <v>547</v>
      </c>
      <c r="B478">
        <v>75</v>
      </c>
      <c r="C478">
        <v>5</v>
      </c>
      <c r="D478">
        <v>200</v>
      </c>
      <c r="E478">
        <v>1</v>
      </c>
      <c r="F478" t="s">
        <v>69</v>
      </c>
      <c r="G478" t="s">
        <v>70</v>
      </c>
      <c r="H478" s="2">
        <v>23</v>
      </c>
      <c r="I478" s="2">
        <v>23</v>
      </c>
      <c r="J478" s="2">
        <v>23</v>
      </c>
      <c r="K478" s="2">
        <v>23</v>
      </c>
      <c r="L478" s="2">
        <v>22</v>
      </c>
      <c r="M478" s="2">
        <f t="shared" si="91"/>
        <v>22</v>
      </c>
      <c r="N478" t="e">
        <f t="shared" ca="1" si="92"/>
        <v>#NAME?</v>
      </c>
      <c r="O478" t="str">
        <f t="shared" si="93"/>
        <v>MSIG Cost</v>
      </c>
      <c r="P478" s="2">
        <f t="shared" si="94"/>
        <v>4.5454545454545459</v>
      </c>
      <c r="Q478" s="2">
        <f t="shared" si="95"/>
        <v>4.5454545454545459</v>
      </c>
      <c r="R478" s="2">
        <f t="shared" si="96"/>
        <v>4.5454545454545459</v>
      </c>
      <c r="S478" s="2">
        <f t="shared" si="97"/>
        <v>4.5454545454545459</v>
      </c>
      <c r="T478" s="2">
        <f t="shared" si="98"/>
        <v>0</v>
      </c>
      <c r="U478" s="3" t="str">
        <f t="shared" si="99"/>
        <v/>
      </c>
      <c r="V478" s="3" t="str">
        <f t="shared" si="100"/>
        <v/>
      </c>
      <c r="W478" s="3" t="str">
        <f t="shared" si="101"/>
        <v/>
      </c>
      <c r="X478" s="3" t="str">
        <f t="shared" si="102"/>
        <v/>
      </c>
      <c r="Y478" s="3" t="str">
        <f t="shared" si="103"/>
        <v>YES</v>
      </c>
    </row>
    <row r="479" spans="1:25">
      <c r="A479" t="s">
        <v>548</v>
      </c>
      <c r="B479">
        <v>75</v>
      </c>
      <c r="C479">
        <v>5</v>
      </c>
      <c r="D479">
        <v>200</v>
      </c>
      <c r="E479">
        <v>1</v>
      </c>
      <c r="F479" t="s">
        <v>69</v>
      </c>
      <c r="G479" t="s">
        <v>70</v>
      </c>
      <c r="H479" s="2">
        <v>22</v>
      </c>
      <c r="I479" s="2">
        <v>22</v>
      </c>
      <c r="J479" s="2">
        <v>22</v>
      </c>
      <c r="K479" s="2">
        <v>22</v>
      </c>
      <c r="L479" s="2">
        <v>21</v>
      </c>
      <c r="M479" s="2">
        <f t="shared" si="91"/>
        <v>21</v>
      </c>
      <c r="N479" t="e">
        <f t="shared" ca="1" si="92"/>
        <v>#NAME?</v>
      </c>
      <c r="O479" t="str">
        <f t="shared" si="93"/>
        <v>MSIG Cost</v>
      </c>
      <c r="P479" s="2">
        <f t="shared" si="94"/>
        <v>4.7619047619047619</v>
      </c>
      <c r="Q479" s="2">
        <f t="shared" si="95"/>
        <v>4.7619047619047619</v>
      </c>
      <c r="R479" s="2">
        <f t="shared" si="96"/>
        <v>4.7619047619047619</v>
      </c>
      <c r="S479" s="2">
        <f t="shared" si="97"/>
        <v>4.7619047619047619</v>
      </c>
      <c r="T479" s="2">
        <f t="shared" si="98"/>
        <v>0</v>
      </c>
      <c r="U479" s="3" t="str">
        <f t="shared" si="99"/>
        <v/>
      </c>
      <c r="V479" s="3" t="str">
        <f t="shared" si="100"/>
        <v/>
      </c>
      <c r="W479" s="3" t="str">
        <f t="shared" si="101"/>
        <v/>
      </c>
      <c r="X479" s="3" t="str">
        <f t="shared" si="102"/>
        <v/>
      </c>
      <c r="Y479" s="3" t="str">
        <f t="shared" si="103"/>
        <v>YES</v>
      </c>
    </row>
    <row r="480" spans="1:25">
      <c r="A480" t="s">
        <v>549</v>
      </c>
      <c r="B480">
        <v>75</v>
      </c>
      <c r="C480">
        <v>5</v>
      </c>
      <c r="D480">
        <v>200</v>
      </c>
      <c r="E480">
        <v>10</v>
      </c>
      <c r="F480" t="s">
        <v>69</v>
      </c>
      <c r="G480" t="s">
        <v>70</v>
      </c>
      <c r="H480" s="2">
        <v>372</v>
      </c>
      <c r="I480" s="2">
        <v>384</v>
      </c>
      <c r="J480" s="2">
        <v>388</v>
      </c>
      <c r="K480" s="2">
        <v>303</v>
      </c>
      <c r="L480" s="2">
        <v>276</v>
      </c>
      <c r="M480" s="2">
        <f t="shared" si="91"/>
        <v>276</v>
      </c>
      <c r="N480" t="e">
        <f t="shared" ca="1" si="92"/>
        <v>#NAME?</v>
      </c>
      <c r="O480" t="str">
        <f t="shared" si="93"/>
        <v>MSIG Cost</v>
      </c>
      <c r="P480" s="2">
        <f t="shared" si="94"/>
        <v>34.782608695652172</v>
      </c>
      <c r="Q480" s="2">
        <f t="shared" si="95"/>
        <v>39.130434782608695</v>
      </c>
      <c r="R480" s="2">
        <f t="shared" si="96"/>
        <v>40.579710144927539</v>
      </c>
      <c r="S480" s="2">
        <f t="shared" si="97"/>
        <v>9.7826086956521738</v>
      </c>
      <c r="T480" s="2">
        <f t="shared" si="98"/>
        <v>0</v>
      </c>
      <c r="U480" s="3" t="str">
        <f t="shared" si="99"/>
        <v/>
      </c>
      <c r="V480" s="3" t="str">
        <f t="shared" si="100"/>
        <v/>
      </c>
      <c r="W480" s="3" t="str">
        <f t="shared" si="101"/>
        <v/>
      </c>
      <c r="X480" s="3" t="str">
        <f t="shared" si="102"/>
        <v/>
      </c>
      <c r="Y480" s="3" t="str">
        <f t="shared" si="103"/>
        <v>YES</v>
      </c>
    </row>
    <row r="481" spans="1:25">
      <c r="A481" t="s">
        <v>550</v>
      </c>
      <c r="B481">
        <v>75</v>
      </c>
      <c r="C481">
        <v>5</v>
      </c>
      <c r="D481">
        <v>200</v>
      </c>
      <c r="E481">
        <v>10</v>
      </c>
      <c r="F481" t="s">
        <v>69</v>
      </c>
      <c r="G481" t="s">
        <v>70</v>
      </c>
      <c r="H481" s="2">
        <v>339</v>
      </c>
      <c r="I481" s="2">
        <v>347</v>
      </c>
      <c r="J481" s="2">
        <v>354</v>
      </c>
      <c r="K481" s="2">
        <v>267</v>
      </c>
      <c r="L481" s="2">
        <v>252</v>
      </c>
      <c r="M481" s="2">
        <f t="shared" si="91"/>
        <v>252</v>
      </c>
      <c r="N481" t="e">
        <f t="shared" ca="1" si="92"/>
        <v>#NAME?</v>
      </c>
      <c r="O481" t="str">
        <f t="shared" si="93"/>
        <v>MSIG Cost</v>
      </c>
      <c r="P481" s="2">
        <f t="shared" si="94"/>
        <v>34.523809523809526</v>
      </c>
      <c r="Q481" s="2">
        <f t="shared" si="95"/>
        <v>37.698412698412696</v>
      </c>
      <c r="R481" s="2">
        <f t="shared" si="96"/>
        <v>40.476190476190474</v>
      </c>
      <c r="S481" s="2">
        <f t="shared" si="97"/>
        <v>5.9523809523809517</v>
      </c>
      <c r="T481" s="2">
        <f t="shared" si="98"/>
        <v>0</v>
      </c>
      <c r="U481" s="3" t="str">
        <f t="shared" si="99"/>
        <v/>
      </c>
      <c r="V481" s="3" t="str">
        <f t="shared" si="100"/>
        <v/>
      </c>
      <c r="W481" s="3" t="str">
        <f t="shared" si="101"/>
        <v/>
      </c>
      <c r="X481" s="3" t="str">
        <f t="shared" si="102"/>
        <v/>
      </c>
      <c r="Y481" s="3" t="str">
        <f t="shared" si="103"/>
        <v>YES</v>
      </c>
    </row>
    <row r="482" spans="1:25">
      <c r="S482" cm="1">
        <f t="array" ref="S482">AVERAGE(VALUE(S2:S481))</f>
        <v>13.279736694982839</v>
      </c>
      <c r="T482" cm="1">
        <f t="array" ref="T482">AVERAGE(VALUE(T2:T481))</f>
        <v>0.18781701248745269</v>
      </c>
      <c r="Y482">
        <f>COUNTIF(Y2:Y481,"YES")</f>
        <v>459</v>
      </c>
    </row>
  </sheetData>
  <conditionalFormatting sqref="P2:T481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conditionalFormatting sqref="U2:Y481">
    <cfRule type="expression" dxfId="0" priority="2">
      <formula>U2="YES"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workbookViewId="0"/>
  </sheetViews>
  <sheetFormatPr defaultRowHeight="14.25"/>
  <cols>
    <col min="1" max="1" width="38.375" customWidth="1"/>
    <col min="2" max="2" width="4.5" customWidth="1"/>
  </cols>
  <sheetData>
    <row r="1" spans="1:2" ht="30">
      <c r="A1" s="1" t="s">
        <v>551</v>
      </c>
      <c r="B1" s="1" t="s">
        <v>552</v>
      </c>
    </row>
    <row r="2" spans="1:2">
      <c r="A2" t="s">
        <v>553</v>
      </c>
      <c r="B2">
        <v>480</v>
      </c>
    </row>
    <row r="3" spans="1:2">
      <c r="A3" t="s">
        <v>554</v>
      </c>
      <c r="B3">
        <v>480</v>
      </c>
    </row>
    <row r="4" spans="1:2">
      <c r="A4" t="s">
        <v>29</v>
      </c>
      <c r="B4">
        <v>0</v>
      </c>
    </row>
    <row r="5" spans="1:2">
      <c r="A5" t="s">
        <v>555</v>
      </c>
      <c r="B5">
        <v>0</v>
      </c>
    </row>
    <row r="6" spans="1:2">
      <c r="A6" t="s">
        <v>556</v>
      </c>
      <c r="B6">
        <v>0</v>
      </c>
    </row>
    <row r="7" spans="1:2">
      <c r="A7" t="s">
        <v>557</v>
      </c>
      <c r="B7">
        <v>0</v>
      </c>
    </row>
    <row r="8" spans="1:2">
      <c r="A8" t="s">
        <v>558</v>
      </c>
      <c r="B8">
        <v>0</v>
      </c>
    </row>
    <row r="9" spans="1:2">
      <c r="A9" t="s">
        <v>559</v>
      </c>
      <c r="B9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workbookViewId="0"/>
  </sheetViews>
  <sheetFormatPr defaultRowHeight="14.25"/>
  <cols>
    <col min="1" max="1" width="22" customWidth="1"/>
    <col min="2" max="2" width="95" customWidth="1"/>
  </cols>
  <sheetData>
    <row r="1" spans="1:2" ht="15">
      <c r="A1" s="1" t="s">
        <v>560</v>
      </c>
      <c r="B1" s="1" t="s">
        <v>561</v>
      </c>
    </row>
    <row r="2" spans="1:2">
      <c r="A2" t="s">
        <v>562</v>
      </c>
      <c r="B2" t="s">
        <v>563</v>
      </c>
    </row>
    <row r="3" spans="1:2">
      <c r="A3" t="s">
        <v>564</v>
      </c>
      <c r="B3" t="s">
        <v>565</v>
      </c>
    </row>
    <row r="4" spans="1:2">
      <c r="A4" t="s">
        <v>566</v>
      </c>
      <c r="B4" t="s">
        <v>567</v>
      </c>
    </row>
    <row r="5" spans="1:2">
      <c r="A5" t="s">
        <v>568</v>
      </c>
      <c r="B5" t="s">
        <v>569</v>
      </c>
    </row>
    <row r="6" spans="1:2">
      <c r="A6" t="s">
        <v>570</v>
      </c>
      <c r="B6" t="s">
        <v>571</v>
      </c>
    </row>
    <row r="7" spans="1:2">
      <c r="A7" t="s">
        <v>572</v>
      </c>
      <c r="B7" t="s">
        <v>573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By_n_items</vt:lpstr>
      <vt:lpstr>Comparison</vt:lpstr>
      <vt:lpstr>Unmatched_Check</vt:lpstr>
      <vt:lpstr>Calculation_Notes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Rasool Motahari</cp:lastModifiedBy>
  <dcterms:modified xsi:type="dcterms:W3CDTF">2026-05-12T14:15:40Z</dcterms:modified>
</cp:coreProperties>
</file>