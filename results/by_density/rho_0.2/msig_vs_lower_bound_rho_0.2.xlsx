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37f0344c8b4e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d68fc531fbf470f"/>
    <x:sheet xmlns:r="http://schemas.openxmlformats.org/officeDocument/2006/relationships" name="Table_Row" sheetId="2" r:id="R660822df7b2d474d"/>
    <x:sheet xmlns:r="http://schemas.openxmlformats.org/officeDocument/2006/relationships" name="Instance_Comparison" sheetId="3" r:id="Rb053565571544e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8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6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2" borderId="10" xfId="0" applyNumberFormat="1" applyFont="1" applyFill="1" applyBorder="1" applyAlignment="1">
      <x:alignment horizontal="center" vertical="center"/>
    </x:xf>
    <x:xf numFmtId="0" fontId="1" fillId="2" borderId="11" xfId="0" applyNumberFormat="1" applyFont="1" applyFill="1" applyBorder="1" applyAlignment="1">
      <x:alignment horizontal="center" vertical="center"/>
    </x:xf>
    <x:xf numFmtId="0" fontId="1" fillId="2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5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8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0" fontId="0" fillId="0" borderId="16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6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 applyAlignment="1">
      <x:alignment horizontal="center" vertical="center"/>
    </x:xf>
    <x:xf numFmtId="200" fontId="0" fillId="0" borderId="8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 applyAlignment="1">
      <x:alignment horizontal="center" vertical="center"/>
    </x:xf>
    <x:xf numFmtId="0" fontId="0" fillId="0" borderId="9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0" borderId="14" xfId="0" applyNumberFormat="1" applyFont="1" applyFill="1" applyBorder="1" applyAlignment="1">
      <x:alignment horizontal="center" vertical="center"/>
    </x:xf>
    <x:xf numFmtId="0" fontId="0" fillId="0" borderId="15" xfId="0" applyNumberFormat="1" applyFont="1" applyFill="1" applyBorder="1" applyAlignment="1">
      <x:alignment horizontal="center" vertical="center"/>
    </x:xf>
    <x:xf numFmtId="200" fontId="0" fillId="0" borderId="16" xfId="0" applyNumberFormat="1" applyFont="1" applyFill="1" applyBorder="1" applyAlignment="1">
      <x:alignment horizontal="center" vertical="center"/>
    </x:xf>
    <x:xf numFmtId="0" fontId="0" fillId="0" borderId="16" xfId="0" applyNumberFormat="1" applyFont="1" applyFill="1" applyBorder="1" applyAlignment="1">
      <x:alignment horizontal="center" vertical="center"/>
    </x:xf>
    <x:xf numFmtId="0" fontId="0" fillId="0" borderId="17" xfId="0" applyNumberFormat="1" applyFont="1" applyFill="1" applyBorder="1" applyAlignment="1">
      <x:alignment horizontal="center" vertical="center"/>
    </x:xf>
    <x:xf numFmtId="200" fontId="0" fillId="0" borderId="6" xfId="0" applyNumberFormat="1" applyFont="1" applyFill="1" applyBorder="1" applyAlignment="1">
      <x:alignment vertical="center"/>
    </x:xf>
    <x:xf numFmtId="200" fontId="0" fillId="0" borderId="9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245ca3dd5842a9" /><Relationship Type="http://schemas.openxmlformats.org/officeDocument/2006/relationships/theme" Target="/xl/theme/theme1.xml" Id="Raa4d33af0c3545c7" /><Relationship Type="http://schemas.openxmlformats.org/officeDocument/2006/relationships/sharedStrings" Target="/xl/sharedStrings.xml" Id="R24add472af144a98" /><Relationship Type="http://schemas.openxmlformats.org/officeDocument/2006/relationships/worksheet" Target="/xl/worksheets/sheet1.xml" Id="R4d68fc531fbf470f" /><Relationship Type="http://schemas.openxmlformats.org/officeDocument/2006/relationships/worksheet" Target="/xl/worksheets/sheet2.xml" Id="R660822df7b2d474d" /><Relationship Type="http://schemas.openxmlformats.org/officeDocument/2006/relationships/worksheet" Target="/xl/worksheets/sheet3.xml" Id="Rb053565571544e0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</x:cols>
  <x:sheetData>
    <x:row r="1">
      <x:c r="A1" s="10" t="str">
        <x:v>n</x:v>
      </x:c>
      <x:c r="B1" s="11" t="str">
        <x:v>Gap (%)</x:v>
      </x:c>
      <x:c r="C1" s="11" t="str">
        <x:v>#Opt</x:v>
      </x:c>
      <x:c r="D1" s="12" t="str">
        <x:v>Total Instances</x:v>
      </x:c>
    </x:row>
    <x:row r="2">
      <x:c r="A2" s="43" t="n">
        <x:v>25</x:v>
      </x:c>
      <x:c r="B2" s="44" t="n">
        <x:f>AVERAGEIF(Instance_Comparison!B2:B577,A2,Instance_Comparison!E2:E577)</x:f>
        <x:v>4.042007662271355</x:v>
      </x:c>
      <x:c r="C2" s="45" t="n">
        <x:f>COUNTIFS(Instance_Comparison!B2:B577,A2,Instance_Comparison!F2:F577,"YES")</x:f>
        <x:v>78</x:v>
      </x:c>
      <x:c r="D2" s="46" t="n">
        <x:f>COUNTIF(Instance_Comparison!B2:B577,A2)</x:f>
        <x:v>144</x:v>
      </x:c>
    </x:row>
    <x:row r="3">
      <x:c r="A3" s="43" t="n">
        <x:v>50</x:v>
      </x:c>
      <x:c r="B3" s="44" t="n">
        <x:f>AVERAGEIF(Instance_Comparison!B2:B577,A3,Instance_Comparison!E2:E577)</x:f>
        <x:v>8.197407483025593</x:v>
      </x:c>
      <x:c r="C3" s="45" t="n">
        <x:f>COUNTIFS(Instance_Comparison!B2:B577,A3,Instance_Comparison!F2:F577,"YES")</x:f>
        <x:v>14</x:v>
      </x:c>
      <x:c r="D3" s="46" t="n">
        <x:f>COUNTIF(Instance_Comparison!B2:B577,A3)</x:f>
        <x:v>144</x:v>
      </x:c>
    </x:row>
    <x:row r="4">
      <x:c r="A4" s="43" t="n">
        <x:v>100</x:v>
      </x:c>
      <x:c r="B4" s="44" t="n">
        <x:f>AVERAGEIF(Instance_Comparison!B2:B577,A4,Instance_Comparison!E2:E577)</x:f>
        <x:v>9.76819192335334</x:v>
      </x:c>
      <x:c r="C4" s="45" t="n">
        <x:f>COUNTIFS(Instance_Comparison!B2:B577,A4,Instance_Comparison!F2:F577,"YES")</x:f>
        <x:v>4</x:v>
      </x:c>
      <x:c r="D4" s="46" t="n">
        <x:f>COUNTIF(Instance_Comparison!B2:B577,A4)</x:f>
        <x:v>144</x:v>
      </x:c>
    </x:row>
    <x:row r="5">
      <x:c r="A5" s="43" t="n">
        <x:v>200</x:v>
      </x:c>
      <x:c r="B5" s="44" t="n">
        <x:f>AVERAGEIF(Instance_Comparison!B2:B577,A5,Instance_Comparison!E2:E577)</x:f>
        <x:v>9.839592849999995</x:v>
      </x:c>
      <x:c r="C5" s="45" t="n">
        <x:f>COUNTIFS(Instance_Comparison!B2:B577,A5,Instance_Comparison!F2:F577,"YES")</x:f>
        <x:v>3</x:v>
      </x:c>
      <x:c r="D5" s="46" t="n">
        <x:f>COUNTIF(Instance_Comparison!B2:B577,A5)</x:f>
        <x:v>144</x:v>
      </x:c>
    </x:row>
    <x:row r="6">
      <x:c r="A6" s="47" t="str">
        <x:v>All</x:v>
      </x:c>
      <x:c r="B6" s="48" t="n">
        <x:f>AVERAGE(Instance_Comparison!E2:E577)</x:f>
        <x:v>7.961799979662571</x:v>
      </x:c>
      <x:c r="C6" s="49" t="n">
        <x:f>COUNTIF(Instance_Comparison!F2:F577,"YES")</x:f>
        <x:v>99</x:v>
      </x:c>
      <x:c r="D6" s="50" t="n">
        <x:v>576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10" t="str">
        <x:v>rho</x:v>
      </x:c>
      <x:c r="B1" s="11" t="str">
        <x:v>n=25</x:v>
      </x:c>
      <x:c r="C1" s="11" t="str">
        <x:v>n=50</x:v>
      </x:c>
      <x:c r="D1" s="11" t="str">
        <x:v>n=100</x:v>
      </x:c>
      <x:c r="E1" s="11" t="str">
        <x:v>n=200</x:v>
      </x:c>
      <x:c r="F1" s="12" t="str">
        <x:v>All</x:v>
      </x:c>
    </x:row>
    <x:row r="2">
      <x:c r="A2" s="47" t="n">
        <x:v>0.2</x:v>
      </x:c>
      <x:c r="B2" s="49" t="str">
        <x:f>TEXT(Summary!B2,"0.00")&amp;"% ("&amp;Summary!C2&amp;"/"&amp;Summary!D2&amp;")"</x:f>
        <x:v>4.04% (78/144)</x:v>
      </x:c>
      <x:c r="C2" s="49" t="str">
        <x:f>TEXT(Summary!B3,"0.00")&amp;"% ("&amp;Summary!C3&amp;"/"&amp;Summary!D3&amp;")"</x:f>
        <x:v>8.20% (14/144)</x:v>
      </x:c>
      <x:c r="D2" s="49" t="str">
        <x:f>TEXT(Summary!B4,"0.00")&amp;"% ("&amp;Summary!C4&amp;"/"&amp;Summary!D4&amp;")"</x:f>
        <x:v>9.77% (4/144)</x:v>
      </x:c>
      <x:c r="E2" s="49" t="str">
        <x:f>TEXT(Summary!B5,"0.00")&amp;"% ("&amp;Summary!C5&amp;"/"&amp;Summary!D5&amp;")"</x:f>
        <x:v>9.84% (3/144)</x:v>
      </x:c>
      <x:c r="F2" s="50" t="str">
        <x:f>TEXT(Summary!B6,"0.00")&amp;"% ("&amp;Summary!C6&amp;"/"&amp;Summary!D6&amp;")"</x:f>
        <x:v>7.96% (99/576)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5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10" t="str">
        <x:v>Instance</x:v>
      </x:c>
      <x:c r="B1" s="11" t="str">
        <x:v>n_items</x:v>
      </x:c>
      <x:c r="C1" s="11" t="str">
        <x:v>MSIG Cost</x:v>
      </x:c>
      <x:c r="D1" s="11" t="str">
        <x:v>LB_MIP Hybrid</x:v>
      </x:c>
      <x:c r="E1" s="11" t="str">
        <x:v>Gap (%)</x:v>
      </x:c>
      <x:c r="F1" s="11" t="str">
        <x:v>Optimal?</x:v>
      </x:c>
      <x:c r="G1" s="11" t="str">
        <x:v>LB Status</x:v>
      </x:c>
      <x:c r="H1" s="12" t="str">
        <x:v>LB Runtime (s)</x:v>
      </x:c>
    </x:row>
    <x:row r="2">
      <x:c r="A2" s="27" t="str">
        <x:v>bpps_d10000n100m10w1000_2000s1000_2000f0_seed0</x:v>
      </x:c>
      <x:c r="B2" s="28" t="n">
        <x:v>100</x:v>
      </x:c>
      <x:c r="C2" s="28" t="n">
        <x:v>23</x:v>
      </x:c>
      <x:c r="D2" s="28" t="n">
        <x:v>22</x:v>
      </x:c>
      <x:c r="E2" s="39" t="n">
        <x:f>(C2-D2)/C2*100</x:f>
        <x:v>4.3478260869565215</x:v>
      </x:c>
      <x:c r="F2" s="28" t="str">
        <x:f>IF(C2=D2,"YES","NO")</x:f>
        <x:v>NO</x:v>
      </x:c>
      <x:c r="G2" s="28" t="str">
        <x:v>Optimal</x:v>
      </x:c>
      <x:c r="H2" s="59" t="n">
        <x:v>372.53</x:v>
      </x:c>
    </x:row>
    <x:row r="3">
      <x:c r="A3" s="27" t="str">
        <x:v>bpps_d10000n100m10w1000_2000s1000_2000f1_seed0</x:v>
      </x:c>
      <x:c r="B3" s="28" t="n">
        <x:v>100</x:v>
      </x:c>
      <x:c r="C3" s="28" t="n">
        <x:v>305</x:v>
      </x:c>
      <x:c r="D3" s="28" t="n">
        <x:v>295</x:v>
      </x:c>
      <x:c r="E3" s="39" t="n">
        <x:f>(C3-D3)/C3*100</x:f>
        <x:v>3.278688524590164</x:v>
      </x:c>
      <x:c r="F3" s="28" t="str">
        <x:f>IF(C3=D3,"YES","NO")</x:f>
        <x:v>NO</x:v>
      </x:c>
      <x:c r="G3" s="28" t="str">
        <x:v>Optimal</x:v>
      </x:c>
      <x:c r="H3" s="59" t="n">
        <x:v>33.18</x:v>
      </x:c>
    </x:row>
    <x:row r="4">
      <x:c r="A4" s="27" t="str">
        <x:v>bpps_d10000n100m10w1000_2000s100_1000f0_seed0</x:v>
      </x:c>
      <x:c r="B4" s="28" t="n">
        <x:v>100</x:v>
      </x:c>
      <x:c r="C4" s="28" t="n">
        <x:v>19</x:v>
      </x:c>
      <x:c r="D4" s="28" t="n">
        <x:v>18</x:v>
      </x:c>
      <x:c r="E4" s="39" t="n">
        <x:f>(C4-D4)/C4*100</x:f>
        <x:v>5.263157894736842</x:v>
      </x:c>
      <x:c r="F4" s="28" t="str">
        <x:f>IF(C4=D4,"YES","NO")</x:f>
        <x:v>NO</x:v>
      </x:c>
      <x:c r="G4" s="28" t="str">
        <x:v>Optimal</x:v>
      </x:c>
      <x:c r="H4" s="59" t="n">
        <x:v>577.96</x:v>
      </x:c>
    </x:row>
    <x:row r="5">
      <x:c r="A5" s="27" t="str">
        <x:v>bpps_d10000n100m10w1000_2000s100_1000f1_seed0</x:v>
      </x:c>
      <x:c r="B5" s="28" t="n">
        <x:v>100</x:v>
      </x:c>
      <x:c r="C5" s="28" t="n">
        <x:v>276</x:v>
      </x:c>
      <x:c r="D5" s="28" t="n">
        <x:v>255</x:v>
      </x:c>
      <x:c r="E5" s="39" t="n">
        <x:f>(C5-D5)/C5*100</x:f>
        <x:v>7.608695652173914</x:v>
      </x:c>
      <x:c r="F5" s="28" t="str">
        <x:f>IF(C5=D5,"YES","NO")</x:f>
        <x:v>NO</x:v>
      </x:c>
      <x:c r="G5" s="28" t="str">
        <x:v>Optimal</x:v>
      </x:c>
      <x:c r="H5" s="59" t="n">
        <x:v>33.81</x:v>
      </x:c>
    </x:row>
    <x:row r="6">
      <x:c r="A6" s="27" t="str">
        <x:v>bpps_d10000n100m10w1000_2000s100_2000f0_seed0</x:v>
      </x:c>
      <x:c r="B6" s="28" t="n">
        <x:v>100</x:v>
      </x:c>
      <x:c r="C6" s="28" t="n">
        <x:v>20</x:v>
      </x:c>
      <x:c r="D6" s="28" t="n">
        <x:v>20</x:v>
      </x:c>
      <x:c r="E6" s="39" t="n">
        <x:f>(C6-D6)/C6*100</x:f>
        <x:v>0</x:v>
      </x:c>
      <x:c r="F6" s="28" t="str">
        <x:f>IF(C6=D6,"YES","NO")</x:f>
        <x:v>YES</x:v>
      </x:c>
      <x:c r="G6" s="28" t="str">
        <x:v>Optimal</x:v>
      </x:c>
      <x:c r="H6" s="59" t="n">
        <x:v>599.21</x:v>
      </x:c>
    </x:row>
    <x:row r="7">
      <x:c r="A7" s="27" t="str">
        <x:v>bpps_d10000n100m10w1000_2000s100_2000f1_seed0</x:v>
      </x:c>
      <x:c r="B7" s="28" t="n">
        <x:v>100</x:v>
      </x:c>
      <x:c r="C7" s="28" t="n">
        <x:v>296</x:v>
      </x:c>
      <x:c r="D7" s="28" t="n">
        <x:v>272</x:v>
      </x:c>
      <x:c r="E7" s="39" t="n">
        <x:f>(C7-D7)/C7*100</x:f>
        <x:v>8.108108108108109</x:v>
      </x:c>
      <x:c r="F7" s="28" t="str">
        <x:f>IF(C7=D7,"YES","NO")</x:f>
        <x:v>NO</x:v>
      </x:c>
      <x:c r="G7" s="28" t="str">
        <x:v>Optimal</x:v>
      </x:c>
      <x:c r="H7" s="59" t="n">
        <x:v>6.16</x:v>
      </x:c>
    </x:row>
    <x:row r="8">
      <x:c r="A8" s="27" t="str">
        <x:v>bpps_d10000n100m10w100_1000s1000_2000f0_seed0</x:v>
      </x:c>
      <x:c r="B8" s="28" t="n">
        <x:v>100</x:v>
      </x:c>
      <x:c r="C8" s="28" t="n">
        <x:v>12</x:v>
      </x:c>
      <x:c r="D8" s="28" t="n">
        <x:v>10</x:v>
      </x:c>
      <x:c r="E8" s="39" t="n">
        <x:f>(C8-D8)/C8*100</x:f>
        <x:v>16.666666666666664</x:v>
      </x:c>
      <x:c r="F8" s="28" t="str">
        <x:f>IF(C8=D8,"YES","NO")</x:f>
        <x:v>NO</x:v>
      </x:c>
      <x:c r="G8" s="28" t="str">
        <x:v>Optimal</x:v>
      </x:c>
      <x:c r="H8" s="59" t="n">
        <x:v>2.83</x:v>
      </x:c>
    </x:row>
    <x:row r="9">
      <x:c r="A9" s="27" t="str">
        <x:v>bpps_d10000n100m10w100_1000s1000_2000f1_seed0</x:v>
      </x:c>
      <x:c r="B9" s="28" t="n">
        <x:v>100</x:v>
      </x:c>
      <x:c r="C9" s="28" t="n">
        <x:v>219</x:v>
      </x:c>
      <x:c r="D9" s="28" t="n">
        <x:v>193</x:v>
      </x:c>
      <x:c r="E9" s="39" t="n">
        <x:f>(C9-D9)/C9*100</x:f>
        <x:v>11.87214611872146</x:v>
      </x:c>
      <x:c r="F9" s="28" t="str">
        <x:f>IF(C9=D9,"YES","NO")</x:f>
        <x:v>NO</x:v>
      </x:c>
      <x:c r="G9" s="28" t="str">
        <x:v>Optimal</x:v>
      </x:c>
      <x:c r="H9" s="59" t="n">
        <x:v>7.73</x:v>
      </x:c>
    </x:row>
    <x:row r="10">
      <x:c r="A10" s="27" t="str">
        <x:v>bpps_d10000n100m10w100_1000s100_1000f0_seed0</x:v>
      </x:c>
      <x:c r="B10" s="28" t="n">
        <x:v>100</x:v>
      </x:c>
      <x:c r="C10" s="28" t="n">
        <x:v>10</x:v>
      </x:c>
      <x:c r="D10" s="28" t="n">
        <x:v>8</x:v>
      </x:c>
      <x:c r="E10" s="39" t="n">
        <x:f>(C10-D10)/C10*100</x:f>
        <x:v>20</x:v>
      </x:c>
      <x:c r="F10" s="28" t="str">
        <x:f>IF(C10=D10,"YES","NO")</x:f>
        <x:v>NO</x:v>
      </x:c>
      <x:c r="G10" s="28" t="str">
        <x:v>Optimal</x:v>
      </x:c>
      <x:c r="H10" s="59" t="n">
        <x:v>304.67</x:v>
      </x:c>
    </x:row>
    <x:row r="11">
      <x:c r="A11" s="27" t="str">
        <x:v>bpps_d10000n100m10w100_1000s100_1000f1_seed0</x:v>
      </x:c>
      <x:c r="B11" s="28" t="n">
        <x:v>100</x:v>
      </x:c>
      <x:c r="C11" s="28" t="n">
        <x:v>207</x:v>
      </x:c>
      <x:c r="D11" s="28" t="n">
        <x:v>167</x:v>
      </x:c>
      <x:c r="E11" s="39" t="n">
        <x:f>(C11-D11)/C11*100</x:f>
        <x:v>19.32367149758454</x:v>
      </x:c>
      <x:c r="F11" s="28" t="str">
        <x:f>IF(C11=D11,"YES","NO")</x:f>
        <x:v>NO</x:v>
      </x:c>
      <x:c r="G11" s="28" t="str">
        <x:v>Optimal</x:v>
      </x:c>
      <x:c r="H11" s="59" t="n">
        <x:v>11.79</x:v>
      </x:c>
    </x:row>
    <x:row r="12">
      <x:c r="A12" s="27" t="str">
        <x:v>bpps_d10000n100m10w100_1000s100_2000f0_seed0</x:v>
      </x:c>
      <x:c r="B12" s="28" t="n">
        <x:v>100</x:v>
      </x:c>
      <x:c r="C12" s="28" t="n">
        <x:v>11</x:v>
      </x:c>
      <x:c r="D12" s="28" t="n">
        <x:v>9</x:v>
      </x:c>
      <x:c r="E12" s="39" t="n">
        <x:f>(C12-D12)/C12*100</x:f>
        <x:v>18.181818181818183</x:v>
      </x:c>
      <x:c r="F12" s="28" t="str">
        <x:f>IF(C12=D12,"YES","NO")</x:f>
        <x:v>NO</x:v>
      </x:c>
      <x:c r="G12" s="28" t="str">
        <x:v>Optimal</x:v>
      </x:c>
      <x:c r="H12" s="59" t="n">
        <x:v>308.76</x:v>
      </x:c>
    </x:row>
    <x:row r="13">
      <x:c r="A13" s="27" t="str">
        <x:v>bpps_d10000n100m10w100_1000s100_2000f1_seed0</x:v>
      </x:c>
      <x:c r="B13" s="28" t="n">
        <x:v>100</x:v>
      </x:c>
      <x:c r="C13" s="28" t="n">
        <x:v>216</x:v>
      </x:c>
      <x:c r="D13" s="28" t="n">
        <x:v>197</x:v>
      </x:c>
      <x:c r="E13" s="39" t="n">
        <x:f>(C13-D13)/C13*100</x:f>
        <x:v>8.796296296296296</x:v>
      </x:c>
      <x:c r="F13" s="28" t="str">
        <x:f>IF(C13=D13,"YES","NO")</x:f>
        <x:v>NO</x:v>
      </x:c>
      <x:c r="G13" s="28" t="str">
        <x:v>Optimal</x:v>
      </x:c>
      <x:c r="H13" s="59" t="n">
        <x:v>4.41</x:v>
      </x:c>
    </x:row>
    <x:row r="14">
      <x:c r="A14" s="27" t="str">
        <x:v>bpps_d10000n100m10w100_3000s1000_2000f0_seed0</x:v>
      </x:c>
      <x:c r="B14" s="28" t="n">
        <x:v>100</x:v>
      </x:c>
      <x:c r="C14" s="28" t="n">
        <x:v>22</x:v>
      </x:c>
      <x:c r="D14" s="28" t="n">
        <x:v>20</x:v>
      </x:c>
      <x:c r="E14" s="39" t="n">
        <x:f>(C14-D14)/C14*100</x:f>
        <x:v>9.090909090909092</x:v>
      </x:c>
      <x:c r="F14" s="28" t="str">
        <x:f>IF(C14=D14,"YES","NO")</x:f>
        <x:v>NO</x:v>
      </x:c>
      <x:c r="G14" s="28" t="str">
        <x:v>Optimal</x:v>
      </x:c>
      <x:c r="H14" s="59" t="n">
        <x:v>6.97</x:v>
      </x:c>
    </x:row>
    <x:row r="15">
      <x:c r="A15" s="27" t="str">
        <x:v>bpps_d10000n100m10w100_3000s1000_2000f1_seed0</x:v>
      </x:c>
      <x:c r="B15" s="28" t="n">
        <x:v>100</x:v>
      </x:c>
      <x:c r="C15" s="28" t="n">
        <x:v>329</x:v>
      </x:c>
      <x:c r="D15" s="28" t="n">
        <x:v>311</x:v>
      </x:c>
      <x:c r="E15" s="39" t="n">
        <x:f>(C15-D15)/C15*100</x:f>
        <x:v>5.47112462006079</x:v>
      </x:c>
      <x:c r="F15" s="28" t="str">
        <x:f>IF(C15=D15,"YES","NO")</x:f>
        <x:v>NO</x:v>
      </x:c>
      <x:c r="G15" s="28" t="str">
        <x:v>Optimal</x:v>
      </x:c>
      <x:c r="H15" s="59" t="n">
        <x:v>3.79</x:v>
      </x:c>
    </x:row>
    <x:row r="16">
      <x:c r="A16" s="27" t="str">
        <x:v>bpps_d10000n100m10w100_3000s100_1000f0_seed0</x:v>
      </x:c>
      <x:c r="B16" s="28" t="n">
        <x:v>100</x:v>
      </x:c>
      <x:c r="C16" s="28" t="n">
        <x:v>19</x:v>
      </x:c>
      <x:c r="D16" s="28" t="n">
        <x:v>18</x:v>
      </x:c>
      <x:c r="E16" s="39" t="n">
        <x:f>(C16-D16)/C16*100</x:f>
        <x:v>5.263157894736842</x:v>
      </x:c>
      <x:c r="F16" s="28" t="str">
        <x:f>IF(C16=D16,"YES","NO")</x:f>
        <x:v>NO</x:v>
      </x:c>
      <x:c r="G16" s="28" t="str">
        <x:v>Optimal</x:v>
      </x:c>
      <x:c r="H16" s="59" t="n">
        <x:v>513.75</x:v>
      </x:c>
    </x:row>
    <x:row r="17">
      <x:c r="A17" s="27" t="str">
        <x:v>bpps_d10000n100m10w100_3000s100_1000f1_seed0</x:v>
      </x:c>
      <x:c r="B17" s="28" t="n">
        <x:v>100</x:v>
      </x:c>
      <x:c r="C17" s="28" t="n">
        <x:v>291</x:v>
      </x:c>
      <x:c r="D17" s="28" t="n">
        <x:v>268</x:v>
      </x:c>
      <x:c r="E17" s="39" t="n">
        <x:f>(C17-D17)/C17*100</x:f>
        <x:v>7.903780068728522</x:v>
      </x:c>
      <x:c r="F17" s="28" t="str">
        <x:f>IF(C17=D17,"YES","NO")</x:f>
        <x:v>NO</x:v>
      </x:c>
      <x:c r="G17" s="28" t="str">
        <x:v>Optimal</x:v>
      </x:c>
      <x:c r="H17" s="59" t="n">
        <x:v>1.66</x:v>
      </x:c>
    </x:row>
    <x:row r="18">
      <x:c r="A18" s="27" t="str">
        <x:v>bpps_d10000n100m10w100_3000s100_2000f0_seed0</x:v>
      </x:c>
      <x:c r="B18" s="28" t="n">
        <x:v>100</x:v>
      </x:c>
      <x:c r="C18" s="28" t="n">
        <x:v>21</x:v>
      </x:c>
      <x:c r="D18" s="28" t="n">
        <x:v>19</x:v>
      </x:c>
      <x:c r="E18" s="39" t="n">
        <x:f>(C18-D18)/C18*100</x:f>
        <x:v>9.523809523809524</x:v>
      </x:c>
      <x:c r="F18" s="28" t="str">
        <x:f>IF(C18=D18,"YES","NO")</x:f>
        <x:v>NO</x:v>
      </x:c>
      <x:c r="G18" s="28" t="str">
        <x:v>Optimal</x:v>
      </x:c>
      <x:c r="H18" s="59" t="n">
        <x:v>2.6</x:v>
      </x:c>
    </x:row>
    <x:row r="19">
      <x:c r="A19" s="27" t="str">
        <x:v>bpps_d10000n100m10w100_3000s100_2000f1_seed0</x:v>
      </x:c>
      <x:c r="B19" s="28" t="n">
        <x:v>100</x:v>
      </x:c>
      <x:c r="C19" s="28" t="n">
        <x:v>296</x:v>
      </x:c>
      <x:c r="D19" s="28" t="n">
        <x:v>292</x:v>
      </x:c>
      <x:c r="E19" s="39" t="n">
        <x:f>(C19-D19)/C19*100</x:f>
        <x:v>1.3513513513513513</x:v>
      </x:c>
      <x:c r="F19" s="28" t="str">
        <x:f>IF(C19=D19,"YES","NO")</x:f>
        <x:v>NO</x:v>
      </x:c>
      <x:c r="G19" s="28" t="str">
        <x:v>Optimal</x:v>
      </x:c>
      <x:c r="H19" s="59" t="n">
        <x:v>1.72</x:v>
      </x:c>
    </x:row>
    <x:row r="20">
      <x:c r="A20" s="27" t="str">
        <x:v>bpps_d10000n100m10w2000_3000s1000_2000f0_seed0</x:v>
      </x:c>
      <x:c r="B20" s="28" t="n">
        <x:v>100</x:v>
      </x:c>
      <x:c r="C20" s="28" t="n">
        <x:v>35</x:v>
      </x:c>
      <x:c r="D20" s="28" t="n">
        <x:v>31</x:v>
      </x:c>
      <x:c r="E20" s="39" t="n">
        <x:f>(C20-D20)/C20*100</x:f>
        <x:v>11.428571428571429</x:v>
      </x:c>
      <x:c r="F20" s="28" t="str">
        <x:f>IF(C20=D20,"YES","NO")</x:f>
        <x:v>NO</x:v>
      </x:c>
      <x:c r="G20" s="28" t="str">
        <x:v>Optimal</x:v>
      </x:c>
      <x:c r="H20" s="59" t="n">
        <x:v>50.83</x:v>
      </x:c>
    </x:row>
    <x:row r="21">
      <x:c r="A21" s="27" t="str">
        <x:v>bpps_d10000n100m10w2000_3000s1000_2000f1_seed0</x:v>
      </x:c>
      <x:c r="B21" s="28" t="n">
        <x:v>100</x:v>
      </x:c>
      <x:c r="C21" s="28" t="n">
        <x:v>458</x:v>
      </x:c>
      <x:c r="D21" s="28" t="n">
        <x:v>431</x:v>
      </x:c>
      <x:c r="E21" s="39" t="n">
        <x:f>(C21-D21)/C21*100</x:f>
        <x:v>5.895196506550218</x:v>
      </x:c>
      <x:c r="F21" s="28" t="str">
        <x:f>IF(C21=D21,"YES","NO")</x:f>
        <x:v>NO</x:v>
      </x:c>
      <x:c r="G21" s="28" t="str">
        <x:v>Optimal</x:v>
      </x:c>
      <x:c r="H21" s="59" t="n">
        <x:v>297.32</x:v>
      </x:c>
    </x:row>
    <x:row r="22">
      <x:c r="A22" s="27" t="str">
        <x:v>bpps_d10000n100m10w2000_3000s100_1000f0_seed0</x:v>
      </x:c>
      <x:c r="B22" s="28" t="n">
        <x:v>100</x:v>
      </x:c>
      <x:c r="C22" s="28" t="n">
        <x:v>31</x:v>
      </x:c>
      <x:c r="D22" s="28" t="n">
        <x:v>28</x:v>
      </x:c>
      <x:c r="E22" s="39" t="n">
        <x:f>(C22-D22)/C22*100</x:f>
        <x:v>9.67741935483871</x:v>
      </x:c>
      <x:c r="F22" s="28" t="str">
        <x:f>IF(C22=D22,"YES","NO")</x:f>
        <x:v>NO</x:v>
      </x:c>
      <x:c r="G22" s="28" t="str">
        <x:v>Optimal</x:v>
      </x:c>
      <x:c r="H22" s="59" t="n">
        <x:v>5.04</x:v>
      </x:c>
    </x:row>
    <x:row r="23">
      <x:c r="A23" s="27" t="str">
        <x:v>bpps_d10000n100m10w2000_3000s100_1000f1_seed0</x:v>
      </x:c>
      <x:c r="B23" s="28" t="n">
        <x:v>100</x:v>
      </x:c>
      <x:c r="C23" s="28" t="n">
        <x:v>425</x:v>
      </x:c>
      <x:c r="D23" s="28" t="n">
        <x:v>400</x:v>
      </x:c>
      <x:c r="E23" s="39" t="n">
        <x:f>(C23-D23)/C23*100</x:f>
        <x:v>5.88235294117647</x:v>
      </x:c>
      <x:c r="F23" s="28" t="str">
        <x:f>IF(C23=D23,"YES","NO")</x:f>
        <x:v>NO</x:v>
      </x:c>
      <x:c r="G23" s="28" t="str">
        <x:v>Optimal</x:v>
      </x:c>
      <x:c r="H23" s="59" t="n">
        <x:v>10.5</x:v>
      </x:c>
    </x:row>
    <x:row r="24">
      <x:c r="A24" s="27" t="str">
        <x:v>bpps_d10000n100m10w2000_3000s100_2000f0_seed0</x:v>
      </x:c>
      <x:c r="B24" s="28" t="n">
        <x:v>100</x:v>
      </x:c>
      <x:c r="C24" s="28" t="n">
        <x:v>33</x:v>
      </x:c>
      <x:c r="D24" s="28" t="n">
        <x:v>30</x:v>
      </x:c>
      <x:c r="E24" s="39" t="n">
        <x:f>(C24-D24)/C24*100</x:f>
        <x:v>9.090909090909092</x:v>
      </x:c>
      <x:c r="F24" s="28" t="str">
        <x:f>IF(C24=D24,"YES","NO")</x:f>
        <x:v>NO</x:v>
      </x:c>
      <x:c r="G24" s="28" t="str">
        <x:v>Optimal</x:v>
      </x:c>
      <x:c r="H24" s="59" t="n">
        <x:v>3.61</x:v>
      </x:c>
    </x:row>
    <x:row r="25">
      <x:c r="A25" s="27" t="str">
        <x:v>bpps_d10000n100m10w2000_3000s100_2000f1_seed0</x:v>
      </x:c>
      <x:c r="B25" s="28" t="n">
        <x:v>100</x:v>
      </x:c>
      <x:c r="C25" s="28" t="n">
        <x:v>434</x:v>
      </x:c>
      <x:c r="D25" s="28" t="n">
        <x:v>411</x:v>
      </x:c>
      <x:c r="E25" s="39" t="n">
        <x:f>(C25-D25)/C25*100</x:f>
        <x:v>5.299539170506913</x:v>
      </x:c>
      <x:c r="F25" s="28" t="str">
        <x:f>IF(C25=D25,"YES","NO")</x:f>
        <x:v>NO</x:v>
      </x:c>
      <x:c r="G25" s="28" t="str">
        <x:v>Optimal</x:v>
      </x:c>
      <x:c r="H25" s="59" t="n">
        <x:v>30.24</x:v>
      </x:c>
    </x:row>
    <x:row r="26">
      <x:c r="A26" s="27" t="str">
        <x:v>bpps_d10000n100m5w1000_2000s1000_2000f0_seed0</x:v>
      </x:c>
      <x:c r="B26" s="28" t="n">
        <x:v>100</x:v>
      </x:c>
      <x:c r="C26" s="28" t="n">
        <x:v>21</x:v>
      </x:c>
      <x:c r="D26" s="28" t="n">
        <x:v>19</x:v>
      </x:c>
      <x:c r="E26" s="39" t="n">
        <x:f>(C26-D26)/C26*100</x:f>
        <x:v>9.523809523809524</x:v>
      </x:c>
      <x:c r="F26" s="28" t="str">
        <x:f>IF(C26=D26,"YES","NO")</x:f>
        <x:v>NO</x:v>
      </x:c>
      <x:c r="G26" s="28" t="str">
        <x:v>Optimal</x:v>
      </x:c>
      <x:c r="H26" s="59" t="n">
        <x:v>217.19</x:v>
      </x:c>
    </x:row>
    <x:row r="27">
      <x:c r="A27" s="27" t="str">
        <x:v>bpps_d10000n100m5w1000_2000s1000_2000f1_seed0</x:v>
      </x:c>
      <x:c r="B27" s="28" t="n">
        <x:v>100</x:v>
      </x:c>
      <x:c r="C27" s="28" t="n">
        <x:v>274</x:v>
      </x:c>
      <x:c r="D27" s="28" t="n">
        <x:v>265</x:v>
      </x:c>
      <x:c r="E27" s="39" t="n">
        <x:f>(C27-D27)/C27*100</x:f>
        <x:v>3.2846715328467155</x:v>
      </x:c>
      <x:c r="F27" s="28" t="str">
        <x:f>IF(C27=D27,"YES","NO")</x:f>
        <x:v>NO</x:v>
      </x:c>
      <x:c r="G27" s="28" t="str">
        <x:v>Optimal</x:v>
      </x:c>
      <x:c r="H27" s="59" t="n">
        <x:v>471.15</x:v>
      </x:c>
    </x:row>
    <x:row r="28">
      <x:c r="A28" s="27" t="str">
        <x:v>bpps_d10000n100m5w1000_2000s100_1000f0_seed0</x:v>
      </x:c>
      <x:c r="B28" s="28" t="n">
        <x:v>100</x:v>
      </x:c>
      <x:c r="C28" s="28" t="n">
        <x:v>18</x:v>
      </x:c>
      <x:c r="D28" s="28" t="n">
        <x:v>18</x:v>
      </x:c>
      <x:c r="E28" s="39" t="n">
        <x:f>(C28-D28)/C28*100</x:f>
        <x:v>0</x:v>
      </x:c>
      <x:c r="F28" s="28" t="str">
        <x:f>IF(C28=D28,"YES","NO")</x:f>
        <x:v>YES</x:v>
      </x:c>
      <x:c r="G28" s="28" t="str">
        <x:v>Optimal</x:v>
      </x:c>
      <x:c r="H28" s="59" t="n">
        <x:v>314.49</x:v>
      </x:c>
    </x:row>
    <x:row r="29">
      <x:c r="A29" s="27" t="str">
        <x:v>bpps_d10000n100m5w1000_2000s100_1000f1_seed0</x:v>
      </x:c>
      <x:c r="B29" s="28" t="n">
        <x:v>100</x:v>
      </x:c>
      <x:c r="C29" s="28" t="n">
        <x:v>250</x:v>
      </x:c>
      <x:c r="D29" s="28" t="n">
        <x:v>239</x:v>
      </x:c>
      <x:c r="E29" s="39" t="n">
        <x:f>(C29-D29)/C29*100</x:f>
        <x:v>4.3999999999999995</x:v>
      </x:c>
      <x:c r="F29" s="28" t="str">
        <x:f>IF(C29=D29,"YES","NO")</x:f>
        <x:v>NO</x:v>
      </x:c>
      <x:c r="G29" s="28" t="str">
        <x:v>Optimal</x:v>
      </x:c>
      <x:c r="H29" s="59" t="n">
        <x:v>301.46</x:v>
      </x:c>
    </x:row>
    <x:row r="30">
      <x:c r="A30" s="27" t="str">
        <x:v>bpps_d10000n100m5w1000_2000s100_2000f0_seed0</x:v>
      </x:c>
      <x:c r="B30" s="28" t="n">
        <x:v>100</x:v>
      </x:c>
      <x:c r="C30" s="28" t="n">
        <x:v>20</x:v>
      </x:c>
      <x:c r="D30" s="28" t="n">
        <x:v>18</x:v>
      </x:c>
      <x:c r="E30" s="39" t="n">
        <x:f>(C30-D30)/C30*100</x:f>
        <x:v>10</x:v>
      </x:c>
      <x:c r="F30" s="28" t="str">
        <x:f>IF(C30=D30,"YES","NO")</x:f>
        <x:v>NO</x:v>
      </x:c>
      <x:c r="G30" s="28" t="str">
        <x:v>Optimal</x:v>
      </x:c>
      <x:c r="H30" s="59" t="n">
        <x:v>491.48</x:v>
      </x:c>
    </x:row>
    <x:row r="31">
      <x:c r="A31" s="27" t="str">
        <x:v>bpps_d10000n100m5w1000_2000s100_2000f1_seed0</x:v>
      </x:c>
      <x:c r="B31" s="28" t="n">
        <x:v>100</x:v>
      </x:c>
      <x:c r="C31" s="28" t="n">
        <x:v>264</x:v>
      </x:c>
      <x:c r="D31" s="28" t="n">
        <x:v>254</x:v>
      </x:c>
      <x:c r="E31" s="39" t="n">
        <x:f>(C31-D31)/C31*100</x:f>
        <x:v>3.787878787878788</x:v>
      </x:c>
      <x:c r="F31" s="28" t="str">
        <x:f>IF(C31=D31,"YES","NO")</x:f>
        <x:v>NO</x:v>
      </x:c>
      <x:c r="G31" s="28" t="str">
        <x:v>Optimal</x:v>
      </x:c>
      <x:c r="H31" s="59" t="n">
        <x:v>29.59</x:v>
      </x:c>
    </x:row>
    <x:row r="32">
      <x:c r="A32" s="27" t="str">
        <x:v>bpps_d10000n100m5w100_1000s1000_2000f0_seed0</x:v>
      </x:c>
      <x:c r="B32" s="28" t="n">
        <x:v>100</x:v>
      </x:c>
      <x:c r="C32" s="28" t="n">
        <x:v>11</x:v>
      </x:c>
      <x:c r="D32" s="28" t="n">
        <x:v>9</x:v>
      </x:c>
      <x:c r="E32" s="39" t="n">
        <x:f>(C32-D32)/C32*100</x:f>
        <x:v>18.181818181818183</x:v>
      </x:c>
      <x:c r="F32" s="28" t="str">
        <x:f>IF(C32=D32,"YES","NO")</x:f>
        <x:v>NO</x:v>
      </x:c>
      <x:c r="G32" s="28" t="str">
        <x:v>Optimal</x:v>
      </x:c>
      <x:c r="H32" s="59" t="n">
        <x:v>3.4</x:v>
      </x:c>
    </x:row>
    <x:row r="33">
      <x:c r="A33" s="27" t="str">
        <x:v>bpps_d10000n100m5w100_1000s1000_2000f1_seed0</x:v>
      </x:c>
      <x:c r="B33" s="28" t="n">
        <x:v>100</x:v>
      </x:c>
      <x:c r="C33" s="28" t="n">
        <x:v>177</x:v>
      </x:c>
      <x:c r="D33" s="28" t="n">
        <x:v>149</x:v>
      </x:c>
      <x:c r="E33" s="39" t="n">
        <x:f>(C33-D33)/C33*100</x:f>
        <x:v>15.819209039548024</x:v>
      </x:c>
      <x:c r="F33" s="28" t="str">
        <x:f>IF(C33=D33,"YES","NO")</x:f>
        <x:v>NO</x:v>
      </x:c>
      <x:c r="G33" s="28" t="str">
        <x:v>Optimal</x:v>
      </x:c>
      <x:c r="H33" s="59" t="n">
        <x:v>3.65</x:v>
      </x:c>
    </x:row>
    <x:row r="34">
      <x:c r="A34" s="27" t="str">
        <x:v>bpps_d10000n100m5w100_1000s100_1000f0_seed0</x:v>
      </x:c>
      <x:c r="B34" s="28" t="n">
        <x:v>100</x:v>
      </x:c>
      <x:c r="C34" s="28" t="n">
        <x:v>9</x:v>
      </x:c>
      <x:c r="D34" s="28" t="n">
        <x:v>7</x:v>
      </x:c>
      <x:c r="E34" s="39" t="n">
        <x:f>(C34-D34)/C34*100</x:f>
        <x:v>22.22222222222222</x:v>
      </x:c>
      <x:c r="F34" s="28" t="str">
        <x:f>IF(C34=D34,"YES","NO")</x:f>
        <x:v>NO</x:v>
      </x:c>
      <x:c r="G34" s="28" t="str">
        <x:v>Optimal</x:v>
      </x:c>
      <x:c r="H34" s="59" t="n">
        <x:v>13.21</x:v>
      </x:c>
    </x:row>
    <x:row r="35">
      <x:c r="A35" s="27" t="str">
        <x:v>bpps_d10000n100m5w100_1000s100_1000f1_seed0</x:v>
      </x:c>
      <x:c r="B35" s="28" t="n">
        <x:v>100</x:v>
      </x:c>
      <x:c r="C35" s="28" t="n">
        <x:v>165</x:v>
      </x:c>
      <x:c r="D35" s="28" t="n">
        <x:v>127</x:v>
      </x:c>
      <x:c r="E35" s="39" t="n">
        <x:f>(C35-D35)/C35*100</x:f>
        <x:v>23.03030303030303</x:v>
      </x:c>
      <x:c r="F35" s="28" t="str">
        <x:f>IF(C35=D35,"YES","NO")</x:f>
        <x:v>NO</x:v>
      </x:c>
      <x:c r="G35" s="28" t="str">
        <x:v>Optimal</x:v>
      </x:c>
      <x:c r="H35" s="59" t="n">
        <x:v>300.56</x:v>
      </x:c>
    </x:row>
    <x:row r="36">
      <x:c r="A36" s="27" t="str">
        <x:v>bpps_d10000n100m5w100_1000s100_2000f0_seed0</x:v>
      </x:c>
      <x:c r="B36" s="28" t="n">
        <x:v>100</x:v>
      </x:c>
      <x:c r="C36" s="28" t="n">
        <x:v>10</x:v>
      </x:c>
      <x:c r="D36" s="28" t="n">
        <x:v>8</x:v>
      </x:c>
      <x:c r="E36" s="39" t="n">
        <x:f>(C36-D36)/C36*100</x:f>
        <x:v>20</x:v>
      </x:c>
      <x:c r="F36" s="28" t="str">
        <x:f>IF(C36=D36,"YES","NO")</x:f>
        <x:v>NO</x:v>
      </x:c>
      <x:c r="G36" s="28" t="str">
        <x:v>Optimal</x:v>
      </x:c>
      <x:c r="H36" s="59" t="n">
        <x:v>1.73</x:v>
      </x:c>
    </x:row>
    <x:row r="37">
      <x:c r="A37" s="27" t="str">
        <x:v>bpps_d10000n100m5w100_1000s100_2000f1_seed0</x:v>
      </x:c>
      <x:c r="B37" s="28" t="n">
        <x:v>100</x:v>
      </x:c>
      <x:c r="C37" s="28" t="n">
        <x:v>175</x:v>
      </x:c>
      <x:c r="D37" s="28" t="n">
        <x:v>137</x:v>
      </x:c>
      <x:c r="E37" s="39" t="n">
        <x:f>(C37-D37)/C37*100</x:f>
        <x:v>21.714285714285715</x:v>
      </x:c>
      <x:c r="F37" s="28" t="str">
        <x:f>IF(C37=D37,"YES","NO")</x:f>
        <x:v>NO</x:v>
      </x:c>
      <x:c r="G37" s="28" t="str">
        <x:v>Optimal</x:v>
      </x:c>
      <x:c r="H37" s="59" t="n">
        <x:v>33.92</x:v>
      </x:c>
    </x:row>
    <x:row r="38">
      <x:c r="A38" s="27" t="str">
        <x:v>bpps_d10000n100m5w100_3000s1000_2000f0_seed0</x:v>
      </x:c>
      <x:c r="B38" s="28" t="n">
        <x:v>100</x:v>
      </x:c>
      <x:c r="C38" s="28" t="n">
        <x:v>21</x:v>
      </x:c>
      <x:c r="D38" s="28" t="n">
        <x:v>19</x:v>
      </x:c>
      <x:c r="E38" s="39" t="n">
        <x:f>(C38-D38)/C38*100</x:f>
        <x:v>9.523809523809524</x:v>
      </x:c>
      <x:c r="F38" s="28" t="str">
        <x:f>IF(C38=D38,"YES","NO")</x:f>
        <x:v>NO</x:v>
      </x:c>
      <x:c r="G38" s="28" t="str">
        <x:v>Optimal</x:v>
      </x:c>
      <x:c r="H38" s="59" t="n">
        <x:v>112.48</x:v>
      </x:c>
    </x:row>
    <x:row r="39">
      <x:c r="A39" s="27" t="str">
        <x:v>bpps_d10000n100m5w100_3000s1000_2000f1_seed0</x:v>
      </x:c>
      <x:c r="B39" s="28" t="n">
        <x:v>100</x:v>
      </x:c>
      <x:c r="C39" s="28" t="n">
        <x:v>273</x:v>
      </x:c>
      <x:c r="D39" s="28" t="n">
        <x:v>256</x:v>
      </x:c>
      <x:c r="E39" s="39" t="n">
        <x:f>(C39-D39)/C39*100</x:f>
        <x:v>6.227106227106227</x:v>
      </x:c>
      <x:c r="F39" s="28" t="str">
        <x:f>IF(C39=D39,"YES","NO")</x:f>
        <x:v>NO</x:v>
      </x:c>
      <x:c r="G39" s="28" t="str">
        <x:v>Optimal</x:v>
      </x:c>
      <x:c r="H39" s="59" t="n">
        <x:v>2.76</x:v>
      </x:c>
    </x:row>
    <x:row r="40">
      <x:c r="A40" s="27" t="str">
        <x:v>bpps_d10000n100m5w100_3000s100_1000f0_seed0</x:v>
      </x:c>
      <x:c r="B40" s="28" t="n">
        <x:v>100</x:v>
      </x:c>
      <x:c r="C40" s="28" t="n">
        <x:v>18</x:v>
      </x:c>
      <x:c r="D40" s="28" t="n">
        <x:v>18</x:v>
      </x:c>
      <x:c r="E40" s="39" t="n">
        <x:f>(C40-D40)/C40*100</x:f>
        <x:v>0</x:v>
      </x:c>
      <x:c r="F40" s="28" t="str">
        <x:f>IF(C40=D40,"YES","NO")</x:f>
        <x:v>YES</x:v>
      </x:c>
      <x:c r="G40" s="28" t="str">
        <x:v>Optimal</x:v>
      </x:c>
      <x:c r="H40" s="59" t="n">
        <x:v>304.03</x:v>
      </x:c>
    </x:row>
    <x:row r="41">
      <x:c r="A41" s="27" t="str">
        <x:v>bpps_d10000n100m5w100_3000s100_1000f1_seed0</x:v>
      </x:c>
      <x:c r="B41" s="28" t="n">
        <x:v>100</x:v>
      </x:c>
      <x:c r="C41" s="28" t="n">
        <x:v>249</x:v>
      </x:c>
      <x:c r="D41" s="28" t="n">
        <x:v>236</x:v>
      </x:c>
      <x:c r="E41" s="39" t="n">
        <x:f>(C41-D41)/C41*100</x:f>
        <x:v>5.220883534136546</x:v>
      </x:c>
      <x:c r="F41" s="28" t="str">
        <x:f>IF(C41=D41,"YES","NO")</x:f>
        <x:v>NO</x:v>
      </x:c>
      <x:c r="G41" s="28" t="str">
        <x:v>Optimal</x:v>
      </x:c>
      <x:c r="H41" s="59" t="n">
        <x:v>301.55</x:v>
      </x:c>
    </x:row>
    <x:row r="42">
      <x:c r="A42" s="27" t="str">
        <x:v>bpps_d10000n100m5w100_3000s100_2000f0_seed0</x:v>
      </x:c>
      <x:c r="B42" s="28" t="n">
        <x:v>100</x:v>
      </x:c>
      <x:c r="C42" s="28" t="n">
        <x:v>20</x:v>
      </x:c>
      <x:c r="D42" s="28" t="n">
        <x:v>19</x:v>
      </x:c>
      <x:c r="E42" s="39" t="n">
        <x:f>(C42-D42)/C42*100</x:f>
        <x:v>5</x:v>
      </x:c>
      <x:c r="F42" s="28" t="str">
        <x:f>IF(C42=D42,"YES","NO")</x:f>
        <x:v>NO</x:v>
      </x:c>
      <x:c r="G42" s="28" t="str">
        <x:v>Optimal</x:v>
      </x:c>
      <x:c r="H42" s="59" t="n">
        <x:v>4.01</x:v>
      </x:c>
    </x:row>
    <x:row r="43">
      <x:c r="A43" s="27" t="str">
        <x:v>bpps_d10000n100m5w100_3000s100_2000f1_seed0</x:v>
      </x:c>
      <x:c r="B43" s="28" t="n">
        <x:v>100</x:v>
      </x:c>
      <x:c r="C43" s="28" t="n">
        <x:v>260</x:v>
      </x:c>
      <x:c r="D43" s="28" t="n">
        <x:v>249</x:v>
      </x:c>
      <x:c r="E43" s="39" t="n">
        <x:f>(C43-D43)/C43*100</x:f>
        <x:v>4.230769230769231</x:v>
      </x:c>
      <x:c r="F43" s="28" t="str">
        <x:f>IF(C43=D43,"YES","NO")</x:f>
        <x:v>NO</x:v>
      </x:c>
      <x:c r="G43" s="28" t="str">
        <x:v>Optimal</x:v>
      </x:c>
      <x:c r="H43" s="59" t="n">
        <x:v>11.25</x:v>
      </x:c>
    </x:row>
    <x:row r="44">
      <x:c r="A44" s="27" t="str">
        <x:v>bpps_d10000n100m5w2000_3000s1000_2000f0_seed0</x:v>
      </x:c>
      <x:c r="B44" s="28" t="n">
        <x:v>100</x:v>
      </x:c>
      <x:c r="C44" s="28" t="n">
        <x:v>33</x:v>
      </x:c>
      <x:c r="D44" s="28" t="n">
        <x:v>32</x:v>
      </x:c>
      <x:c r="E44" s="39" t="n">
        <x:f>(C44-D44)/C44*100</x:f>
        <x:v>3.0303030303030303</x:v>
      </x:c>
      <x:c r="F44" s="28" t="str">
        <x:f>IF(C44=D44,"YES","NO")</x:f>
        <x:v>NO</x:v>
      </x:c>
      <x:c r="G44" s="28" t="str">
        <x:v>Optimal</x:v>
      </x:c>
      <x:c r="H44" s="59" t="n">
        <x:v>295.42</x:v>
      </x:c>
    </x:row>
    <x:row r="45">
      <x:c r="A45" s="27" t="str">
        <x:v>bpps_d10000n100m5w2000_3000s1000_2000f1_seed0</x:v>
      </x:c>
      <x:c r="B45" s="28" t="n">
        <x:v>100</x:v>
      </x:c>
      <x:c r="C45" s="28" t="n">
        <x:v>451</x:v>
      </x:c>
      <x:c r="D45" s="28" t="n">
        <x:v>427</x:v>
      </x:c>
      <x:c r="E45" s="39" t="n">
        <x:f>(C45-D45)/C45*100</x:f>
        <x:v>5.321507760532151</x:v>
      </x:c>
      <x:c r="F45" s="28" t="str">
        <x:f>IF(C45=D45,"YES","NO")</x:f>
        <x:v>NO</x:v>
      </x:c>
      <x:c r="G45" s="28" t="str">
        <x:v>Optimal</x:v>
      </x:c>
      <x:c r="H45" s="59" t="n">
        <x:v>12.5</x:v>
      </x:c>
    </x:row>
    <x:row r="46">
      <x:c r="A46" s="27" t="str">
        <x:v>bpps_d10000n100m5w2000_3000s100_1000f0_seed0</x:v>
      </x:c>
      <x:c r="B46" s="28" t="n">
        <x:v>100</x:v>
      </x:c>
      <x:c r="C46" s="28" t="n">
        <x:v>31</x:v>
      </x:c>
      <x:c r="D46" s="28" t="n">
        <x:v>28</x:v>
      </x:c>
      <x:c r="E46" s="39" t="n">
        <x:f>(C46-D46)/C46*100</x:f>
        <x:v>9.67741935483871</x:v>
      </x:c>
      <x:c r="F46" s="28" t="str">
        <x:f>IF(C46=D46,"YES","NO")</x:f>
        <x:v>NO</x:v>
      </x:c>
      <x:c r="G46" s="28" t="str">
        <x:v>Optimal</x:v>
      </x:c>
      <x:c r="H46" s="59" t="n">
        <x:v>2.73</x:v>
      </x:c>
    </x:row>
    <x:row r="47">
      <x:c r="A47" s="27" t="str">
        <x:v>bpps_d10000n100m5w2000_3000s100_1000f1_seed0</x:v>
      </x:c>
      <x:c r="B47" s="28" t="n">
        <x:v>100</x:v>
      </x:c>
      <x:c r="C47" s="28" t="n">
        <x:v>405</x:v>
      </x:c>
      <x:c r="D47" s="28" t="n">
        <x:v>385</x:v>
      </x:c>
      <x:c r="E47" s="39" t="n">
        <x:f>(C47-D47)/C47*100</x:f>
        <x:v>4.938271604938271</x:v>
      </x:c>
      <x:c r="F47" s="28" t="str">
        <x:f>IF(C47=D47,"YES","NO")</x:f>
        <x:v>NO</x:v>
      </x:c>
      <x:c r="G47" s="28" t="str">
        <x:v>Optimal</x:v>
      </x:c>
      <x:c r="H47" s="59" t="n">
        <x:v>4.05</x:v>
      </x:c>
    </x:row>
    <x:row r="48">
      <x:c r="A48" s="27" t="str">
        <x:v>bpps_d10000n100m5w2000_3000s100_2000f0_seed0</x:v>
      </x:c>
      <x:c r="B48" s="28" t="n">
        <x:v>100</x:v>
      </x:c>
      <x:c r="C48" s="28" t="n">
        <x:v>33</x:v>
      </x:c>
      <x:c r="D48" s="28" t="n">
        <x:v>30</x:v>
      </x:c>
      <x:c r="E48" s="39" t="n">
        <x:f>(C48-D48)/C48*100</x:f>
        <x:v>9.090909090909092</x:v>
      </x:c>
      <x:c r="F48" s="28" t="str">
        <x:f>IF(C48=D48,"YES","NO")</x:f>
        <x:v>NO</x:v>
      </x:c>
      <x:c r="G48" s="28" t="str">
        <x:v>Optimal</x:v>
      </x:c>
      <x:c r="H48" s="59" t="n">
        <x:v>5.27</x:v>
      </x:c>
    </x:row>
    <x:row r="49">
      <x:c r="A49" s="27" t="str">
        <x:v>bpps_d10000n100m5w2000_3000s100_2000f1_seed0</x:v>
      </x:c>
      <x:c r="B49" s="28" t="n">
        <x:v>100</x:v>
      </x:c>
      <x:c r="C49" s="28" t="n">
        <x:v>431</x:v>
      </x:c>
      <x:c r="D49" s="28" t="n">
        <x:v>398</x:v>
      </x:c>
      <x:c r="E49" s="39" t="n">
        <x:f>(C49-D49)/C49*100</x:f>
        <x:v>7.65661252900232</x:v>
      </x:c>
      <x:c r="F49" s="28" t="str">
        <x:f>IF(C49=D49,"YES","NO")</x:f>
        <x:v>NO</x:v>
      </x:c>
      <x:c r="G49" s="28" t="str">
        <x:v>Optimal</x:v>
      </x:c>
      <x:c r="H49" s="59" t="n">
        <x:v>117.12</x:v>
      </x:c>
    </x:row>
    <x:row r="50">
      <x:c r="A50" s="27" t="str">
        <x:v>bpps_d10000n200m10w1000_2000s1000_2000f0_seed0</x:v>
      </x:c>
      <x:c r="B50" s="28" t="n">
        <x:v>200</x:v>
      </x:c>
      <x:c r="C50" s="28" t="n">
        <x:v>41</x:v>
      </x:c>
      <x:c r="D50" s="28" t="n">
        <x:v>37</x:v>
      </x:c>
      <x:c r="E50" s="39" t="n">
        <x:f>(C50-D50)/C50*100</x:f>
        <x:v>9.75609756097561</x:v>
      </x:c>
      <x:c r="F50" s="28" t="str">
        <x:f>IF(C50=D50,"YES","NO")</x:f>
        <x:v>NO</x:v>
      </x:c>
      <x:c r="G50" s="28" t="str">
        <x:v>Optimal</x:v>
      </x:c>
      <x:c r="H50" s="59" t="n">
        <x:v>114.93</x:v>
      </x:c>
    </x:row>
    <x:row r="51">
      <x:c r="A51" s="27" t="str">
        <x:v>bpps_d10000n200m10w1000_2000s1000_2000f1_seed0</x:v>
      </x:c>
      <x:c r="B51" s="28" t="n">
        <x:v>200</x:v>
      </x:c>
      <x:c r="C51" s="28" t="n">
        <x:v>534</x:v>
      </x:c>
      <x:c r="D51" s="28" t="n">
        <x:v>516</x:v>
      </x:c>
      <x:c r="E51" s="39" t="n">
        <x:f>(C51-D51)/C51*100</x:f>
        <x:v>3.3707865168539324</x:v>
      </x:c>
      <x:c r="F51" s="28" t="str">
        <x:f>IF(C51=D51,"YES","NO")</x:f>
        <x:v>NO</x:v>
      </x:c>
      <x:c r="G51" s="28" t="str">
        <x:v>Optimal</x:v>
      </x:c>
      <x:c r="H51" s="59" t="n">
        <x:v>431.54</x:v>
      </x:c>
    </x:row>
    <x:row r="52">
      <x:c r="A52" s="27" t="str">
        <x:v>bpps_d10000n200m10w1000_2000s100_1000f0_seed0</x:v>
      </x:c>
      <x:c r="B52" s="28" t="n">
        <x:v>200</x:v>
      </x:c>
      <x:c r="C52" s="28" t="n">
        <x:v>35</x:v>
      </x:c>
      <x:c r="D52" s="28" t="n">
        <x:v>34</x:v>
      </x:c>
      <x:c r="E52" s="39" t="n">
        <x:f>(C52-D52)/C52*100</x:f>
        <x:v>2.857142857142857</x:v>
      </x:c>
      <x:c r="F52" s="28" t="str">
        <x:f>IF(C52=D52,"YES","NO")</x:f>
        <x:v>NO</x:v>
      </x:c>
      <x:c r="G52" s="28" t="str">
        <x:v>Optimal</x:v>
      </x:c>
      <x:c r="H52" s="59" t="n">
        <x:v>303.91</x:v>
      </x:c>
    </x:row>
    <x:row r="53">
      <x:c r="A53" s="27" t="str">
        <x:v>bpps_d10000n200m10w1000_2000s100_1000f1_seed0</x:v>
      </x:c>
      <x:c r="B53" s="28" t="n">
        <x:v>200</x:v>
      </x:c>
      <x:c r="C53" s="28" t="n">
        <x:v>498</x:v>
      </x:c>
      <x:c r="D53" s="28" t="n">
        <x:v>465</x:v>
      </x:c>
      <x:c r="E53" s="39" t="n">
        <x:f>(C53-D53)/C53*100</x:f>
        <x:v>6.626506024096386</x:v>
      </x:c>
      <x:c r="F53" s="28" t="str">
        <x:f>IF(C53=D53,"YES","NO")</x:f>
        <x:v>NO</x:v>
      </x:c>
      <x:c r="G53" s="28" t="str">
        <x:v>Optimal</x:v>
      </x:c>
      <x:c r="H53" s="59" t="n">
        <x:v>303.42</x:v>
      </x:c>
    </x:row>
    <x:row r="54">
      <x:c r="A54" s="27" t="str">
        <x:v>bpps_d10000n200m10w1000_2000s100_2000f0_seed0</x:v>
      </x:c>
      <x:c r="B54" s="28" t="n">
        <x:v>200</x:v>
      </x:c>
      <x:c r="C54" s="28" t="n">
        <x:v>37</x:v>
      </x:c>
      <x:c r="D54" s="28" t="n">
        <x:v>36</x:v>
      </x:c>
      <x:c r="E54" s="39" t="n">
        <x:f>(C54-D54)/C54*100</x:f>
        <x:v>2.7027027027027026</x:v>
      </x:c>
      <x:c r="F54" s="28" t="str">
        <x:f>IF(C54=D54,"YES","NO")</x:f>
        <x:v>NO</x:v>
      </x:c>
      <x:c r="G54" s="28" t="str">
        <x:v>Optimal</x:v>
      </x:c>
      <x:c r="H54" s="59" t="n">
        <x:v>605.17</x:v>
      </x:c>
    </x:row>
    <x:row r="55">
      <x:c r="A55" s="27" t="str">
        <x:v>bpps_d10000n200m10w1000_2000s100_2000f1_seed0</x:v>
      </x:c>
      <x:c r="B55" s="28" t="n">
        <x:v>200</x:v>
      </x:c>
      <x:c r="C55" s="28" t="n">
        <x:v>505</x:v>
      </x:c>
      <x:c r="D55" s="28" t="n">
        <x:v>474</x:v>
      </x:c>
      <x:c r="E55" s="39" t="n">
        <x:f>(C55-D55)/C55*100</x:f>
        <x:v>6.138613861386139</x:v>
      </x:c>
      <x:c r="F55" s="28" t="str">
        <x:f>IF(C55=D55,"YES","NO")</x:f>
        <x:v>NO</x:v>
      </x:c>
      <x:c r="G55" s="28" t="str">
        <x:v>Optimal</x:v>
      </x:c>
      <x:c r="H55" s="59" t="n">
        <x:v>295.83</x:v>
      </x:c>
    </x:row>
    <x:row r="56">
      <x:c r="A56" s="27" t="str">
        <x:v>bpps_d10000n200m10w100_1000s1000_2000f0_seed0</x:v>
      </x:c>
      <x:c r="B56" s="28" t="n">
        <x:v>200</x:v>
      </x:c>
      <x:c r="C56" s="28" t="n">
        <x:v>21</x:v>
      </x:c>
      <x:c r="D56" s="28" t="n">
        <x:v>16</x:v>
      </x:c>
      <x:c r="E56" s="39" t="n">
        <x:f>(C56-D56)/C56*100</x:f>
        <x:v>23.809523809523807</x:v>
      </x:c>
      <x:c r="F56" s="28" t="str">
        <x:f>IF(C56=D56,"YES","NO")</x:f>
        <x:v>NO</x:v>
      </x:c>
      <x:c r="G56" s="28" t="str">
        <x:v>Optimal</x:v>
      </x:c>
      <x:c r="H56" s="59" t="n">
        <x:v>54.67</x:v>
      </x:c>
    </x:row>
    <x:row r="57">
      <x:c r="A57" s="27" t="str">
        <x:v>bpps_d10000n200m10w100_1000s1000_2000f1_seed0</x:v>
      </x:c>
      <x:c r="B57" s="28" t="n">
        <x:v>200</x:v>
      </x:c>
      <x:c r="C57" s="28" t="n">
        <x:v>352</x:v>
      </x:c>
      <x:c r="D57" s="28" t="n">
        <x:v>271</x:v>
      </x:c>
      <x:c r="E57" s="39" t="n">
        <x:f>(C57-D57)/C57*100</x:f>
        <x:v>23.011363636363637</x:v>
      </x:c>
      <x:c r="F57" s="28" t="str">
        <x:f>IF(C57=D57,"YES","NO")</x:f>
        <x:v>NO</x:v>
      </x:c>
      <x:c r="G57" s="28" t="str">
        <x:v>Optimal</x:v>
      </x:c>
      <x:c r="H57" s="59" t="n">
        <x:v>16.09</x:v>
      </x:c>
    </x:row>
    <x:row r="58">
      <x:c r="A58" s="27" t="str">
        <x:v>bpps_d10000n200m10w100_1000s100_1000f0_seed0</x:v>
      </x:c>
      <x:c r="B58" s="28" t="n">
        <x:v>200</x:v>
      </x:c>
      <x:c r="C58" s="28" t="n">
        <x:v>16</x:v>
      </x:c>
      <x:c r="D58" s="28" t="n">
        <x:v>13</x:v>
      </x:c>
      <x:c r="E58" s="39" t="n">
        <x:f>(C58-D58)/C58*100</x:f>
        <x:v>18.75</x:v>
      </x:c>
      <x:c r="F58" s="28" t="str">
        <x:f>IF(C58=D58,"YES","NO")</x:f>
        <x:v>NO</x:v>
      </x:c>
      <x:c r="G58" s="28" t="str">
        <x:v>Not Solved</x:v>
      </x:c>
      <x:c r="H58" s="59" t="n">
        <x:v>221.43</x:v>
      </x:c>
    </x:row>
    <x:row r="59">
      <x:c r="A59" s="27" t="str">
        <x:v>bpps_d10000n200m10w100_1000s100_1000f1_seed0</x:v>
      </x:c>
      <x:c r="B59" s="28" t="n">
        <x:v>200</x:v>
      </x:c>
      <x:c r="C59" s="28" t="n">
        <x:v>340</x:v>
      </x:c>
      <x:c r="D59" s="28" t="n">
        <x:v>245</x:v>
      </x:c>
      <x:c r="E59" s="39" t="n">
        <x:f>(C59-D59)/C59*100</x:f>
        <x:v>27.941176470588236</x:v>
      </x:c>
      <x:c r="F59" s="28" t="str">
        <x:f>IF(C59=D59,"YES","NO")</x:f>
        <x:v>NO</x:v>
      </x:c>
      <x:c r="G59" s="28" t="str">
        <x:v>Optimal</x:v>
      </x:c>
      <x:c r="H59" s="59" t="n">
        <x:v>69.19</x:v>
      </x:c>
    </x:row>
    <x:row r="60">
      <x:c r="A60" s="27" t="str">
        <x:v>bpps_d10000n200m10w100_1000s100_2000f0_seed0</x:v>
      </x:c>
      <x:c r="B60" s="28" t="n">
        <x:v>200</x:v>
      </x:c>
      <x:c r="C60" s="28" t="n">
        <x:v>19</x:v>
      </x:c>
      <x:c r="D60" s="28" t="n">
        <x:v>14</x:v>
      </x:c>
      <x:c r="E60" s="39" t="n">
        <x:f>(C60-D60)/C60*100</x:f>
        <x:v>26.31578947368421</x:v>
      </x:c>
      <x:c r="F60" s="28" t="str">
        <x:f>IF(C60=D60,"YES","NO")</x:f>
        <x:v>NO</x:v>
      </x:c>
      <x:c r="G60" s="28" t="str">
        <x:v>Optimal</x:v>
      </x:c>
      <x:c r="H60" s="59" t="n">
        <x:v>31.32</x:v>
      </x:c>
    </x:row>
    <x:row r="61">
      <x:c r="A61" s="27" t="str">
        <x:v>bpps_d10000n200m10w100_1000s100_2000f1_seed0</x:v>
      </x:c>
      <x:c r="B61" s="28" t="n">
        <x:v>200</x:v>
      </x:c>
      <x:c r="C61" s="28" t="n">
        <x:v>345</x:v>
      </x:c>
      <x:c r="D61" s="28" t="n">
        <x:v>252</x:v>
      </x:c>
      <x:c r="E61" s="39" t="n">
        <x:f>(C61-D61)/C61*100</x:f>
        <x:v>26.956521739130434</x:v>
      </x:c>
      <x:c r="F61" s="28" t="str">
        <x:f>IF(C61=D61,"YES","NO")</x:f>
        <x:v>NO</x:v>
      </x:c>
      <x:c r="G61" s="28" t="str">
        <x:v>Optimal</x:v>
      </x:c>
      <x:c r="H61" s="59" t="n">
        <x:v>89.26</x:v>
      </x:c>
    </x:row>
    <x:row r="62">
      <x:c r="A62" s="27" t="str">
        <x:v>bpps_d10000n200m10w100_3000s1000_2000f0_seed0</x:v>
      </x:c>
      <x:c r="B62" s="28" t="n">
        <x:v>200</x:v>
      </x:c>
      <x:c r="C62" s="28" t="n">
        <x:v>41</x:v>
      </x:c>
      <x:c r="D62" s="28" t="n">
        <x:v>38</x:v>
      </x:c>
      <x:c r="E62" s="39" t="n">
        <x:f>(C62-D62)/C62*100</x:f>
        <x:v>7.317073170731707</x:v>
      </x:c>
      <x:c r="F62" s="28" t="str">
        <x:f>IF(C62=D62,"YES","NO")</x:f>
        <x:v>NO</x:v>
      </x:c>
      <x:c r="G62" s="28" t="str">
        <x:v>Optimal</x:v>
      </x:c>
      <x:c r="H62" s="59" t="n">
        <x:v>360.76</x:v>
      </x:c>
    </x:row>
    <x:row r="63">
      <x:c r="A63" s="27" t="str">
        <x:v>bpps_d10000n200m10w100_3000s1000_2000f1_seed0</x:v>
      </x:c>
      <x:c r="B63" s="28" t="n">
        <x:v>200</x:v>
      </x:c>
      <x:c r="C63" s="28" t="n">
        <x:v>566</x:v>
      </x:c>
      <x:c r="D63" s="28" t="n">
        <x:v>552</x:v>
      </x:c>
      <x:c r="E63" s="39" t="n">
        <x:f>(C63-D63)/C63*100</x:f>
        <x:v>2.4734982332155475</x:v>
      </x:c>
      <x:c r="F63" s="28" t="str">
        <x:f>IF(C63=D63,"YES","NO")</x:f>
        <x:v>NO</x:v>
      </x:c>
      <x:c r="G63" s="28" t="str">
        <x:v>Optimal</x:v>
      </x:c>
      <x:c r="H63" s="59" t="n">
        <x:v>304.98</x:v>
      </x:c>
    </x:row>
    <x:row r="64">
      <x:c r="A64" s="27" t="str">
        <x:v>bpps_d10000n200m10w100_3000s100_1000f0_seed0</x:v>
      </x:c>
      <x:c r="B64" s="28" t="n">
        <x:v>200</x:v>
      </x:c>
      <x:c r="C64" s="28" t="n">
        <x:v>36</x:v>
      </x:c>
      <x:c r="D64" s="28" t="n">
        <x:v>34</x:v>
      </x:c>
      <x:c r="E64" s="39" t="n">
        <x:f>(C64-D64)/C64*100</x:f>
        <x:v>5.555555555555555</x:v>
      </x:c>
      <x:c r="F64" s="28" t="str">
        <x:f>IF(C64=D64,"YES","NO")</x:f>
        <x:v>NO</x:v>
      </x:c>
      <x:c r="G64" s="28" t="str">
        <x:v>Optimal</x:v>
      </x:c>
      <x:c r="H64" s="59" t="n">
        <x:v>602.31</x:v>
      </x:c>
    </x:row>
    <x:row r="65">
      <x:c r="A65" s="27" t="str">
        <x:v>bpps_d10000n200m10w100_3000s100_1000f1_seed0</x:v>
      </x:c>
      <x:c r="B65" s="28" t="n">
        <x:v>200</x:v>
      </x:c>
      <x:c r="C65" s="28" t="n">
        <x:v>515</x:v>
      </x:c>
      <x:c r="D65" s="28" t="n">
        <x:v>475</x:v>
      </x:c>
      <x:c r="E65" s="39" t="n">
        <x:f>(C65-D65)/C65*100</x:f>
        <x:v>7.766990291262135</x:v>
      </x:c>
      <x:c r="F65" s="28" t="str">
        <x:f>IF(C65=D65,"YES","NO")</x:f>
        <x:v>NO</x:v>
      </x:c>
      <x:c r="G65" s="28" t="str">
        <x:v>Optimal</x:v>
      </x:c>
      <x:c r="H65" s="59" t="n">
        <x:v>39.8</x:v>
      </x:c>
    </x:row>
    <x:row r="66">
      <x:c r="A66" s="27" t="str">
        <x:v>bpps_d10000n200m10w100_3000s100_2000f0_seed0</x:v>
      </x:c>
      <x:c r="B66" s="28" t="n">
        <x:v>200</x:v>
      </x:c>
      <x:c r="C66" s="28" t="n">
        <x:v>37</x:v>
      </x:c>
      <x:c r="D66" s="28" t="n">
        <x:v>36</x:v>
      </x:c>
      <x:c r="E66" s="39" t="n">
        <x:f>(C66-D66)/C66*100</x:f>
        <x:v>2.7027027027027026</x:v>
      </x:c>
      <x:c r="F66" s="28" t="str">
        <x:f>IF(C66=D66,"YES","NO")</x:f>
        <x:v>NO</x:v>
      </x:c>
      <x:c r="G66" s="28" t="str">
        <x:v>Optimal</x:v>
      </x:c>
      <x:c r="H66" s="59" t="n">
        <x:v>299.87</x:v>
      </x:c>
    </x:row>
    <x:row r="67">
      <x:c r="A67" s="27" t="str">
        <x:v>bpps_d10000n200m10w100_3000s100_2000f1_seed0</x:v>
      </x:c>
      <x:c r="B67" s="28" t="n">
        <x:v>200</x:v>
      </x:c>
      <x:c r="C67" s="28" t="n">
        <x:v>545</x:v>
      </x:c>
      <x:c r="D67" s="28" t="n">
        <x:v>521</x:v>
      </x:c>
      <x:c r="E67" s="39" t="n">
        <x:f>(C67-D67)/C67*100</x:f>
        <x:v>4.4036697247706424</x:v>
      </x:c>
      <x:c r="F67" s="28" t="str">
        <x:f>IF(C67=D67,"YES","NO")</x:f>
        <x:v>NO</x:v>
      </x:c>
      <x:c r="G67" s="28" t="str">
        <x:v>Optimal</x:v>
      </x:c>
      <x:c r="H67" s="59" t="n">
        <x:v>16.78</x:v>
      </x:c>
    </x:row>
    <x:row r="68">
      <x:c r="A68" s="27" t="str">
        <x:v>bpps_d10000n200m10w2000_3000s1000_2000f0_seed0</x:v>
      </x:c>
      <x:c r="B68" s="28" t="n">
        <x:v>200</x:v>
      </x:c>
      <x:c r="C68" s="28" t="n">
        <x:v>65</x:v>
      </x:c>
      <x:c r="D68" s="28" t="n">
        <x:v>62</x:v>
      </x:c>
      <x:c r="E68" s="39" t="n">
        <x:f>(C68-D68)/C68*100</x:f>
        <x:v>4.615384615384616</x:v>
      </x:c>
      <x:c r="F68" s="28" t="str">
        <x:f>IF(C68=D68,"YES","NO")</x:f>
        <x:v>NO</x:v>
      </x:c>
      <x:c r="G68" s="28" t="str">
        <x:v>Optimal</x:v>
      </x:c>
      <x:c r="H68" s="59" t="n">
        <x:v>372.11</x:v>
      </x:c>
    </x:row>
    <x:row r="69">
      <x:c r="A69" s="27" t="str">
        <x:v>bpps_d10000n200m10w2000_3000s1000_2000f1_seed0</x:v>
      </x:c>
      <x:c r="B69" s="28" t="n">
        <x:v>200</x:v>
      </x:c>
      <x:c r="C69" s="28" t="n">
        <x:v>874</x:v>
      </x:c>
      <x:c r="D69" s="28" t="n">
        <x:v>828</x:v>
      </x:c>
      <x:c r="E69" s="39" t="n">
        <x:f>(C69-D69)/C69*100</x:f>
        <x:v>5.263157894736842</x:v>
      </x:c>
      <x:c r="F69" s="28" t="str">
        <x:f>IF(C69=D69,"YES","NO")</x:f>
        <x:v>NO</x:v>
      </x:c>
      <x:c r="G69" s="28" t="str">
        <x:v>Optimal</x:v>
      </x:c>
      <x:c r="H69" s="59" t="n">
        <x:v>36.2</x:v>
      </x:c>
    </x:row>
    <x:row r="70">
      <x:c r="A70" s="27" t="str">
        <x:v>bpps_d10000n200m10w2000_3000s100_1000f0_seed0</x:v>
      </x:c>
      <x:c r="B70" s="28" t="n">
        <x:v>200</x:v>
      </x:c>
      <x:c r="C70" s="28" t="n">
        <x:v>59</x:v>
      </x:c>
      <x:c r="D70" s="28" t="n">
        <x:v>54</x:v>
      </x:c>
      <x:c r="E70" s="39" t="n">
        <x:f>(C70-D70)/C70*100</x:f>
        <x:v>8.47457627118644</x:v>
      </x:c>
      <x:c r="F70" s="28" t="str">
        <x:f>IF(C70=D70,"YES","NO")</x:f>
        <x:v>NO</x:v>
      </x:c>
      <x:c r="G70" s="28" t="str">
        <x:v>Optimal</x:v>
      </x:c>
      <x:c r="H70" s="59" t="n">
        <x:v>84.84</x:v>
      </x:c>
    </x:row>
    <x:row r="71">
      <x:c r="A71" s="27" t="str">
        <x:v>bpps_d10000n200m10w2000_3000s100_1000f1_seed0</x:v>
      </x:c>
      <x:c r="B71" s="28" t="n">
        <x:v>200</x:v>
      </x:c>
      <x:c r="C71" s="28" t="n">
        <x:v>775</x:v>
      </x:c>
      <x:c r="D71" s="28" t="n">
        <x:v>746</x:v>
      </x:c>
      <x:c r="E71" s="39" t="n">
        <x:f>(C71-D71)/C71*100</x:f>
        <x:v>3.741935483870968</x:v>
      </x:c>
      <x:c r="F71" s="28" t="str">
        <x:f>IF(C71=D71,"YES","NO")</x:f>
        <x:v>NO</x:v>
      </x:c>
      <x:c r="G71" s="28" t="str">
        <x:v>Optimal</x:v>
      </x:c>
      <x:c r="H71" s="59" t="n">
        <x:v>605.26</x:v>
      </x:c>
    </x:row>
    <x:row r="72">
      <x:c r="A72" s="27" t="str">
        <x:v>bpps_d10000n200m10w2000_3000s100_2000f0_seed0</x:v>
      </x:c>
      <x:c r="B72" s="28" t="n">
        <x:v>200</x:v>
      </x:c>
      <x:c r="C72" s="28" t="n">
        <x:v>62</x:v>
      </x:c>
      <x:c r="D72" s="28" t="n">
        <x:v>58</x:v>
      </x:c>
      <x:c r="E72" s="39" t="n">
        <x:f>(C72-D72)/C72*100</x:f>
        <x:v>6.451612903225806</x:v>
      </x:c>
      <x:c r="F72" s="28" t="str">
        <x:f>IF(C72=D72,"YES","NO")</x:f>
        <x:v>NO</x:v>
      </x:c>
      <x:c r="G72" s="28" t="str">
        <x:v>Optimal</x:v>
      </x:c>
      <x:c r="H72" s="59" t="n">
        <x:v>592.52</x:v>
      </x:c>
    </x:row>
    <x:row r="73">
      <x:c r="A73" s="27" t="str">
        <x:v>bpps_d10000n200m10w2000_3000s100_2000f1_seed0</x:v>
      </x:c>
      <x:c r="B73" s="28" t="n">
        <x:v>200</x:v>
      </x:c>
      <x:c r="C73" s="28" t="n">
        <x:v>831</x:v>
      </x:c>
      <x:c r="D73" s="28" t="n">
        <x:v>764</x:v>
      </x:c>
      <x:c r="E73" s="39" t="n">
        <x:f>(C73-D73)/C73*100</x:f>
        <x:v>8.062575210589651</x:v>
      </x:c>
      <x:c r="F73" s="28" t="str">
        <x:f>IF(C73=D73,"YES","NO")</x:f>
        <x:v>NO</x:v>
      </x:c>
      <x:c r="G73" s="28" t="str">
        <x:v>Optimal</x:v>
      </x:c>
      <x:c r="H73" s="59" t="n">
        <x:v>590.13</x:v>
      </x:c>
    </x:row>
    <x:row r="74">
      <x:c r="A74" s="27" t="str">
        <x:v>bpps_d10000n200m5w1000_2000s1000_2000f0_seed0</x:v>
      </x:c>
      <x:c r="B74" s="28" t="n">
        <x:v>200</x:v>
      </x:c>
      <x:c r="C74" s="28" t="n">
        <x:v>40</x:v>
      </x:c>
      <x:c r="D74" s="28" t="n">
        <x:v>37</x:v>
      </x:c>
      <x:c r="E74" s="39" t="n">
        <x:f>(C74-D74)/C74*100</x:f>
        <x:v>7.5</x:v>
      </x:c>
      <x:c r="F74" s="28" t="str">
        <x:f>IF(C74=D74,"YES","NO")</x:f>
        <x:v>NO</x:v>
      </x:c>
      <x:c r="G74" s="28" t="str">
        <x:v>Optimal</x:v>
      </x:c>
      <x:c r="H74" s="59" t="n">
        <x:v>30.81</x:v>
      </x:c>
    </x:row>
    <x:row r="75">
      <x:c r="A75" s="27" t="str">
        <x:v>bpps_d10000n200m5w1000_2000s1000_2000f1_seed0</x:v>
      </x:c>
      <x:c r="B75" s="28" t="n">
        <x:v>200</x:v>
      </x:c>
      <x:c r="C75" s="28" t="n">
        <x:v>507</x:v>
      </x:c>
      <x:c r="D75" s="28" t="n">
        <x:v>504</x:v>
      </x:c>
      <x:c r="E75" s="39" t="n">
        <x:f>(C75-D75)/C75*100</x:f>
        <x:v>0.591715976331361</x:v>
      </x:c>
      <x:c r="F75" s="28" t="str">
        <x:f>IF(C75=D75,"YES","NO")</x:f>
        <x:v>NO</x:v>
      </x:c>
      <x:c r="G75" s="28" t="str">
        <x:v>Optimal</x:v>
      </x:c>
      <x:c r="H75" s="59" t="n">
        <x:v>395.16</x:v>
      </x:c>
    </x:row>
    <x:row r="76">
      <x:c r="A76" s="27" t="str">
        <x:v>bpps_d10000n200m5w1000_2000s100_1000f0_seed0</x:v>
      </x:c>
      <x:c r="B76" s="28" t="n">
        <x:v>200</x:v>
      </x:c>
      <x:c r="C76" s="28" t="n">
        <x:v>35</x:v>
      </x:c>
      <x:c r="D76" s="28" t="n">
        <x:v>34</x:v>
      </x:c>
      <x:c r="E76" s="39" t="n">
        <x:f>(C76-D76)/C76*100</x:f>
        <x:v>2.857142857142857</x:v>
      </x:c>
      <x:c r="F76" s="28" t="str">
        <x:f>IF(C76=D76,"YES","NO")</x:f>
        <x:v>NO</x:v>
      </x:c>
      <x:c r="G76" s="28" t="str">
        <x:v>Optimal</x:v>
      </x:c>
      <x:c r="H76" s="59" t="n">
        <x:v>417.76</x:v>
      </x:c>
    </x:row>
    <x:row r="77">
      <x:c r="A77" s="27" t="str">
        <x:v>bpps_d10000n200m5w1000_2000s100_1000f1_seed0</x:v>
      </x:c>
      <x:c r="B77" s="28" t="n">
        <x:v>200</x:v>
      </x:c>
      <x:c r="C77" s="28" t="n">
        <x:v>467</x:v>
      </x:c>
      <x:c r="D77" s="28" t="n">
        <x:v>450</x:v>
      </x:c>
      <x:c r="E77" s="39" t="n">
        <x:f>(C77-D77)/C77*100</x:f>
        <x:v>3.640256959314775</x:v>
      </x:c>
      <x:c r="F77" s="28" t="str">
        <x:f>IF(C77=D77,"YES","NO")</x:f>
        <x:v>NO</x:v>
      </x:c>
      <x:c r="G77" s="28" t="str">
        <x:v>Optimal</x:v>
      </x:c>
      <x:c r="H77" s="59" t="n">
        <x:v>101.91</x:v>
      </x:c>
    </x:row>
    <x:row r="78">
      <x:c r="A78" s="27" t="str">
        <x:v>bpps_d10000n200m5w1000_2000s100_2000f0_seed0</x:v>
      </x:c>
      <x:c r="B78" s="28" t="n">
        <x:v>200</x:v>
      </x:c>
      <x:c r="C78" s="28" t="n">
        <x:v>37</x:v>
      </x:c>
      <x:c r="D78" s="28" t="n">
        <x:v>36</x:v>
      </x:c>
      <x:c r="E78" s="39" t="n">
        <x:f>(C78-D78)/C78*100</x:f>
        <x:v>2.7027027027027026</x:v>
      </x:c>
      <x:c r="F78" s="28" t="str">
        <x:f>IF(C78=D78,"YES","NO")</x:f>
        <x:v>NO</x:v>
      </x:c>
      <x:c r="G78" s="28" t="str">
        <x:v>Optimal</x:v>
      </x:c>
      <x:c r="H78" s="59" t="n">
        <x:v>603.99</x:v>
      </x:c>
    </x:row>
    <x:row r="79">
      <x:c r="A79" s="27" t="str">
        <x:v>bpps_d10000n200m5w1000_2000s100_2000f1_seed0</x:v>
      </x:c>
      <x:c r="B79" s="28" t="n">
        <x:v>200</x:v>
      </x:c>
      <x:c r="C79" s="28" t="n">
        <x:v>493</x:v>
      </x:c>
      <x:c r="D79" s="28" t="n">
        <x:v>465</x:v>
      </x:c>
      <x:c r="E79" s="39" t="n">
        <x:f>(C79-D79)/C79*100</x:f>
        <x:v>5.679513184584178</x:v>
      </x:c>
      <x:c r="F79" s="28" t="str">
        <x:f>IF(C79=D79,"YES","NO")</x:f>
        <x:v>NO</x:v>
      </x:c>
      <x:c r="G79" s="28" t="str">
        <x:v>Optimal</x:v>
      </x:c>
      <x:c r="H79" s="59" t="n">
        <x:v>21.16</x:v>
      </x:c>
    </x:row>
    <x:row r="80">
      <x:c r="A80" s="27" t="str">
        <x:v>bpps_d10000n200m5w100_1000s1000_2000f0_seed0</x:v>
      </x:c>
      <x:c r="B80" s="28" t="n">
        <x:v>200</x:v>
      </x:c>
      <x:c r="C80" s="28" t="n">
        <x:v>18</x:v>
      </x:c>
      <x:c r="D80" s="28" t="n">
        <x:v>14</x:v>
      </x:c>
      <x:c r="E80" s="39" t="n">
        <x:f>(C80-D80)/C80*100</x:f>
        <x:v>22.22222222222222</x:v>
      </x:c>
      <x:c r="F80" s="28" t="str">
        <x:f>IF(C80=D80,"YES","NO")</x:f>
        <x:v>NO</x:v>
      </x:c>
      <x:c r="G80" s="28" t="str">
        <x:v>Optimal</x:v>
      </x:c>
      <x:c r="H80" s="59" t="n">
        <x:v>206.83</x:v>
      </x:c>
    </x:row>
    <x:row r="81">
      <x:c r="A81" s="27" t="str">
        <x:v>bpps_d10000n200m5w100_1000s1000_2000f1_seed0</x:v>
      </x:c>
      <x:c r="B81" s="28" t="n">
        <x:v>200</x:v>
      </x:c>
      <x:c r="C81" s="28" t="n">
        <x:v>277</x:v>
      </x:c>
      <x:c r="D81" s="28" t="n">
        <x:v>208</x:v>
      </x:c>
      <x:c r="E81" s="39" t="n">
        <x:f>(C81-D81)/C81*100</x:f>
        <x:v>24.90974729241877</x:v>
      </x:c>
      <x:c r="F81" s="28" t="str">
        <x:f>IF(C81=D81,"YES","NO")</x:f>
        <x:v>NO</x:v>
      </x:c>
      <x:c r="G81" s="28" t="str">
        <x:v>Optimal</x:v>
      </x:c>
      <x:c r="H81" s="59" t="n">
        <x:v>54.1</x:v>
      </x:c>
    </x:row>
    <x:row r="82">
      <x:c r="A82" s="27" t="str">
        <x:v>bpps_d10000n200m5w100_1000s100_1000f0_seed0</x:v>
      </x:c>
      <x:c r="B82" s="28" t="n">
        <x:v>200</x:v>
      </x:c>
      <x:c r="C82" s="28" t="n">
        <x:v>16</x:v>
      </x:c>
      <x:c r="D82" s="28" t="n">
        <x:v>13</x:v>
      </x:c>
      <x:c r="E82" s="39" t="n">
        <x:f>(C82-D82)/C82*100</x:f>
        <x:v>18.75</x:v>
      </x:c>
      <x:c r="F82" s="28" t="str">
        <x:f>IF(C82=D82,"YES","NO")</x:f>
        <x:v>NO</x:v>
      </x:c>
      <x:c r="G82" s="28" t="str">
        <x:v>Optimal</x:v>
      </x:c>
      <x:c r="H82" s="59" t="n">
        <x:v>312.36</x:v>
      </x:c>
    </x:row>
    <x:row r="83">
      <x:c r="A83" s="27" t="str">
        <x:v>bpps_d10000n200m5w100_1000s100_1000f1_seed0</x:v>
      </x:c>
      <x:c r="B83" s="28" t="n">
        <x:v>200</x:v>
      </x:c>
      <x:c r="C83" s="28" t="n">
        <x:v>276</x:v>
      </x:c>
      <x:c r="D83" s="28" t="n">
        <x:v>207</x:v>
      </x:c>
      <x:c r="E83" s="39" t="n">
        <x:f>(C83-D83)/C83*100</x:f>
        <x:v>25</x:v>
      </x:c>
      <x:c r="F83" s="28" t="str">
        <x:f>IF(C83=D83,"YES","NO")</x:f>
        <x:v>NO</x:v>
      </x:c>
      <x:c r="G83" s="28" t="str">
        <x:v>Optimal</x:v>
      </x:c>
      <x:c r="H83" s="59" t="n">
        <x:v>288.41</x:v>
      </x:c>
    </x:row>
    <x:row r="84">
      <x:c r="A84" s="27" t="str">
        <x:v>bpps_d10000n200m5w100_1000s100_2000f0_seed0</x:v>
      </x:c>
      <x:c r="B84" s="28" t="n">
        <x:v>200</x:v>
      </x:c>
      <x:c r="C84" s="28" t="n">
        <x:v>17</x:v>
      </x:c>
      <x:c r="D84" s="28" t="n">
        <x:v>14</x:v>
      </x:c>
      <x:c r="E84" s="39" t="n">
        <x:f>(C84-D84)/C84*100</x:f>
        <x:v>17.647058823529413</x:v>
      </x:c>
      <x:c r="F84" s="28" t="str">
        <x:f>IF(C84=D84,"YES","NO")</x:f>
        <x:v>NO</x:v>
      </x:c>
      <x:c r="G84" s="28" t="str">
        <x:v>Optimal</x:v>
      </x:c>
      <x:c r="H84" s="59" t="n">
        <x:v>304.71</x:v>
      </x:c>
    </x:row>
    <x:row r="85">
      <x:c r="A85" s="27" t="str">
        <x:v>bpps_d10000n200m5w100_1000s100_2000f1_seed0</x:v>
      </x:c>
      <x:c r="B85" s="28" t="n">
        <x:v>200</x:v>
      </x:c>
      <x:c r="C85" s="28" t="n">
        <x:v>284</x:v>
      </x:c>
      <x:c r="D85" s="28" t="n">
        <x:v>198</x:v>
      </x:c>
      <x:c r="E85" s="39" t="n">
        <x:f>(C85-D85)/C85*100</x:f>
        <x:v>30.28169014084507</x:v>
      </x:c>
      <x:c r="F85" s="28" t="str">
        <x:f>IF(C85=D85,"YES","NO")</x:f>
        <x:v>NO</x:v>
      </x:c>
      <x:c r="G85" s="28" t="str">
        <x:v>Optimal</x:v>
      </x:c>
      <x:c r="H85" s="59" t="n">
        <x:v>88.77</x:v>
      </x:c>
    </x:row>
    <x:row r="86">
      <x:c r="A86" s="27" t="str">
        <x:v>bpps_d10000n200m5w100_3000s1000_2000f0_seed0</x:v>
      </x:c>
      <x:c r="B86" s="28" t="n">
        <x:v>200</x:v>
      </x:c>
      <x:c r="C86" s="28" t="n">
        <x:v>39</x:v>
      </x:c>
      <x:c r="D86" s="28" t="n">
        <x:v>39</x:v>
      </x:c>
      <x:c r="E86" s="39" t="n">
        <x:f>(C86-D86)/C86*100</x:f>
        <x:v>0</x:v>
      </x:c>
      <x:c r="F86" s="28" t="str">
        <x:f>IF(C86=D86,"YES","NO")</x:f>
        <x:v>YES</x:v>
      </x:c>
      <x:c r="G86" s="28" t="str">
        <x:v>Optimal</x:v>
      </x:c>
      <x:c r="H86" s="59" t="n">
        <x:v>324.94</x:v>
      </x:c>
    </x:row>
    <x:row r="87">
      <x:c r="A87" s="27" t="str">
        <x:v>bpps_d10000n200m5w100_3000s1000_2000f1_seed0</x:v>
      </x:c>
      <x:c r="B87" s="28" t="n">
        <x:v>200</x:v>
      </x:c>
      <x:c r="C87" s="28" t="n">
        <x:v>506</x:v>
      </x:c>
      <x:c r="D87" s="28" t="n">
        <x:v>496</x:v>
      </x:c>
      <x:c r="E87" s="39" t="n">
        <x:f>(C87-D87)/C87*100</x:f>
        <x:v>1.9762845849802373</x:v>
      </x:c>
      <x:c r="F87" s="28" t="str">
        <x:f>IF(C87=D87,"YES","NO")</x:f>
        <x:v>NO</x:v>
      </x:c>
      <x:c r="G87" s="28" t="str">
        <x:v>Optimal</x:v>
      </x:c>
      <x:c r="H87" s="59" t="n">
        <x:v>8.32</x:v>
      </x:c>
    </x:row>
    <x:row r="88">
      <x:c r="A88" s="27" t="str">
        <x:v>bpps_d10000n200m5w100_3000s100_1000f0_seed0</x:v>
      </x:c>
      <x:c r="B88" s="28" t="n">
        <x:v>200</x:v>
      </x:c>
      <x:c r="C88" s="28" t="n">
        <x:v>35</x:v>
      </x:c>
      <x:c r="D88" s="28" t="n">
        <x:v>33</x:v>
      </x:c>
      <x:c r="E88" s="39" t="n">
        <x:f>(C88-D88)/C88*100</x:f>
        <x:v>5.714285714285714</x:v>
      </x:c>
      <x:c r="F88" s="28" t="str">
        <x:f>IF(C88=D88,"YES","NO")</x:f>
        <x:v>NO</x:v>
      </x:c>
      <x:c r="G88" s="28" t="str">
        <x:v>Optimal</x:v>
      </x:c>
      <x:c r="H88" s="59" t="n">
        <x:v>17.27</x:v>
      </x:c>
    </x:row>
    <x:row r="89">
      <x:c r="A89" s="27" t="str">
        <x:v>bpps_d10000n200m5w100_3000s100_1000f1_seed0</x:v>
      </x:c>
      <x:c r="B89" s="28" t="n">
        <x:v>200</x:v>
      </x:c>
      <x:c r="C89" s="28" t="n">
        <x:v>460</x:v>
      </x:c>
      <x:c r="D89" s="28" t="n">
        <x:v>448</x:v>
      </x:c>
      <x:c r="E89" s="39" t="n">
        <x:f>(C89-D89)/C89*100</x:f>
        <x:v>2.608695652173913</x:v>
      </x:c>
      <x:c r="F89" s="28" t="str">
        <x:f>IF(C89=D89,"YES","NO")</x:f>
        <x:v>NO</x:v>
      </x:c>
      <x:c r="G89" s="28" t="str">
        <x:v>Optimal</x:v>
      </x:c>
      <x:c r="H89" s="59" t="n">
        <x:v>219.09</x:v>
      </x:c>
    </x:row>
    <x:row r="90">
      <x:c r="A90" s="27" t="str">
        <x:v>bpps_d10000n200m5w100_3000s100_2000f0_seed0</x:v>
      </x:c>
      <x:c r="B90" s="28" t="n">
        <x:v>200</x:v>
      </x:c>
      <x:c r="C90" s="28" t="n">
        <x:v>36</x:v>
      </x:c>
      <x:c r="D90" s="28" t="n">
        <x:v>35</x:v>
      </x:c>
      <x:c r="E90" s="39" t="n">
        <x:f>(C90-D90)/C90*100</x:f>
        <x:v>2.7777777777777777</x:v>
      </x:c>
      <x:c r="F90" s="28" t="str">
        <x:f>IF(C90=D90,"YES","NO")</x:f>
        <x:v>NO</x:v>
      </x:c>
      <x:c r="G90" s="28" t="str">
        <x:v>Optimal</x:v>
      </x:c>
      <x:c r="H90" s="59" t="n">
        <x:v>6.28</x:v>
      </x:c>
    </x:row>
    <x:row r="91">
      <x:c r="A91" s="27" t="str">
        <x:v>bpps_d10000n200m5w100_3000s100_2000f1_seed0</x:v>
      </x:c>
      <x:c r="B91" s="28" t="n">
        <x:v>200</x:v>
      </x:c>
      <x:c r="C91" s="28" t="n">
        <x:v>469</x:v>
      </x:c>
      <x:c r="D91" s="28" t="n">
        <x:v>469</x:v>
      </x:c>
      <x:c r="E91" s="39" t="n">
        <x:f>(C91-D91)/C91*100</x:f>
        <x:v>0</x:v>
      </x:c>
      <x:c r="F91" s="28" t="str">
        <x:f>IF(C91=D91,"YES","NO")</x:f>
        <x:v>YES</x:v>
      </x:c>
      <x:c r="G91" s="28" t="str">
        <x:v>Optimal</x:v>
      </x:c>
      <x:c r="H91" s="59" t="n">
        <x:v>26.73</x:v>
      </x:c>
    </x:row>
    <x:row r="92">
      <x:c r="A92" s="27" t="str">
        <x:v>bpps_d10000n200m5w2000_3000s1000_2000f0_seed0</x:v>
      </x:c>
      <x:c r="B92" s="28" t="n">
        <x:v>200</x:v>
      </x:c>
      <x:c r="C92" s="28" t="n">
        <x:v>66</x:v>
      </x:c>
      <x:c r="D92" s="28" t="n">
        <x:v>62</x:v>
      </x:c>
      <x:c r="E92" s="39" t="n">
        <x:f>(C92-D92)/C92*100</x:f>
        <x:v>6.0606060606060606</x:v>
      </x:c>
      <x:c r="F92" s="28" t="str">
        <x:f>IF(C92=D92,"YES","NO")</x:f>
        <x:v>NO</x:v>
      </x:c>
      <x:c r="G92" s="28" t="str">
        <x:v>Optimal</x:v>
      </x:c>
      <x:c r="H92" s="59" t="n">
        <x:v>600.27</x:v>
      </x:c>
    </x:row>
    <x:row r="93">
      <x:c r="A93" s="27" t="str">
        <x:v>bpps_d10000n200m5w2000_3000s1000_2000f1_seed0</x:v>
      </x:c>
      <x:c r="B93" s="28" t="n">
        <x:v>200</x:v>
      </x:c>
      <x:c r="C93" s="28" t="n">
        <x:v>853</x:v>
      </x:c>
      <x:c r="D93" s="28" t="n">
        <x:v>815</x:v>
      </x:c>
      <x:c r="E93" s="39" t="n">
        <x:f>(C93-D93)/C93*100</x:f>
        <x:v>4.4548651817116065</x:v>
      </x:c>
      <x:c r="F93" s="28" t="str">
        <x:f>IF(C93=D93,"YES","NO")</x:f>
        <x:v>NO</x:v>
      </x:c>
      <x:c r="G93" s="28" t="str">
        <x:v>Optimal</x:v>
      </x:c>
      <x:c r="H93" s="59" t="n">
        <x:v>14.7</x:v>
      </x:c>
    </x:row>
    <x:row r="94">
      <x:c r="A94" s="27" t="str">
        <x:v>bpps_d10000n200m5w2000_3000s100_1000f0_seed0</x:v>
      </x:c>
      <x:c r="B94" s="28" t="n">
        <x:v>200</x:v>
      </x:c>
      <x:c r="C94" s="28" t="n">
        <x:v>60</x:v>
      </x:c>
      <x:c r="D94" s="28" t="n">
        <x:v>55</x:v>
      </x:c>
      <x:c r="E94" s="39" t="n">
        <x:f>(C94-D94)/C94*100</x:f>
        <x:v>8.333333333333332</x:v>
      </x:c>
      <x:c r="F94" s="28" t="str">
        <x:f>IF(C94=D94,"YES","NO")</x:f>
        <x:v>NO</x:v>
      </x:c>
      <x:c r="G94" s="28" t="str">
        <x:v>Optimal</x:v>
      </x:c>
      <x:c r="H94" s="59" t="n">
        <x:v>603.32</x:v>
      </x:c>
    </x:row>
    <x:row r="95">
      <x:c r="A95" s="27" t="str">
        <x:v>bpps_d10000n200m5w2000_3000s100_1000f1_seed0</x:v>
      </x:c>
      <x:c r="B95" s="28" t="n">
        <x:v>200</x:v>
      </x:c>
      <x:c r="C95" s="28" t="n">
        <x:v>772</x:v>
      </x:c>
      <x:c r="D95" s="28" t="n">
        <x:v>737</x:v>
      </x:c>
      <x:c r="E95" s="39" t="n">
        <x:f>(C95-D95)/C95*100</x:f>
        <x:v>4.533678756476684</x:v>
      </x:c>
      <x:c r="F95" s="28" t="str">
        <x:f>IF(C95=D95,"YES","NO")</x:f>
        <x:v>NO</x:v>
      </x:c>
      <x:c r="G95" s="28" t="str">
        <x:v>Optimal</x:v>
      </x:c>
      <x:c r="H95" s="59" t="n">
        <x:v>301.25</x:v>
      </x:c>
    </x:row>
    <x:row r="96">
      <x:c r="A96" s="27" t="str">
        <x:v>bpps_d10000n200m5w2000_3000s100_2000f0_seed0</x:v>
      </x:c>
      <x:c r="B96" s="28" t="n">
        <x:v>200</x:v>
      </x:c>
      <x:c r="C96" s="28" t="n">
        <x:v>62</x:v>
      </x:c>
      <x:c r="D96" s="28" t="n">
        <x:v>58</x:v>
      </x:c>
      <x:c r="E96" s="39" t="n">
        <x:f>(C96-D96)/C96*100</x:f>
        <x:v>6.451612903225806</x:v>
      </x:c>
      <x:c r="F96" s="28" t="str">
        <x:f>IF(C96=D96,"YES","NO")</x:f>
        <x:v>NO</x:v>
      </x:c>
      <x:c r="G96" s="28" t="str">
        <x:v>Optimal</x:v>
      </x:c>
      <x:c r="H96" s="59" t="n">
        <x:v>600.61</x:v>
      </x:c>
    </x:row>
    <x:row r="97">
      <x:c r="A97" s="27" t="str">
        <x:v>bpps_d10000n200m5w2000_3000s100_2000f1_seed0</x:v>
      </x:c>
      <x:c r="B97" s="28" t="n">
        <x:v>200</x:v>
      </x:c>
      <x:c r="C97" s="28" t="n">
        <x:v>814</x:v>
      </x:c>
      <x:c r="D97" s="28" t="n">
        <x:v>775</x:v>
      </x:c>
      <x:c r="E97" s="39" t="n">
        <x:f>(C97-D97)/C97*100</x:f>
        <x:v>4.791154791154791</x:v>
      </x:c>
      <x:c r="F97" s="28" t="str">
        <x:f>IF(C97=D97,"YES","NO")</x:f>
        <x:v>NO</x:v>
      </x:c>
      <x:c r="G97" s="28" t="str">
        <x:v>Optimal</x:v>
      </x:c>
      <x:c r="H97" s="59" t="n">
        <x:v>587.43</x:v>
      </x:c>
    </x:row>
    <x:row r="98">
      <x:c r="A98" s="27" t="str">
        <x:v>bpps_d10000n25m10w1000_2000s1000_2000f0_seed0</x:v>
      </x:c>
      <x:c r="B98" s="28" t="n">
        <x:v>25</x:v>
      </x:c>
      <x:c r="C98" s="28" t="n">
        <x:v>7</x:v>
      </x:c>
      <x:c r="D98" s="28" t="n">
        <x:v>6</x:v>
      </x:c>
      <x:c r="E98" s="39" t="n">
        <x:f>(C98-D98)/C98*100</x:f>
        <x:v>14.285714285714285</x:v>
      </x:c>
      <x:c r="F98" s="28" t="str">
        <x:f>IF(C98=D98,"YES","NO")</x:f>
        <x:v>NO</x:v>
      </x:c>
      <x:c r="G98" s="28" t="str">
        <x:v>Optimal</x:v>
      </x:c>
      <x:c r="H98" s="59" t="n">
        <x:v>1.66</x:v>
      </x:c>
    </x:row>
    <x:row r="99">
      <x:c r="A99" s="27" t="str">
        <x:v>bpps_d10000n25m10w1000_2000s1000_2000f1_seed0</x:v>
      </x:c>
      <x:c r="B99" s="28" t="n">
        <x:v>25</x:v>
      </x:c>
      <x:c r="C99" s="28" t="n">
        <x:v>114</x:v>
      </x:c>
      <x:c r="D99" s="28" t="n">
        <x:v>114</x:v>
      </x:c>
      <x:c r="E99" s="39" t="n">
        <x:f>(C99-D99)/C99*100</x:f>
        <x:v>0</x:v>
      </x:c>
      <x:c r="F99" s="28" t="str">
        <x:f>IF(C99=D99,"YES","NO")</x:f>
        <x:v>YES</x:v>
      </x:c>
      <x:c r="G99" s="28" t="str">
        <x:v>Optimal</x:v>
      </x:c>
      <x:c r="H99" s="59" t="n">
        <x:v>0.45</x:v>
      </x:c>
    </x:row>
    <x:row r="100">
      <x:c r="A100" s="27" t="str">
        <x:v>bpps_d10000n25m10w1000_2000s100_1000f0_seed0</x:v>
      </x:c>
      <x:c r="B100" s="28" t="n">
        <x:v>25</x:v>
      </x:c>
      <x:c r="C100" s="28" t="n">
        <x:v>6</x:v>
      </x:c>
      <x:c r="D100" s="28" t="n">
        <x:v>5</x:v>
      </x:c>
      <x:c r="E100" s="39" t="n">
        <x:f>(C100-D100)/C100*100</x:f>
        <x:v>16.666666666666664</x:v>
      </x:c>
      <x:c r="F100" s="28" t="str">
        <x:f>IF(C100=D100,"YES","NO")</x:f>
        <x:v>NO</x:v>
      </x:c>
      <x:c r="G100" s="28" t="str">
        <x:v>Optimal</x:v>
      </x:c>
      <x:c r="H100" s="59" t="n">
        <x:v>0.86</x:v>
      </x:c>
    </x:row>
    <x:row r="101">
      <x:c r="A101" s="27" t="str">
        <x:v>bpps_d10000n25m10w1000_2000s100_1000f1_seed0</x:v>
      </x:c>
      <x:c r="B101" s="28" t="n">
        <x:v>25</x:v>
      </x:c>
      <x:c r="C101" s="28" t="n">
        <x:v>90</x:v>
      </x:c>
      <x:c r="D101" s="28" t="n">
        <x:v>89</x:v>
      </x:c>
      <x:c r="E101" s="39" t="n">
        <x:f>(C101-D101)/C101*100</x:f>
        <x:v>1.1111111111111112</x:v>
      </x:c>
      <x:c r="F101" s="28" t="str">
        <x:f>IF(C101=D101,"YES","NO")</x:f>
        <x:v>NO</x:v>
      </x:c>
      <x:c r="G101" s="28" t="str">
        <x:v>Optimal</x:v>
      </x:c>
      <x:c r="H101" s="59" t="n">
        <x:v>0.44</x:v>
      </x:c>
    </x:row>
    <x:row r="102">
      <x:c r="A102" s="27" t="str">
        <x:v>bpps_d10000n25m10w1000_2000s100_2000f0_seed0</x:v>
      </x:c>
      <x:c r="B102" s="28" t="n">
        <x:v>25</x:v>
      </x:c>
      <x:c r="C102" s="28" t="n">
        <x:v>6</x:v>
      </x:c>
      <x:c r="D102" s="28" t="n">
        <x:v>6</x:v>
      </x:c>
      <x:c r="E102" s="39" t="n">
        <x:f>(C102-D102)/C102*100</x:f>
        <x:v>0</x:v>
      </x:c>
      <x:c r="F102" s="28" t="str">
        <x:f>IF(C102=D102,"YES","NO")</x:f>
        <x:v>YES</x:v>
      </x:c>
      <x:c r="G102" s="28" t="str">
        <x:v>Optimal</x:v>
      </x:c>
      <x:c r="H102" s="59" t="n">
        <x:v>0.48</x:v>
      </x:c>
    </x:row>
    <x:row r="103">
      <x:c r="A103" s="27" t="str">
        <x:v>bpps_d10000n25m10w1000_2000s100_2000f1_seed0</x:v>
      </x:c>
      <x:c r="B103" s="28" t="n">
        <x:v>25</x:v>
      </x:c>
      <x:c r="C103" s="28" t="n">
        <x:v>99</x:v>
      </x:c>
      <x:c r="D103" s="28" t="n">
        <x:v>99</x:v>
      </x:c>
      <x:c r="E103" s="39" t="n">
        <x:f>(C103-D103)/C103*100</x:f>
        <x:v>0</x:v>
      </x:c>
      <x:c r="F103" s="28" t="str">
        <x:f>IF(C103=D103,"YES","NO")</x:f>
        <x:v>YES</x:v>
      </x:c>
      <x:c r="G103" s="28" t="str">
        <x:v>Optimal</x:v>
      </x:c>
      <x:c r="H103" s="59" t="n">
        <x:v>0.47</x:v>
      </x:c>
    </x:row>
    <x:row r="104">
      <x:c r="A104" s="27" t="str">
        <x:v>bpps_d10000n25m10w100_1000s1000_2000f0_seed0</x:v>
      </x:c>
      <x:c r="B104" s="28" t="n">
        <x:v>25</x:v>
      </x:c>
      <x:c r="C104" s="28" t="n">
        <x:v>5</x:v>
      </x:c>
      <x:c r="D104" s="28" t="n">
        <x:v>5</x:v>
      </x:c>
      <x:c r="E104" s="39" t="n">
        <x:f>(C104-D104)/C104*100</x:f>
        <x:v>0</x:v>
      </x:c>
      <x:c r="F104" s="28" t="str">
        <x:f>IF(C104=D104,"YES","NO")</x:f>
        <x:v>YES</x:v>
      </x:c>
      <x:c r="G104" s="28" t="str">
        <x:v>Optimal</x:v>
      </x:c>
      <x:c r="H104" s="59" t="n">
        <x:v>0.76</x:v>
      </x:c>
    </x:row>
    <x:row r="105">
      <x:c r="A105" s="27" t="str">
        <x:v>bpps_d10000n25m10w100_1000s1000_2000f1_seed0</x:v>
      </x:c>
      <x:c r="B105" s="28" t="n">
        <x:v>25</x:v>
      </x:c>
      <x:c r="C105" s="28" t="n">
        <x:v>93</x:v>
      </x:c>
      <x:c r="D105" s="28" t="n">
        <x:v>83</x:v>
      </x:c>
      <x:c r="E105" s="39" t="n">
        <x:f>(C105-D105)/C105*100</x:f>
        <x:v>10.75268817204301</x:v>
      </x:c>
      <x:c r="F105" s="28" t="str">
        <x:f>IF(C105=D105,"YES","NO")</x:f>
        <x:v>NO</x:v>
      </x:c>
      <x:c r="G105" s="28" t="str">
        <x:v>Optimal</x:v>
      </x:c>
      <x:c r="H105" s="59" t="n">
        <x:v>0.83</x:v>
      </x:c>
    </x:row>
    <x:row r="106">
      <x:c r="A106" s="27" t="str">
        <x:v>bpps_d10000n25m10w100_1000s100_1000f0_seed0</x:v>
      </x:c>
      <x:c r="B106" s="28" t="n">
        <x:v>25</x:v>
      </x:c>
      <x:c r="C106" s="28" t="n">
        <x:v>4</x:v>
      </x:c>
      <x:c r="D106" s="28" t="n">
        <x:v>4</x:v>
      </x:c>
      <x:c r="E106" s="39" t="n">
        <x:f>(C106-D106)/C106*100</x:f>
        <x:v>0</x:v>
      </x:c>
      <x:c r="F106" s="28" t="str">
        <x:f>IF(C106=D106,"YES","NO")</x:f>
        <x:v>YES</x:v>
      </x:c>
      <x:c r="G106" s="28" t="str">
        <x:v>Optimal</x:v>
      </x:c>
      <x:c r="H106" s="59" t="n">
        <x:v>0.5</x:v>
      </x:c>
    </x:row>
    <x:row r="107">
      <x:c r="A107" s="27" t="str">
        <x:v>bpps_d10000n25m10w100_1000s100_1000f1_seed0</x:v>
      </x:c>
      <x:c r="B107" s="28" t="n">
        <x:v>25</x:v>
      </x:c>
      <x:c r="C107" s="28" t="n">
        <x:v>91</x:v>
      </x:c>
      <x:c r="D107" s="28" t="n">
        <x:v>81</x:v>
      </x:c>
      <x:c r="E107" s="39" t="n">
        <x:f>(C107-D107)/C107*100</x:f>
        <x:v>10.989010989010989</x:v>
      </x:c>
      <x:c r="F107" s="28" t="str">
        <x:f>IF(C107=D107,"YES","NO")</x:f>
        <x:v>NO</x:v>
      </x:c>
      <x:c r="G107" s="28" t="str">
        <x:v>Optimal</x:v>
      </x:c>
      <x:c r="H107" s="59" t="n">
        <x:v>0.46</x:v>
      </x:c>
    </x:row>
    <x:row r="108">
      <x:c r="A108" s="27" t="str">
        <x:v>bpps_d10000n25m10w100_1000s100_2000f0_seed0</x:v>
      </x:c>
      <x:c r="B108" s="28" t="n">
        <x:v>25</x:v>
      </x:c>
      <x:c r="C108" s="28" t="n">
        <x:v>4</x:v>
      </x:c>
      <x:c r="D108" s="28" t="n">
        <x:v>4</x:v>
      </x:c>
      <x:c r="E108" s="39" t="n">
        <x:f>(C108-D108)/C108*100</x:f>
        <x:v>0</x:v>
      </x:c>
      <x:c r="F108" s="28" t="str">
        <x:f>IF(C108=D108,"YES","NO")</x:f>
        <x:v>YES</x:v>
      </x:c>
      <x:c r="G108" s="28" t="str">
        <x:v>Optimal</x:v>
      </x:c>
      <x:c r="H108" s="59" t="n">
        <x:v>0.38</x:v>
      </x:c>
    </x:row>
    <x:row r="109">
      <x:c r="A109" s="27" t="str">
        <x:v>bpps_d10000n25m10w100_1000s100_2000f1_seed0</x:v>
      </x:c>
      <x:c r="B109" s="28" t="n">
        <x:v>25</x:v>
      </x:c>
      <x:c r="C109" s="28" t="n">
        <x:v>81</x:v>
      </x:c>
      <x:c r="D109" s="28" t="n">
        <x:v>72</x:v>
      </x:c>
      <x:c r="E109" s="39" t="n">
        <x:f>(C109-D109)/C109*100</x:f>
        <x:v>11.11111111111111</x:v>
      </x:c>
      <x:c r="F109" s="28" t="str">
        <x:f>IF(C109=D109,"YES","NO")</x:f>
        <x:v>NO</x:v>
      </x:c>
      <x:c r="G109" s="28" t="str">
        <x:v>Optimal</x:v>
      </x:c>
      <x:c r="H109" s="59" t="n">
        <x:v>0.51</x:v>
      </x:c>
    </x:row>
    <x:row r="110">
      <x:c r="A110" s="27" t="str">
        <x:v>bpps_d10000n25m10w100_3000s1000_2000f0_seed0</x:v>
      </x:c>
      <x:c r="B110" s="28" t="n">
        <x:v>25</x:v>
      </x:c>
      <x:c r="C110" s="28" t="n">
        <x:v>6</x:v>
      </x:c>
      <x:c r="D110" s="28" t="n">
        <x:v>6</x:v>
      </x:c>
      <x:c r="E110" s="39" t="n">
        <x:f>(C110-D110)/C110*100</x:f>
        <x:v>0</x:v>
      </x:c>
      <x:c r="F110" s="28" t="str">
        <x:f>IF(C110=D110,"YES","NO")</x:f>
        <x:v>YES</x:v>
      </x:c>
      <x:c r="G110" s="28" t="str">
        <x:v>Optimal</x:v>
      </x:c>
      <x:c r="H110" s="59" t="n">
        <x:v>2.01</x:v>
      </x:c>
    </x:row>
    <x:row r="111">
      <x:c r="A111" s="27" t="str">
        <x:v>bpps_d10000n25m10w100_3000s1000_2000f1_seed0</x:v>
      </x:c>
      <x:c r="B111" s="28" t="n">
        <x:v>25</x:v>
      </x:c>
      <x:c r="C111" s="28" t="n">
        <x:v>103</x:v>
      </x:c>
      <x:c r="D111" s="28" t="n">
        <x:v>93</x:v>
      </x:c>
      <x:c r="E111" s="39" t="n">
        <x:f>(C111-D111)/C111*100</x:f>
        <x:v>9.70873786407767</x:v>
      </x:c>
      <x:c r="F111" s="28" t="str">
        <x:f>IF(C111=D111,"YES","NO")</x:f>
        <x:v>NO</x:v>
      </x:c>
      <x:c r="G111" s="28" t="str">
        <x:v>Optimal</x:v>
      </x:c>
      <x:c r="H111" s="59" t="n">
        <x:v>0.54</x:v>
      </x:c>
    </x:row>
    <x:row r="112">
      <x:c r="A112" s="27" t="str">
        <x:v>bpps_d10000n25m10w100_3000s100_1000f0_seed0</x:v>
      </x:c>
      <x:c r="B112" s="28" t="n">
        <x:v>25</x:v>
      </x:c>
      <x:c r="C112" s="28" t="n">
        <x:v>5</x:v>
      </x:c>
      <x:c r="D112" s="28" t="n">
        <x:v>4</x:v>
      </x:c>
      <x:c r="E112" s="39" t="n">
        <x:f>(C112-D112)/C112*100</x:f>
        <x:v>20</x:v>
      </x:c>
      <x:c r="F112" s="28" t="str">
        <x:f>IF(C112=D112,"YES","NO")</x:f>
        <x:v>NO</x:v>
      </x:c>
      <x:c r="G112" s="28" t="str">
        <x:v>Optimal</x:v>
      </x:c>
      <x:c r="H112" s="59" t="n">
        <x:v>1.67</x:v>
      </x:c>
    </x:row>
    <x:row r="113">
      <x:c r="A113" s="27" t="str">
        <x:v>bpps_d10000n25m10w100_3000s100_1000f1_seed0</x:v>
      </x:c>
      <x:c r="B113" s="28" t="n">
        <x:v>25</x:v>
      </x:c>
      <x:c r="C113" s="28" t="n">
        <x:v>96</x:v>
      </x:c>
      <x:c r="D113" s="28" t="n">
        <x:v>86</x:v>
      </x:c>
      <x:c r="E113" s="39" t="n">
        <x:f>(C113-D113)/C113*100</x:f>
        <x:v>10.416666666666668</x:v>
      </x:c>
      <x:c r="F113" s="28" t="str">
        <x:f>IF(C113=D113,"YES","NO")</x:f>
        <x:v>NO</x:v>
      </x:c>
      <x:c r="G113" s="28" t="str">
        <x:v>Optimal</x:v>
      </x:c>
      <x:c r="H113" s="59" t="n">
        <x:v>0.46</x:v>
      </x:c>
    </x:row>
    <x:row r="114">
      <x:c r="A114" s="27" t="str">
        <x:v>bpps_d10000n25m10w100_3000s100_2000f0_seed0</x:v>
      </x:c>
      <x:c r="B114" s="28" t="n">
        <x:v>25</x:v>
      </x:c>
      <x:c r="C114" s="28" t="n">
        <x:v>5</x:v>
      </x:c>
      <x:c r="D114" s="28" t="n">
        <x:v>5</x:v>
      </x:c>
      <x:c r="E114" s="39" t="n">
        <x:f>(C114-D114)/C114*100</x:f>
        <x:v>0</x:v>
      </x:c>
      <x:c r="F114" s="28" t="str">
        <x:f>IF(C114=D114,"YES","NO")</x:f>
        <x:v>YES</x:v>
      </x:c>
      <x:c r="G114" s="28" t="str">
        <x:v>Optimal</x:v>
      </x:c>
      <x:c r="H114" s="59" t="n">
        <x:v>0.42</x:v>
      </x:c>
    </x:row>
    <x:row r="115">
      <x:c r="A115" s="27" t="str">
        <x:v>bpps_d10000n25m10w100_3000s100_2000f1_seed0</x:v>
      </x:c>
      <x:c r="B115" s="28" t="n">
        <x:v>25</x:v>
      </x:c>
      <x:c r="C115" s="28" t="n">
        <x:v>110</x:v>
      </x:c>
      <x:c r="D115" s="28" t="n">
        <x:v>103</x:v>
      </x:c>
      <x:c r="E115" s="39" t="n">
        <x:f>(C115-D115)/C115*100</x:f>
        <x:v>6.363636363636363</x:v>
      </x:c>
      <x:c r="F115" s="28" t="str">
        <x:f>IF(C115=D115,"YES","NO")</x:f>
        <x:v>NO</x:v>
      </x:c>
      <x:c r="G115" s="28" t="str">
        <x:v>Optimal</x:v>
      </x:c>
      <x:c r="H115" s="59" t="n">
        <x:v>1.42</x:v>
      </x:c>
    </x:row>
    <x:row r="116">
      <x:c r="A116" s="27" t="str">
        <x:v>bpps_d10000n25m10w2000_3000s1000_2000f0_seed0</x:v>
      </x:c>
      <x:c r="B116" s="28" t="n">
        <x:v>25</x:v>
      </x:c>
      <x:c r="C116" s="28" t="n">
        <x:v>11</x:v>
      </x:c>
      <x:c r="D116" s="28" t="n">
        <x:v>9</x:v>
      </x:c>
      <x:c r="E116" s="39" t="n">
        <x:f>(C116-D116)/C116*100</x:f>
        <x:v>18.181818181818183</x:v>
      </x:c>
      <x:c r="F116" s="28" t="str">
        <x:f>IF(C116=D116,"YES","NO")</x:f>
        <x:v>NO</x:v>
      </x:c>
      <x:c r="G116" s="28" t="str">
        <x:v>Optimal</x:v>
      </x:c>
      <x:c r="H116" s="59" t="n">
        <x:v>0.58</x:v>
      </x:c>
    </x:row>
    <x:row r="117">
      <x:c r="A117" s="27" t="str">
        <x:v>bpps_d10000n25m10w2000_3000s1000_2000f1_seed0</x:v>
      </x:c>
      <x:c r="B117" s="28" t="n">
        <x:v>25</x:v>
      </x:c>
      <x:c r="C117" s="28" t="n">
        <x:v>154</x:v>
      </x:c>
      <x:c r="D117" s="28" t="n">
        <x:v>144</x:v>
      </x:c>
      <x:c r="E117" s="39" t="n">
        <x:f>(C117-D117)/C117*100</x:f>
        <x:v>6.493506493506493</x:v>
      </x:c>
      <x:c r="F117" s="28" t="str">
        <x:f>IF(C117=D117,"YES","NO")</x:f>
        <x:v>NO</x:v>
      </x:c>
      <x:c r="G117" s="28" t="str">
        <x:v>Optimal</x:v>
      </x:c>
      <x:c r="H117" s="59" t="n">
        <x:v>1.45</x:v>
      </x:c>
    </x:row>
    <x:row r="118">
      <x:c r="A118" s="27" t="str">
        <x:v>bpps_d10000n25m10w2000_3000s100_1000f0_seed0</x:v>
      </x:c>
      <x:c r="B118" s="28" t="n">
        <x:v>25</x:v>
      </x:c>
      <x:c r="C118" s="28" t="n">
        <x:v>8</x:v>
      </x:c>
      <x:c r="D118" s="28" t="n">
        <x:v>8</x:v>
      </x:c>
      <x:c r="E118" s="39" t="n">
        <x:f>(C118-D118)/C118*100</x:f>
        <x:v>0</x:v>
      </x:c>
      <x:c r="F118" s="28" t="str">
        <x:f>IF(C118=D118,"YES","NO")</x:f>
        <x:v>YES</x:v>
      </x:c>
      <x:c r="G118" s="28" t="str">
        <x:v>Optimal</x:v>
      </x:c>
      <x:c r="H118" s="59" t="n">
        <x:v>0.45</x:v>
      </x:c>
    </x:row>
    <x:row r="119">
      <x:c r="A119" s="27" t="str">
        <x:v>bpps_d10000n25m10w2000_3000s100_1000f1_seed0</x:v>
      </x:c>
      <x:c r="B119" s="28" t="n">
        <x:v>25</x:v>
      </x:c>
      <x:c r="C119" s="28" t="n">
        <x:v>139</x:v>
      </x:c>
      <x:c r="D119" s="28" t="n">
        <x:v>129</x:v>
      </x:c>
      <x:c r="E119" s="39" t="n">
        <x:f>(C119-D119)/C119*100</x:f>
        <x:v>7.194244604316546</x:v>
      </x:c>
      <x:c r="F119" s="28" t="str">
        <x:f>IF(C119=D119,"YES","NO")</x:f>
        <x:v>NO</x:v>
      </x:c>
      <x:c r="G119" s="28" t="str">
        <x:v>Optimal</x:v>
      </x:c>
      <x:c r="H119" s="59" t="n">
        <x:v>0.53</x:v>
      </x:c>
    </x:row>
    <x:row r="120">
      <x:c r="A120" s="27" t="str">
        <x:v>bpps_d10000n25m10w2000_3000s100_2000f0_seed0</x:v>
      </x:c>
      <x:c r="B120" s="28" t="n">
        <x:v>25</x:v>
      </x:c>
      <x:c r="C120" s="28" t="n">
        <x:v>9</x:v>
      </x:c>
      <x:c r="D120" s="28" t="n">
        <x:v>8</x:v>
      </x:c>
      <x:c r="E120" s="39" t="n">
        <x:f>(C120-D120)/C120*100</x:f>
        <x:v>11.11111111111111</x:v>
      </x:c>
      <x:c r="F120" s="28" t="str">
        <x:f>IF(C120=D120,"YES","NO")</x:f>
        <x:v>NO</x:v>
      </x:c>
      <x:c r="G120" s="28" t="str">
        <x:v>Optimal</x:v>
      </x:c>
      <x:c r="H120" s="59" t="n">
        <x:v>1.37</x:v>
      </x:c>
    </x:row>
    <x:row r="121">
      <x:c r="A121" s="27" t="str">
        <x:v>bpps_d10000n25m10w2000_3000s100_2000f1_seed0</x:v>
      </x:c>
      <x:c r="B121" s="28" t="n">
        <x:v>25</x:v>
      </x:c>
      <x:c r="C121" s="28" t="n">
        <x:v>137</x:v>
      </x:c>
      <x:c r="D121" s="28" t="n">
        <x:v>137</x:v>
      </x:c>
      <x:c r="E121" s="39" t="n">
        <x:f>(C121-D121)/C121*100</x:f>
        <x:v>0</x:v>
      </x:c>
      <x:c r="F121" s="28" t="str">
        <x:f>IF(C121=D121,"YES","NO")</x:f>
        <x:v>YES</x:v>
      </x:c>
      <x:c r="G121" s="28" t="str">
        <x:v>Optimal</x:v>
      </x:c>
      <x:c r="H121" s="59" t="n">
        <x:v>0.69</x:v>
      </x:c>
    </x:row>
    <x:row r="122">
      <x:c r="A122" s="27" t="str">
        <x:v>bpps_d10000n25m5w1000_2000s1000_2000f0_seed0</x:v>
      </x:c>
      <x:c r="B122" s="28" t="n">
        <x:v>25</x:v>
      </x:c>
      <x:c r="C122" s="28" t="n">
        <x:v>6</x:v>
      </x:c>
      <x:c r="D122" s="28" t="n">
        <x:v>6</x:v>
      </x:c>
      <x:c r="E122" s="39" t="n">
        <x:f>(C122-D122)/C122*100</x:f>
        <x:v>0</x:v>
      </x:c>
      <x:c r="F122" s="28" t="str">
        <x:f>IF(C122=D122,"YES","NO")</x:f>
        <x:v>YES</x:v>
      </x:c>
      <x:c r="G122" s="28" t="str">
        <x:v>Optimal</x:v>
      </x:c>
      <x:c r="H122" s="59" t="n">
        <x:v>0.45</x:v>
      </x:c>
    </x:row>
    <x:row r="123">
      <x:c r="A123" s="27" t="str">
        <x:v>bpps_d10000n25m5w1000_2000s1000_2000f1_seed0</x:v>
      </x:c>
      <x:c r="B123" s="28" t="n">
        <x:v>25</x:v>
      </x:c>
      <x:c r="C123" s="28" t="n">
        <x:v>104</x:v>
      </x:c>
      <x:c r="D123" s="28" t="n">
        <x:v>94</x:v>
      </x:c>
      <x:c r="E123" s="39" t="n">
        <x:f>(C123-D123)/C123*100</x:f>
        <x:v>9.615384615384617</x:v>
      </x:c>
      <x:c r="F123" s="28" t="str">
        <x:f>IF(C123=D123,"YES","NO")</x:f>
        <x:v>NO</x:v>
      </x:c>
      <x:c r="G123" s="28" t="str">
        <x:v>Optimal</x:v>
      </x:c>
      <x:c r="H123" s="59" t="n">
        <x:v>0.46</x:v>
      </x:c>
    </x:row>
    <x:row r="124">
      <x:c r="A124" s="27" t="str">
        <x:v>bpps_d10000n25m5w1000_2000s100_1000f0_seed0</x:v>
      </x:c>
      <x:c r="B124" s="28" t="n">
        <x:v>25</x:v>
      </x:c>
      <x:c r="C124" s="28" t="n">
        <x:v>5</x:v>
      </x:c>
      <x:c r="D124" s="28" t="n">
        <x:v>5</x:v>
      </x:c>
      <x:c r="E124" s="39" t="n">
        <x:f>(C124-D124)/C124*100</x:f>
        <x:v>0</x:v>
      </x:c>
      <x:c r="F124" s="28" t="str">
        <x:f>IF(C124=D124,"YES","NO")</x:f>
        <x:v>YES</x:v>
      </x:c>
      <x:c r="G124" s="28" t="str">
        <x:v>Optimal</x:v>
      </x:c>
      <x:c r="H124" s="59" t="n">
        <x:v>0.9</x:v>
      </x:c>
    </x:row>
    <x:row r="125">
      <x:c r="A125" s="27" t="str">
        <x:v>bpps_d10000n25m5w1000_2000s100_1000f1_seed0</x:v>
      </x:c>
      <x:c r="B125" s="28" t="n">
        <x:v>25</x:v>
      </x:c>
      <x:c r="C125" s="28" t="n">
        <x:v>95</x:v>
      </x:c>
      <x:c r="D125" s="28" t="n">
        <x:v>95</x:v>
      </x:c>
      <x:c r="E125" s="39" t="n">
        <x:f>(C125-D125)/C125*100</x:f>
        <x:v>0</x:v>
      </x:c>
      <x:c r="F125" s="28" t="str">
        <x:f>IF(C125=D125,"YES","NO")</x:f>
        <x:v>YES</x:v>
      </x:c>
      <x:c r="G125" s="28" t="str">
        <x:v>Optimal</x:v>
      </x:c>
      <x:c r="H125" s="59" t="n">
        <x:v>2.31</x:v>
      </x:c>
    </x:row>
    <x:row r="126">
      <x:c r="A126" s="27" t="str">
        <x:v>bpps_d10000n25m5w1000_2000s100_2000f0_seed0</x:v>
      </x:c>
      <x:c r="B126" s="28" t="n">
        <x:v>25</x:v>
      </x:c>
      <x:c r="C126" s="28" t="n">
        <x:v>6</x:v>
      </x:c>
      <x:c r="D126" s="28" t="n">
        <x:v>6</x:v>
      </x:c>
      <x:c r="E126" s="39" t="n">
        <x:f>(C126-D126)/C126*100</x:f>
        <x:v>0</x:v>
      </x:c>
      <x:c r="F126" s="28" t="str">
        <x:f>IF(C126=D126,"YES","NO")</x:f>
        <x:v>YES</x:v>
      </x:c>
      <x:c r="G126" s="28" t="str">
        <x:v>Optimal</x:v>
      </x:c>
      <x:c r="H126" s="59" t="n">
        <x:v>0.51</x:v>
      </x:c>
    </x:row>
    <x:row r="127">
      <x:c r="A127" s="27" t="str">
        <x:v>bpps_d10000n25m5w1000_2000s100_2000f1_seed0</x:v>
      </x:c>
      <x:c r="B127" s="28" t="n">
        <x:v>25</x:v>
      </x:c>
      <x:c r="C127" s="28" t="n">
        <x:v>109</x:v>
      </x:c>
      <x:c r="D127" s="28" t="n">
        <x:v>99</x:v>
      </x:c>
      <x:c r="E127" s="39" t="n">
        <x:f>(C127-D127)/C127*100</x:f>
        <x:v>9.174311926605505</x:v>
      </x:c>
      <x:c r="F127" s="28" t="str">
        <x:f>IF(C127=D127,"YES","NO")</x:f>
        <x:v>NO</x:v>
      </x:c>
      <x:c r="G127" s="28" t="str">
        <x:v>Optimal</x:v>
      </x:c>
      <x:c r="H127" s="59" t="n">
        <x:v>0.45</x:v>
      </x:c>
    </x:row>
    <x:row r="128">
      <x:c r="A128" s="27" t="str">
        <x:v>bpps_d10000n25m5w100_1000s1000_2000f0_seed0</x:v>
      </x:c>
      <x:c r="B128" s="28" t="n">
        <x:v>25</x:v>
      </x:c>
      <x:c r="C128" s="28" t="n">
        <x:v>4</x:v>
      </x:c>
      <x:c r="D128" s="28" t="n">
        <x:v>4</x:v>
      </x:c>
      <x:c r="E128" s="39" t="n">
        <x:f>(C128-D128)/C128*100</x:f>
        <x:v>0</x:v>
      </x:c>
      <x:c r="F128" s="28" t="str">
        <x:f>IF(C128=D128,"YES","NO")</x:f>
        <x:v>YES</x:v>
      </x:c>
      <x:c r="G128" s="28" t="str">
        <x:v>Optimal</x:v>
      </x:c>
      <x:c r="H128" s="59" t="n">
        <x:v>0.39</x:v>
      </x:c>
    </x:row>
    <x:row r="129">
      <x:c r="A129" s="27" t="str">
        <x:v>bpps_d10000n25m5w100_1000s1000_2000f1_seed0</x:v>
      </x:c>
      <x:c r="B129" s="28" t="n">
        <x:v>25</x:v>
      </x:c>
      <x:c r="C129" s="28" t="n">
        <x:v>70</x:v>
      </x:c>
      <x:c r="D129" s="28" t="n">
        <x:v>70</x:v>
      </x:c>
      <x:c r="E129" s="39" t="n">
        <x:f>(C129-D129)/C129*100</x:f>
        <x:v>0</x:v>
      </x:c>
      <x:c r="F129" s="28" t="str">
        <x:f>IF(C129=D129,"YES","NO")</x:f>
        <x:v>YES</x:v>
      </x:c>
      <x:c r="G129" s="28" t="str">
        <x:v>Optimal</x:v>
      </x:c>
      <x:c r="H129" s="59" t="n">
        <x:v>0.49</x:v>
      </x:c>
    </x:row>
    <x:row r="130">
      <x:c r="A130" s="27" t="str">
        <x:v>bpps_d10000n25m5w100_1000s100_1000f0_seed0</x:v>
      </x:c>
      <x:c r="B130" s="28" t="n">
        <x:v>25</x:v>
      </x:c>
      <x:c r="C130" s="28" t="n">
        <x:v>4</x:v>
      </x:c>
      <x:c r="D130" s="28" t="n">
        <x:v>4</x:v>
      </x:c>
      <x:c r="E130" s="39" t="n">
        <x:f>(C130-D130)/C130*100</x:f>
        <x:v>0</x:v>
      </x:c>
      <x:c r="F130" s="28" t="str">
        <x:f>IF(C130=D130,"YES","NO")</x:f>
        <x:v>YES</x:v>
      </x:c>
      <x:c r="G130" s="28" t="str">
        <x:v>Optimal</x:v>
      </x:c>
      <x:c r="H130" s="59" t="n">
        <x:v>1.66</x:v>
      </x:c>
    </x:row>
    <x:row r="131">
      <x:c r="A131" s="27" t="str">
        <x:v>bpps_d10000n25m5w100_1000s100_1000f1_seed0</x:v>
      </x:c>
      <x:c r="B131" s="28" t="n">
        <x:v>25</x:v>
      </x:c>
      <x:c r="C131" s="28" t="n">
        <x:v>66</x:v>
      </x:c>
      <x:c r="D131" s="28" t="n">
        <x:v>66</x:v>
      </x:c>
      <x:c r="E131" s="39" t="n">
        <x:f>(C131-D131)/C131*100</x:f>
        <x:v>0</x:v>
      </x:c>
      <x:c r="F131" s="28" t="str">
        <x:f>IF(C131=D131,"YES","NO")</x:f>
        <x:v>YES</x:v>
      </x:c>
      <x:c r="G131" s="28" t="str">
        <x:v>Optimal</x:v>
      </x:c>
      <x:c r="H131" s="59" t="n">
        <x:v>0.47</x:v>
      </x:c>
    </x:row>
    <x:row r="132">
      <x:c r="A132" s="27" t="str">
        <x:v>bpps_d10000n25m5w100_1000s100_2000f0_seed0</x:v>
      </x:c>
      <x:c r="B132" s="28" t="n">
        <x:v>25</x:v>
      </x:c>
      <x:c r="C132" s="28" t="n">
        <x:v>4</x:v>
      </x:c>
      <x:c r="D132" s="28" t="n">
        <x:v>4</x:v>
      </x:c>
      <x:c r="E132" s="39" t="n">
        <x:f>(C132-D132)/C132*100</x:f>
        <x:v>0</x:v>
      </x:c>
      <x:c r="F132" s="28" t="str">
        <x:f>IF(C132=D132,"YES","NO")</x:f>
        <x:v>YES</x:v>
      </x:c>
      <x:c r="G132" s="28" t="str">
        <x:v>Optimal</x:v>
      </x:c>
      <x:c r="H132" s="59" t="n">
        <x:v>0.47</x:v>
      </x:c>
    </x:row>
    <x:row r="133">
      <x:c r="A133" s="27" t="str">
        <x:v>bpps_d10000n25m5w100_1000s100_2000f1_seed0</x:v>
      </x:c>
      <x:c r="B133" s="28" t="n">
        <x:v>25</x:v>
      </x:c>
      <x:c r="C133" s="28" t="n">
        <x:v>67</x:v>
      </x:c>
      <x:c r="D133" s="28" t="n">
        <x:v>61</x:v>
      </x:c>
      <x:c r="E133" s="39" t="n">
        <x:f>(C133-D133)/C133*100</x:f>
        <x:v>8.955223880597014</x:v>
      </x:c>
      <x:c r="F133" s="28" t="str">
        <x:f>IF(C133=D133,"YES","NO")</x:f>
        <x:v>NO</x:v>
      </x:c>
      <x:c r="G133" s="28" t="str">
        <x:v>Optimal</x:v>
      </x:c>
      <x:c r="H133" s="59" t="n">
        <x:v>0.48</x:v>
      </x:c>
    </x:row>
    <x:row r="134">
      <x:c r="A134" s="27" t="str">
        <x:v>bpps_d10000n25m5w100_3000s1000_2000f0_seed0</x:v>
      </x:c>
      <x:c r="B134" s="28" t="n">
        <x:v>25</x:v>
      </x:c>
      <x:c r="C134" s="28" t="n">
        <x:v>7</x:v>
      </x:c>
      <x:c r="D134" s="28" t="n">
        <x:v>6</x:v>
      </x:c>
      <x:c r="E134" s="39" t="n">
        <x:f>(C134-D134)/C134*100</x:f>
        <x:v>14.285714285714285</x:v>
      </x:c>
      <x:c r="F134" s="28" t="str">
        <x:f>IF(C134=D134,"YES","NO")</x:f>
        <x:v>NO</x:v>
      </x:c>
      <x:c r="G134" s="28" t="str">
        <x:v>Optimal</x:v>
      </x:c>
      <x:c r="H134" s="59" t="n">
        <x:v>0.43</x:v>
      </x:c>
    </x:row>
    <x:row r="135">
      <x:c r="A135" s="27" t="str">
        <x:v>bpps_d10000n25m5w100_3000s1000_2000f1_seed0</x:v>
      </x:c>
      <x:c r="B135" s="28" t="n">
        <x:v>25</x:v>
      </x:c>
      <x:c r="C135" s="28" t="n">
        <x:v>104</x:v>
      </x:c>
      <x:c r="D135" s="28" t="n">
        <x:v>94</x:v>
      </x:c>
      <x:c r="E135" s="39" t="n">
        <x:f>(C135-D135)/C135*100</x:f>
        <x:v>9.615384615384617</x:v>
      </x:c>
      <x:c r="F135" s="28" t="str">
        <x:f>IF(C135=D135,"YES","NO")</x:f>
        <x:v>NO</x:v>
      </x:c>
      <x:c r="G135" s="28" t="str">
        <x:v>Optimal</x:v>
      </x:c>
      <x:c r="H135" s="59" t="n">
        <x:v>1.98</x:v>
      </x:c>
    </x:row>
    <x:row r="136">
      <x:c r="A136" s="27" t="str">
        <x:v>bpps_d10000n25m5w100_3000s100_1000f0_seed0</x:v>
      </x:c>
      <x:c r="B136" s="28" t="n">
        <x:v>25</x:v>
      </x:c>
      <x:c r="C136" s="28" t="n">
        <x:v>5</x:v>
      </x:c>
      <x:c r="D136" s="28" t="n">
        <x:v>5</x:v>
      </x:c>
      <x:c r="E136" s="39" t="n">
        <x:f>(C136-D136)/C136*100</x:f>
        <x:v>0</x:v>
      </x:c>
      <x:c r="F136" s="28" t="str">
        <x:f>IF(C136=D136,"YES","NO")</x:f>
        <x:v>YES</x:v>
      </x:c>
      <x:c r="G136" s="28" t="str">
        <x:v>Optimal</x:v>
      </x:c>
      <x:c r="H136" s="59" t="n">
        <x:v>0.45</x:v>
      </x:c>
    </x:row>
    <x:row r="137">
      <x:c r="A137" s="27" t="str">
        <x:v>bpps_d10000n25m5w100_3000s100_1000f1_seed0</x:v>
      </x:c>
      <x:c r="B137" s="28" t="n">
        <x:v>25</x:v>
      </x:c>
      <x:c r="C137" s="28" t="n">
        <x:v>84</x:v>
      </x:c>
      <x:c r="D137" s="28" t="n">
        <x:v>84</x:v>
      </x:c>
      <x:c r="E137" s="39" t="n">
        <x:f>(C137-D137)/C137*100</x:f>
        <x:v>0</x:v>
      </x:c>
      <x:c r="F137" s="28" t="str">
        <x:f>IF(C137=D137,"YES","NO")</x:f>
        <x:v>YES</x:v>
      </x:c>
      <x:c r="G137" s="28" t="str">
        <x:v>Optimal</x:v>
      </x:c>
      <x:c r="H137" s="59" t="n">
        <x:v>1.29</x:v>
      </x:c>
    </x:row>
    <x:row r="138">
      <x:c r="A138" s="27" t="str">
        <x:v>bpps_d10000n25m5w100_3000s100_2000f0_seed0</x:v>
      </x:c>
      <x:c r="B138" s="28" t="n">
        <x:v>25</x:v>
      </x:c>
      <x:c r="C138" s="28" t="n">
        <x:v>6</x:v>
      </x:c>
      <x:c r="D138" s="28" t="n">
        <x:v>6</x:v>
      </x:c>
      <x:c r="E138" s="39" t="n">
        <x:f>(C138-D138)/C138*100</x:f>
        <x:v>0</x:v>
      </x:c>
      <x:c r="F138" s="28" t="str">
        <x:f>IF(C138=D138,"YES","NO")</x:f>
        <x:v>YES</x:v>
      </x:c>
      <x:c r="G138" s="28" t="str">
        <x:v>Optimal</x:v>
      </x:c>
      <x:c r="H138" s="59" t="n">
        <x:v>0.43</x:v>
      </x:c>
    </x:row>
    <x:row r="139">
      <x:c r="A139" s="27" t="str">
        <x:v>bpps_d10000n25m5w100_3000s100_2000f1_seed0</x:v>
      </x:c>
      <x:c r="B139" s="28" t="n">
        <x:v>25</x:v>
      </x:c>
      <x:c r="C139" s="28" t="n">
        <x:v>92</x:v>
      </x:c>
      <x:c r="D139" s="28" t="n">
        <x:v>91</x:v>
      </x:c>
      <x:c r="E139" s="39" t="n">
        <x:f>(C139-D139)/C139*100</x:f>
        <x:v>1.0869565217391304</x:v>
      </x:c>
      <x:c r="F139" s="28" t="str">
        <x:f>IF(C139=D139,"YES","NO")</x:f>
        <x:v>NO</x:v>
      </x:c>
      <x:c r="G139" s="28" t="str">
        <x:v>Optimal</x:v>
      </x:c>
      <x:c r="H139" s="59" t="n">
        <x:v>0.48</x:v>
      </x:c>
    </x:row>
    <x:row r="140">
      <x:c r="A140" s="27" t="str">
        <x:v>bpps_d10000n25m5w2000_3000s1000_2000f0_seed0</x:v>
      </x:c>
      <x:c r="B140" s="28" t="n">
        <x:v>25</x:v>
      </x:c>
      <x:c r="C140" s="28" t="n">
        <x:v>10</x:v>
      </x:c>
      <x:c r="D140" s="28" t="n">
        <x:v>9</x:v>
      </x:c>
      <x:c r="E140" s="39" t="n">
        <x:f>(C140-D140)/C140*100</x:f>
        <x:v>10</x:v>
      </x:c>
      <x:c r="F140" s="28" t="str">
        <x:f>IF(C140=D140,"YES","NO")</x:f>
        <x:v>NO</x:v>
      </x:c>
      <x:c r="G140" s="28" t="str">
        <x:v>Optimal</x:v>
      </x:c>
      <x:c r="H140" s="59" t="n">
        <x:v>0.98</x:v>
      </x:c>
    </x:row>
    <x:row r="141">
      <x:c r="A141" s="27" t="str">
        <x:v>bpps_d10000n25m5w2000_3000s1000_2000f1_seed0</x:v>
      </x:c>
      <x:c r="B141" s="28" t="n">
        <x:v>25</x:v>
      </x:c>
      <x:c r="C141" s="28" t="n">
        <x:v>143</x:v>
      </x:c>
      <x:c r="D141" s="28" t="n">
        <x:v>133</x:v>
      </x:c>
      <x:c r="E141" s="39" t="n">
        <x:f>(C141-D141)/C141*100</x:f>
        <x:v>6.993006993006993</x:v>
      </x:c>
      <x:c r="F141" s="28" t="str">
        <x:f>IF(C141=D141,"YES","NO")</x:f>
        <x:v>NO</x:v>
      </x:c>
      <x:c r="G141" s="28" t="str">
        <x:v>Optimal</x:v>
      </x:c>
      <x:c r="H141" s="59" t="n">
        <x:v>0.51</x:v>
      </x:c>
    </x:row>
    <x:row r="142">
      <x:c r="A142" s="27" t="str">
        <x:v>bpps_d10000n25m5w2000_3000s100_1000f0_seed0</x:v>
      </x:c>
      <x:c r="B142" s="28" t="n">
        <x:v>25</x:v>
      </x:c>
      <x:c r="C142" s="28" t="n">
        <x:v>9</x:v>
      </x:c>
      <x:c r="D142" s="28" t="n">
        <x:v>8</x:v>
      </x:c>
      <x:c r="E142" s="39" t="n">
        <x:f>(C142-D142)/C142*100</x:f>
        <x:v>11.11111111111111</x:v>
      </x:c>
      <x:c r="F142" s="28" t="str">
        <x:f>IF(C142=D142,"YES","NO")</x:f>
        <x:v>NO</x:v>
      </x:c>
      <x:c r="G142" s="28" t="str">
        <x:v>Optimal</x:v>
      </x:c>
      <x:c r="H142" s="59" t="n">
        <x:v>0.46</x:v>
      </x:c>
    </x:row>
    <x:row r="143">
      <x:c r="A143" s="27" t="str">
        <x:v>bpps_d10000n25m5w2000_3000s100_1000f1_seed0</x:v>
      </x:c>
      <x:c r="B143" s="28" t="n">
        <x:v>25</x:v>
      </x:c>
      <x:c r="C143" s="28" t="n">
        <x:v>130</x:v>
      </x:c>
      <x:c r="D143" s="28" t="n">
        <x:v>120</x:v>
      </x:c>
      <x:c r="E143" s="39" t="n">
        <x:f>(C143-D143)/C143*100</x:f>
        <x:v>7.6923076923076925</x:v>
      </x:c>
      <x:c r="F143" s="28" t="str">
        <x:f>IF(C143=D143,"YES","NO")</x:f>
        <x:v>NO</x:v>
      </x:c>
      <x:c r="G143" s="28" t="str">
        <x:v>Optimal</x:v>
      </x:c>
      <x:c r="H143" s="59" t="n">
        <x:v>0.45</x:v>
      </x:c>
    </x:row>
    <x:row r="144">
      <x:c r="A144" s="27" t="str">
        <x:v>bpps_d10000n25m5w2000_3000s100_2000f0_seed0</x:v>
      </x:c>
      <x:c r="B144" s="28" t="n">
        <x:v>25</x:v>
      </x:c>
      <x:c r="C144" s="28" t="n">
        <x:v>9</x:v>
      </x:c>
      <x:c r="D144" s="28" t="n">
        <x:v>8</x:v>
      </x:c>
      <x:c r="E144" s="39" t="n">
        <x:f>(C144-D144)/C144*100</x:f>
        <x:v>11.11111111111111</x:v>
      </x:c>
      <x:c r="F144" s="28" t="str">
        <x:f>IF(C144=D144,"YES","NO")</x:f>
        <x:v>NO</x:v>
      </x:c>
      <x:c r="G144" s="28" t="str">
        <x:v>Optimal</x:v>
      </x:c>
      <x:c r="H144" s="59" t="n">
        <x:v>0.92</x:v>
      </x:c>
    </x:row>
    <x:row r="145">
      <x:c r="A145" s="27" t="str">
        <x:v>bpps_d10000n25m5w2000_3000s100_2000f1_seed0</x:v>
      </x:c>
      <x:c r="B145" s="28" t="n">
        <x:v>25</x:v>
      </x:c>
      <x:c r="C145" s="28" t="n">
        <x:v>127</x:v>
      </x:c>
      <x:c r="D145" s="28" t="n">
        <x:v>126</x:v>
      </x:c>
      <x:c r="E145" s="39" t="n">
        <x:f>(C145-D145)/C145*100</x:f>
        <x:v>0.7874015748031495</x:v>
      </x:c>
      <x:c r="F145" s="28" t="str">
        <x:f>IF(C145=D145,"YES","NO")</x:f>
        <x:v>NO</x:v>
      </x:c>
      <x:c r="G145" s="28" t="str">
        <x:v>Optimal</x:v>
      </x:c>
      <x:c r="H145" s="59" t="n">
        <x:v>0.49</x:v>
      </x:c>
    </x:row>
    <x:row r="146">
      <x:c r="A146" s="27" t="str">
        <x:v>bpps_d10000n50m10w1000_2000s1000_2000f0_seed0</x:v>
      </x:c>
      <x:c r="B146" s="28" t="n">
        <x:v>50</x:v>
      </x:c>
      <x:c r="C146" s="28" t="n">
        <x:v>13</x:v>
      </x:c>
      <x:c r="D146" s="28" t="n">
        <x:v>11</x:v>
      </x:c>
      <x:c r="E146" s="39" t="n">
        <x:f>(C146-D146)/C146*100</x:f>
        <x:v>15.384615384615385</x:v>
      </x:c>
      <x:c r="F146" s="28" t="str">
        <x:f>IF(C146=D146,"YES","NO")</x:f>
        <x:v>NO</x:v>
      </x:c>
      <x:c r="G146" s="28" t="str">
        <x:v>Optimal</x:v>
      </x:c>
      <x:c r="H146" s="59" t="n">
        <x:v>1.01</x:v>
      </x:c>
    </x:row>
    <x:row r="147">
      <x:c r="A147" s="27" t="str">
        <x:v>bpps_d10000n50m10w1000_2000s1000_2000f1_seed0</x:v>
      </x:c>
      <x:c r="B147" s="28" t="n">
        <x:v>50</x:v>
      </x:c>
      <x:c r="C147" s="28" t="n">
        <x:v>180</x:v>
      </x:c>
      <x:c r="D147" s="28" t="n">
        <x:v>169</x:v>
      </x:c>
      <x:c r="E147" s="39" t="n">
        <x:f>(C147-D147)/C147*100</x:f>
        <x:v>6.111111111111111</x:v>
      </x:c>
      <x:c r="F147" s="28" t="str">
        <x:f>IF(C147=D147,"YES","NO")</x:f>
        <x:v>NO</x:v>
      </x:c>
      <x:c r="G147" s="28" t="str">
        <x:v>Optimal</x:v>
      </x:c>
      <x:c r="H147" s="59" t="n">
        <x:v>0.56</x:v>
      </x:c>
    </x:row>
    <x:row r="148">
      <x:c r="A148" s="27" t="str">
        <x:v>bpps_d10000n50m10w1000_2000s100_1000f0_seed0</x:v>
      </x:c>
      <x:c r="B148" s="28" t="n">
        <x:v>50</x:v>
      </x:c>
      <x:c r="C148" s="28" t="n">
        <x:v>10</x:v>
      </x:c>
      <x:c r="D148" s="28" t="n">
        <x:v>9</x:v>
      </x:c>
      <x:c r="E148" s="39" t="n">
        <x:f>(C148-D148)/C148*100</x:f>
        <x:v>10</x:v>
      </x:c>
      <x:c r="F148" s="28" t="str">
        <x:f>IF(C148=D148,"YES","NO")</x:f>
        <x:v>NO</x:v>
      </x:c>
      <x:c r="G148" s="28" t="str">
        <x:v>Optimal</x:v>
      </x:c>
      <x:c r="H148" s="59" t="n">
        <x:v>24.57</x:v>
      </x:c>
    </x:row>
    <x:row r="149">
      <x:c r="A149" s="27" t="str">
        <x:v>bpps_d10000n50m10w1000_2000s100_1000f1_seed0</x:v>
      </x:c>
      <x:c r="B149" s="28" t="n">
        <x:v>50</x:v>
      </x:c>
      <x:c r="C149" s="28" t="n">
        <x:v>161</x:v>
      </x:c>
      <x:c r="D149" s="28" t="n">
        <x:v>148</x:v>
      </x:c>
      <x:c r="E149" s="39" t="n">
        <x:f>(C149-D149)/C149*100</x:f>
        <x:v>8.074534161490684</x:v>
      </x:c>
      <x:c r="F149" s="28" t="str">
        <x:f>IF(C149=D149,"YES","NO")</x:f>
        <x:v>NO</x:v>
      </x:c>
      <x:c r="G149" s="28" t="str">
        <x:v>Optimal</x:v>
      </x:c>
      <x:c r="H149" s="59" t="n">
        <x:v>1.25</x:v>
      </x:c>
    </x:row>
    <x:row r="150">
      <x:c r="A150" s="27" t="str">
        <x:v>bpps_d10000n50m10w1000_2000s100_2000f0_seed0</x:v>
      </x:c>
      <x:c r="B150" s="28" t="n">
        <x:v>50</x:v>
      </x:c>
      <x:c r="C150" s="28" t="n">
        <x:v>11</x:v>
      </x:c>
      <x:c r="D150" s="28" t="n">
        <x:v>10</x:v>
      </x:c>
      <x:c r="E150" s="39" t="n">
        <x:f>(C150-D150)/C150*100</x:f>
        <x:v>9.090909090909092</x:v>
      </x:c>
      <x:c r="F150" s="28" t="str">
        <x:f>IF(C150=D150,"YES","NO")</x:f>
        <x:v>NO</x:v>
      </x:c>
      <x:c r="G150" s="28" t="str">
        <x:v>Optimal</x:v>
      </x:c>
      <x:c r="H150" s="59" t="n">
        <x:v>1.25</x:v>
      </x:c>
    </x:row>
    <x:row r="151">
      <x:c r="A151" s="27" t="str">
        <x:v>bpps_d10000n50m10w1000_2000s100_2000f1_seed0</x:v>
      </x:c>
      <x:c r="B151" s="28" t="n">
        <x:v>50</x:v>
      </x:c>
      <x:c r="C151" s="28" t="n">
        <x:v>173</x:v>
      </x:c>
      <x:c r="D151" s="28" t="n">
        <x:v>163</x:v>
      </x:c>
      <x:c r="E151" s="39" t="n">
        <x:f>(C151-D151)/C151*100</x:f>
        <x:v>5.780346820809249</x:v>
      </x:c>
      <x:c r="F151" s="28" t="str">
        <x:f>IF(C151=D151,"YES","NO")</x:f>
        <x:v>NO</x:v>
      </x:c>
      <x:c r="G151" s="28" t="str">
        <x:v>Optimal</x:v>
      </x:c>
      <x:c r="H151" s="59" t="n">
        <x:v>0.68</x:v>
      </x:c>
    </x:row>
    <x:row r="152">
      <x:c r="A152" s="27" t="str">
        <x:v>bpps_d10000n50m10w100_1000s1000_2000f0_seed0</x:v>
      </x:c>
      <x:c r="B152" s="28" t="n">
        <x:v>50</x:v>
      </x:c>
      <x:c r="C152" s="28" t="n">
        <x:v>7</x:v>
      </x:c>
      <x:c r="D152" s="28" t="n">
        <x:v>6</x:v>
      </x:c>
      <x:c r="E152" s="39" t="n">
        <x:f>(C152-D152)/C152*100</x:f>
        <x:v>14.285714285714285</x:v>
      </x:c>
      <x:c r="F152" s="28" t="str">
        <x:f>IF(C152=D152,"YES","NO")</x:f>
        <x:v>NO</x:v>
      </x:c>
      <x:c r="G152" s="28" t="str">
        <x:v>Optimal</x:v>
      </x:c>
      <x:c r="H152" s="59" t="n">
        <x:v>0.66</x:v>
      </x:c>
    </x:row>
    <x:row r="153">
      <x:c r="A153" s="27" t="str">
        <x:v>bpps_d10000n50m10w100_1000s1000_2000f1_seed0</x:v>
      </x:c>
      <x:c r="B153" s="28" t="n">
        <x:v>50</x:v>
      </x:c>
      <x:c r="C153" s="28" t="n">
        <x:v>144</x:v>
      </x:c>
      <x:c r="D153" s="28" t="n">
        <x:v>140</x:v>
      </x:c>
      <x:c r="E153" s="39" t="n">
        <x:f>(C153-D153)/C153*100</x:f>
        <x:v>2.7777777777777777</x:v>
      </x:c>
      <x:c r="F153" s="28" t="str">
        <x:f>IF(C153=D153,"YES","NO")</x:f>
        <x:v>NO</x:v>
      </x:c>
      <x:c r="G153" s="28" t="str">
        <x:v>Optimal</x:v>
      </x:c>
      <x:c r="H153" s="59" t="n">
        <x:v>0.67</x:v>
      </x:c>
    </x:row>
    <x:row r="154">
      <x:c r="A154" s="27" t="str">
        <x:v>bpps_d10000n50m10w100_1000s100_1000f0_seed0</x:v>
      </x:c>
      <x:c r="B154" s="28" t="n">
        <x:v>50</x:v>
      </x:c>
      <x:c r="C154" s="28" t="n">
        <x:v>6</x:v>
      </x:c>
      <x:c r="D154" s="28" t="n">
        <x:v>5</x:v>
      </x:c>
      <x:c r="E154" s="39" t="n">
        <x:f>(C154-D154)/C154*100</x:f>
        <x:v>16.666666666666664</x:v>
      </x:c>
      <x:c r="F154" s="28" t="str">
        <x:f>IF(C154=D154,"YES","NO")</x:f>
        <x:v>NO</x:v>
      </x:c>
      <x:c r="G154" s="28" t="str">
        <x:v>Optimal</x:v>
      </x:c>
      <x:c r="H154" s="59" t="n">
        <x:v>0.63</x:v>
      </x:c>
    </x:row>
    <x:row r="155">
      <x:c r="A155" s="27" t="str">
        <x:v>bpps_d10000n50m10w100_1000s100_1000f1_seed0</x:v>
      </x:c>
      <x:c r="B155" s="28" t="n">
        <x:v>50</x:v>
      </x:c>
      <x:c r="C155" s="28" t="n">
        <x:v>126</x:v>
      </x:c>
      <x:c r="D155" s="28" t="n">
        <x:v>110</x:v>
      </x:c>
      <x:c r="E155" s="39" t="n">
        <x:f>(C155-D155)/C155*100</x:f>
        <x:v>12.698412698412698</x:v>
      </x:c>
      <x:c r="F155" s="28" t="str">
        <x:f>IF(C155=D155,"YES","NO")</x:f>
        <x:v>NO</x:v>
      </x:c>
      <x:c r="G155" s="28" t="str">
        <x:v>Optimal</x:v>
      </x:c>
      <x:c r="H155" s="59" t="n">
        <x:v>3.43</x:v>
      </x:c>
    </x:row>
    <x:row r="156">
      <x:c r="A156" s="27" t="str">
        <x:v>bpps_d10000n50m10w100_1000s100_2000f0_seed0</x:v>
      </x:c>
      <x:c r="B156" s="28" t="n">
        <x:v>50</x:v>
      </x:c>
      <x:c r="C156" s="28" t="n">
        <x:v>6</x:v>
      </x:c>
      <x:c r="D156" s="28" t="n">
        <x:v>5</x:v>
      </x:c>
      <x:c r="E156" s="39" t="n">
        <x:f>(C156-D156)/C156*100</x:f>
        <x:v>16.666666666666664</x:v>
      </x:c>
      <x:c r="F156" s="28" t="str">
        <x:f>IF(C156=D156,"YES","NO")</x:f>
        <x:v>NO</x:v>
      </x:c>
      <x:c r="G156" s="28" t="str">
        <x:v>Optimal</x:v>
      </x:c>
      <x:c r="H156" s="59" t="n">
        <x:v>0.71</x:v>
      </x:c>
    </x:row>
    <x:row r="157">
      <x:c r="A157" s="27" t="str">
        <x:v>bpps_d10000n50m10w100_1000s100_2000f1_seed0</x:v>
      </x:c>
      <x:c r="B157" s="28" t="n">
        <x:v>50</x:v>
      </x:c>
      <x:c r="C157" s="28" t="n">
        <x:v>136</x:v>
      </x:c>
      <x:c r="D157" s="28" t="n">
        <x:v>117</x:v>
      </x:c>
      <x:c r="E157" s="39" t="n">
        <x:f>(C157-D157)/C157*100</x:f>
        <x:v>13.970588235294118</x:v>
      </x:c>
      <x:c r="F157" s="28" t="str">
        <x:f>IF(C157=D157,"YES","NO")</x:f>
        <x:v>NO</x:v>
      </x:c>
      <x:c r="G157" s="28" t="str">
        <x:v>Optimal</x:v>
      </x:c>
      <x:c r="H157" s="59" t="n">
        <x:v>5.59</x:v>
      </x:c>
    </x:row>
    <x:row r="158">
      <x:c r="A158" s="27" t="str">
        <x:v>bpps_d10000n50m10w100_3000s1000_2000f0_seed0</x:v>
      </x:c>
      <x:c r="B158" s="28" t="n">
        <x:v>50</x:v>
      </x:c>
      <x:c r="C158" s="28" t="n">
        <x:v>14</x:v>
      </x:c>
      <x:c r="D158" s="28" t="n">
        <x:v>13</x:v>
      </x:c>
      <x:c r="E158" s="39" t="n">
        <x:f>(C158-D158)/C158*100</x:f>
        <x:v>7.142857142857142</x:v>
      </x:c>
      <x:c r="F158" s="28" t="str">
        <x:f>IF(C158=D158,"YES","NO")</x:f>
        <x:v>NO</x:v>
      </x:c>
      <x:c r="G158" s="28" t="str">
        <x:v>Optimal</x:v>
      </x:c>
      <x:c r="H158" s="59" t="n">
        <x:v>0.79</x:v>
      </x:c>
    </x:row>
    <x:row r="159">
      <x:c r="A159" s="27" t="str">
        <x:v>bpps_d10000n50m10w100_3000s1000_2000f1_seed0</x:v>
      </x:c>
      <x:c r="B159" s="28" t="n">
        <x:v>50</x:v>
      </x:c>
      <x:c r="C159" s="28" t="n">
        <x:v>189</x:v>
      </x:c>
      <x:c r="D159" s="28" t="n">
        <x:v>188</x:v>
      </x:c>
      <x:c r="E159" s="39" t="n">
        <x:f>(C159-D159)/C159*100</x:f>
        <x:v>0.5291005291005291</x:v>
      </x:c>
      <x:c r="F159" s="28" t="str">
        <x:f>IF(C159=D159,"YES","NO")</x:f>
        <x:v>NO</x:v>
      </x:c>
      <x:c r="G159" s="28" t="str">
        <x:v>Optimal</x:v>
      </x:c>
      <x:c r="H159" s="59" t="n">
        <x:v>368.89</x:v>
      </x:c>
    </x:row>
    <x:row r="160">
      <x:c r="A160" s="27" t="str">
        <x:v>bpps_d10000n50m10w100_3000s100_1000f0_seed0</x:v>
      </x:c>
      <x:c r="B160" s="28" t="n">
        <x:v>50</x:v>
      </x:c>
      <x:c r="C160" s="28" t="n">
        <x:v>11</x:v>
      </x:c>
      <x:c r="D160" s="28" t="n">
        <x:v>11</x:v>
      </x:c>
      <x:c r="E160" s="39" t="n">
        <x:f>(C160-D160)/C160*100</x:f>
        <x:v>0</x:v>
      </x:c>
      <x:c r="F160" s="28" t="str">
        <x:f>IF(C160=D160,"YES","NO")</x:f>
        <x:v>YES</x:v>
      </x:c>
      <x:c r="G160" s="28" t="str">
        <x:v>Optimal</x:v>
      </x:c>
      <x:c r="H160" s="59" t="n">
        <x:v>375.33</x:v>
      </x:c>
    </x:row>
    <x:row r="161">
      <x:c r="A161" s="27" t="str">
        <x:v>bpps_d10000n50m10w100_3000s100_1000f1_seed0</x:v>
      </x:c>
      <x:c r="B161" s="28" t="n">
        <x:v>50</x:v>
      </x:c>
      <x:c r="C161" s="28" t="n">
        <x:v>165</x:v>
      </x:c>
      <x:c r="D161" s="28" t="n">
        <x:v>155</x:v>
      </x:c>
      <x:c r="E161" s="39" t="n">
        <x:f>(C161-D161)/C161*100</x:f>
        <x:v>6.0606060606060606</x:v>
      </x:c>
      <x:c r="F161" s="28" t="str">
        <x:f>IF(C161=D161,"YES","NO")</x:f>
        <x:v>NO</x:v>
      </x:c>
      <x:c r="G161" s="28" t="str">
        <x:v>Optimal</x:v>
      </x:c>
      <x:c r="H161" s="59" t="n">
        <x:v>91.04</x:v>
      </x:c>
    </x:row>
    <x:row r="162">
      <x:c r="A162" s="27" t="str">
        <x:v>bpps_d10000n50m10w100_3000s100_2000f0_seed0</x:v>
      </x:c>
      <x:c r="B162" s="28" t="n">
        <x:v>50</x:v>
      </x:c>
      <x:c r="C162" s="28" t="n">
        <x:v>13</x:v>
      </x:c>
      <x:c r="D162" s="28" t="n">
        <x:v>12</x:v>
      </x:c>
      <x:c r="E162" s="39" t="n">
        <x:f>(C162-D162)/C162*100</x:f>
        <x:v>7.6923076923076925</x:v>
      </x:c>
      <x:c r="F162" s="28" t="str">
        <x:f>IF(C162=D162,"YES","NO")</x:f>
        <x:v>NO</x:v>
      </x:c>
      <x:c r="G162" s="28" t="str">
        <x:v>Optimal</x:v>
      </x:c>
      <x:c r="H162" s="59" t="n">
        <x:v>0.62</x:v>
      </x:c>
    </x:row>
    <x:row r="163">
      <x:c r="A163" s="27" t="str">
        <x:v>bpps_d10000n50m10w100_3000s100_2000f1_seed0</x:v>
      </x:c>
      <x:c r="B163" s="28" t="n">
        <x:v>50</x:v>
      </x:c>
      <x:c r="C163" s="28" t="n">
        <x:v>186</x:v>
      </x:c>
      <x:c r="D163" s="28" t="n">
        <x:v>186</x:v>
      </x:c>
      <x:c r="E163" s="39" t="n">
        <x:f>(C163-D163)/C163*100</x:f>
        <x:v>0</x:v>
      </x:c>
      <x:c r="F163" s="28" t="str">
        <x:f>IF(C163=D163,"YES","NO")</x:f>
        <x:v>YES</x:v>
      </x:c>
      <x:c r="G163" s="28" t="str">
        <x:v>Optimal</x:v>
      </x:c>
      <x:c r="H163" s="59" t="n">
        <x:v>0.68</x:v>
      </x:c>
    </x:row>
    <x:row r="164">
      <x:c r="A164" s="27" t="str">
        <x:v>bpps_d10000n50m10w2000_3000s1000_2000f0_seed0</x:v>
      </x:c>
      <x:c r="B164" s="28" t="n">
        <x:v>50</x:v>
      </x:c>
      <x:c r="C164" s="28" t="n">
        <x:v>19</x:v>
      </x:c>
      <x:c r="D164" s="28" t="n">
        <x:v>17</x:v>
      </x:c>
      <x:c r="E164" s="39" t="n">
        <x:f>(C164-D164)/C164*100</x:f>
        <x:v>10.526315789473683</x:v>
      </x:c>
      <x:c r="F164" s="28" t="str">
        <x:f>IF(C164=D164,"YES","NO")</x:f>
        <x:v>NO</x:v>
      </x:c>
      <x:c r="G164" s="28" t="str">
        <x:v>Optimal</x:v>
      </x:c>
      <x:c r="H164" s="59" t="n">
        <x:v>94.63</x:v>
      </x:c>
    </x:row>
    <x:row r="165">
      <x:c r="A165" s="27" t="str">
        <x:v>bpps_d10000n50m10w2000_3000s1000_2000f1_seed0</x:v>
      </x:c>
      <x:c r="B165" s="28" t="n">
        <x:v>50</x:v>
      </x:c>
      <x:c r="C165" s="28" t="n">
        <x:v>257</x:v>
      </x:c>
      <x:c r="D165" s="28" t="n">
        <x:v>247</x:v>
      </x:c>
      <x:c r="E165" s="39" t="n">
        <x:f>(C165-D165)/C165*100</x:f>
        <x:v>3.8910505836575875</x:v>
      </x:c>
      <x:c r="F165" s="28" t="str">
        <x:f>IF(C165=D165,"YES","NO")</x:f>
        <x:v>NO</x:v>
      </x:c>
      <x:c r="G165" s="28" t="str">
        <x:v>Optimal</x:v>
      </x:c>
      <x:c r="H165" s="59" t="n">
        <x:v>460.37</x:v>
      </x:c>
    </x:row>
    <x:row r="166">
      <x:c r="A166" s="27" t="str">
        <x:v>bpps_d10000n50m10w2000_3000s100_1000f0_seed0</x:v>
      </x:c>
      <x:c r="B166" s="28" t="n">
        <x:v>50</x:v>
      </x:c>
      <x:c r="C166" s="28" t="n">
        <x:v>16</x:v>
      </x:c>
      <x:c r="D166" s="28" t="n">
        <x:v>15</x:v>
      </x:c>
      <x:c r="E166" s="39" t="n">
        <x:f>(C166-D166)/C166*100</x:f>
        <x:v>6.25</x:v>
      </x:c>
      <x:c r="F166" s="28" t="str">
        <x:f>IF(C166=D166,"YES","NO")</x:f>
        <x:v>NO</x:v>
      </x:c>
      <x:c r="G166" s="28" t="str">
        <x:v>Optimal</x:v>
      </x:c>
      <x:c r="H166" s="59" t="n">
        <x:v>0.64</x:v>
      </x:c>
    </x:row>
    <x:row r="167">
      <x:c r="A167" s="27" t="str">
        <x:v>bpps_d10000n50m10w2000_3000s100_1000f1_seed0</x:v>
      </x:c>
      <x:c r="B167" s="28" t="n">
        <x:v>50</x:v>
      </x:c>
      <x:c r="C167" s="28" t="n">
        <x:v>233</x:v>
      </x:c>
      <x:c r="D167" s="28" t="n">
        <x:v>220</x:v>
      </x:c>
      <x:c r="E167" s="39" t="n">
        <x:f>(C167-D167)/C167*100</x:f>
        <x:v>5.579399141630901</x:v>
      </x:c>
      <x:c r="F167" s="28" t="str">
        <x:f>IF(C167=D167,"YES","NO")</x:f>
        <x:v>NO</x:v>
      </x:c>
      <x:c r="G167" s="28" t="str">
        <x:v>Optimal</x:v>
      </x:c>
      <x:c r="H167" s="59" t="n">
        <x:v>601.3</x:v>
      </x:c>
    </x:row>
    <x:row r="168">
      <x:c r="A168" s="27" t="str">
        <x:v>bpps_d10000n50m10w2000_3000s100_2000f0_seed0</x:v>
      </x:c>
      <x:c r="B168" s="28" t="n">
        <x:v>50</x:v>
      </x:c>
      <x:c r="C168" s="28" t="n">
        <x:v>17</x:v>
      </x:c>
      <x:c r="D168" s="28" t="n">
        <x:v>15</x:v>
      </x:c>
      <x:c r="E168" s="39" t="n">
        <x:f>(C168-D168)/C168*100</x:f>
        <x:v>11.76470588235294</x:v>
      </x:c>
      <x:c r="F168" s="28" t="str">
        <x:f>IF(C168=D168,"YES","NO")</x:f>
        <x:v>NO</x:v>
      </x:c>
      <x:c r="G168" s="28" t="str">
        <x:v>Optimal</x:v>
      </x:c>
      <x:c r="H168" s="59" t="n">
        <x:v>43.95</x:v>
      </x:c>
    </x:row>
    <x:row r="169">
      <x:c r="A169" s="27" t="str">
        <x:v>bpps_d10000n50m10w2000_3000s100_2000f1_seed0</x:v>
      </x:c>
      <x:c r="B169" s="28" t="n">
        <x:v>50</x:v>
      </x:c>
      <x:c r="C169" s="28" t="n">
        <x:v>237</x:v>
      </x:c>
      <x:c r="D169" s="28" t="n">
        <x:v>223</x:v>
      </x:c>
      <x:c r="E169" s="39" t="n">
        <x:f>(C169-D169)/C169*100</x:f>
        <x:v>5.9071729957805905</x:v>
      </x:c>
      <x:c r="F169" s="28" t="str">
        <x:f>IF(C169=D169,"YES","NO")</x:f>
        <x:v>NO</x:v>
      </x:c>
      <x:c r="G169" s="28" t="str">
        <x:v>Optimal</x:v>
      </x:c>
      <x:c r="H169" s="59" t="n">
        <x:v>2.08</x:v>
      </x:c>
    </x:row>
    <x:row r="170">
      <x:c r="A170" s="27" t="str">
        <x:v>bpps_d10000n50m5w1000_2000s1000_2000f0_seed0</x:v>
      </x:c>
      <x:c r="B170" s="28" t="n">
        <x:v>50</x:v>
      </x:c>
      <x:c r="C170" s="28" t="n">
        <x:v>12</x:v>
      </x:c>
      <x:c r="D170" s="28" t="n">
        <x:v>11</x:v>
      </x:c>
      <x:c r="E170" s="39" t="n">
        <x:f>(C170-D170)/C170*100</x:f>
        <x:v>8.333333333333332</x:v>
      </x:c>
      <x:c r="F170" s="28" t="str">
        <x:f>IF(C170=D170,"YES","NO")</x:f>
        <x:v>NO</x:v>
      </x:c>
      <x:c r="G170" s="28" t="str">
        <x:v>Optimal</x:v>
      </x:c>
      <x:c r="H170" s="59" t="n">
        <x:v>88.23</x:v>
      </x:c>
    </x:row>
    <x:row r="171">
      <x:c r="A171" s="27" t="str">
        <x:v>bpps_d10000n50m5w1000_2000s1000_2000f1_seed0</x:v>
      </x:c>
      <x:c r="B171" s="28" t="n">
        <x:v>50</x:v>
      </x:c>
      <x:c r="C171" s="28" t="n">
        <x:v>158</x:v>
      </x:c>
      <x:c r="D171" s="28" t="n">
        <x:v>148</x:v>
      </x:c>
      <x:c r="E171" s="39" t="n">
        <x:f>(C171-D171)/C171*100</x:f>
        <x:v>6.329113924050633</x:v>
      </x:c>
      <x:c r="F171" s="28" t="str">
        <x:f>IF(C171=D171,"YES","NO")</x:f>
        <x:v>NO</x:v>
      </x:c>
      <x:c r="G171" s="28" t="str">
        <x:v>Optimal</x:v>
      </x:c>
      <x:c r="H171" s="59" t="n">
        <x:v>0.76</x:v>
      </x:c>
    </x:row>
    <x:row r="172">
      <x:c r="A172" s="27" t="str">
        <x:v>bpps_d10000n50m5w1000_2000s100_1000f0_seed0</x:v>
      </x:c>
      <x:c r="B172" s="28" t="n">
        <x:v>50</x:v>
      </x:c>
      <x:c r="C172" s="28" t="n">
        <x:v>10</x:v>
      </x:c>
      <x:c r="D172" s="28" t="n">
        <x:v>9</x:v>
      </x:c>
      <x:c r="E172" s="39" t="n">
        <x:f>(C172-D172)/C172*100</x:f>
        <x:v>10</x:v>
      </x:c>
      <x:c r="F172" s="28" t="str">
        <x:f>IF(C172=D172,"YES","NO")</x:f>
        <x:v>NO</x:v>
      </x:c>
      <x:c r="G172" s="28" t="str">
        <x:v>Optimal</x:v>
      </x:c>
      <x:c r="H172" s="59" t="n">
        <x:v>1.55</x:v>
      </x:c>
    </x:row>
    <x:row r="173">
      <x:c r="A173" s="27" t="str">
        <x:v>bpps_d10000n50m5w1000_2000s100_1000f1_seed0</x:v>
      </x:c>
      <x:c r="B173" s="28" t="n">
        <x:v>50</x:v>
      </x:c>
      <x:c r="C173" s="28" t="n">
        <x:v>135</x:v>
      </x:c>
      <x:c r="D173" s="28" t="n">
        <x:v>130</x:v>
      </x:c>
      <x:c r="E173" s="39" t="n">
        <x:f>(C173-D173)/C173*100</x:f>
        <x:v>3.7037037037037033</x:v>
      </x:c>
      <x:c r="F173" s="28" t="str">
        <x:f>IF(C173=D173,"YES","NO")</x:f>
        <x:v>NO</x:v>
      </x:c>
      <x:c r="G173" s="28" t="str">
        <x:v>Optimal</x:v>
      </x:c>
      <x:c r="H173" s="59" t="n">
        <x:v>0.59</x:v>
      </x:c>
    </x:row>
    <x:row r="174">
      <x:c r="A174" s="27" t="str">
        <x:v>bpps_d10000n50m5w1000_2000s100_2000f0_seed0</x:v>
      </x:c>
      <x:c r="B174" s="28" t="n">
        <x:v>50</x:v>
      </x:c>
      <x:c r="C174" s="28" t="n">
        <x:v>10</x:v>
      </x:c>
      <x:c r="D174" s="28" t="n">
        <x:v>10</x:v>
      </x:c>
      <x:c r="E174" s="39" t="n">
        <x:f>(C174-D174)/C174*100</x:f>
        <x:v>0</x:v>
      </x:c>
      <x:c r="F174" s="28" t="str">
        <x:f>IF(C174=D174,"YES","NO")</x:f>
        <x:v>YES</x:v>
      </x:c>
      <x:c r="G174" s="28" t="str">
        <x:v>Optimal</x:v>
      </x:c>
      <x:c r="H174" s="59" t="n">
        <x:v>1.41</x:v>
      </x:c>
    </x:row>
    <x:row r="175">
      <x:c r="A175" s="27" t="str">
        <x:v>bpps_d10000n50m5w1000_2000s100_2000f1_seed0</x:v>
      </x:c>
      <x:c r="B175" s="28" t="n">
        <x:v>50</x:v>
      </x:c>
      <x:c r="C175" s="28" t="n">
        <x:v>147</x:v>
      </x:c>
      <x:c r="D175" s="28" t="n">
        <x:v>134</x:v>
      </x:c>
      <x:c r="E175" s="39" t="n">
        <x:f>(C175-D175)/C175*100</x:f>
        <x:v>8.843537414965986</x:v>
      </x:c>
      <x:c r="F175" s="28" t="str">
        <x:f>IF(C175=D175,"YES","NO")</x:f>
        <x:v>NO</x:v>
      </x:c>
      <x:c r="G175" s="28" t="str">
        <x:v>Optimal</x:v>
      </x:c>
      <x:c r="H175" s="59" t="n">
        <x:v>3.54</x:v>
      </x:c>
    </x:row>
    <x:row r="176">
      <x:c r="A176" s="27" t="str">
        <x:v>bpps_d10000n50m5w100_1000s1000_2000f0_seed0</x:v>
      </x:c>
      <x:c r="B176" s="28" t="n">
        <x:v>50</x:v>
      </x:c>
      <x:c r="C176" s="28" t="n">
        <x:v>7</x:v>
      </x:c>
      <x:c r="D176" s="28" t="n">
        <x:v>5</x:v>
      </x:c>
      <x:c r="E176" s="39" t="n">
        <x:f>(C176-D176)/C176*100</x:f>
        <x:v>28.57142857142857</x:v>
      </x:c>
      <x:c r="F176" s="28" t="str">
        <x:f>IF(C176=D176,"YES","NO")</x:f>
        <x:v>NO</x:v>
      </x:c>
      <x:c r="G176" s="28" t="str">
        <x:v>Optimal</x:v>
      </x:c>
      <x:c r="H176" s="59" t="n">
        <x:v>3.93</x:v>
      </x:c>
    </x:row>
    <x:row r="177">
      <x:c r="A177" s="27" t="str">
        <x:v>bpps_d10000n50m5w100_1000s1000_2000f1_seed0</x:v>
      </x:c>
      <x:c r="B177" s="28" t="n">
        <x:v>50</x:v>
      </x:c>
      <x:c r="C177" s="28" t="n">
        <x:v>100</x:v>
      </x:c>
      <x:c r="D177" s="28" t="n">
        <x:v>90</x:v>
      </x:c>
      <x:c r="E177" s="39" t="n">
        <x:f>(C177-D177)/C177*100</x:f>
        <x:v>10</x:v>
      </x:c>
      <x:c r="F177" s="28" t="str">
        <x:f>IF(C177=D177,"YES","NO")</x:f>
        <x:v>NO</x:v>
      </x:c>
      <x:c r="G177" s="28" t="str">
        <x:v>Optimal</x:v>
      </x:c>
      <x:c r="H177" s="59" t="n">
        <x:v>1.75</x:v>
      </x:c>
    </x:row>
    <x:row r="178">
      <x:c r="A178" s="27" t="str">
        <x:v>bpps_d10000n50m5w100_1000s100_1000f0_seed0</x:v>
      </x:c>
      <x:c r="B178" s="28" t="n">
        <x:v>50</x:v>
      </x:c>
      <x:c r="C178" s="28" t="n">
        <x:v>6</x:v>
      </x:c>
      <x:c r="D178" s="28" t="n">
        <x:v>5</x:v>
      </x:c>
      <x:c r="E178" s="39" t="n">
        <x:f>(C178-D178)/C178*100</x:f>
        <x:v>16.666666666666664</x:v>
      </x:c>
      <x:c r="F178" s="28" t="str">
        <x:f>IF(C178=D178,"YES","NO")</x:f>
        <x:v>NO</x:v>
      </x:c>
      <x:c r="G178" s="28" t="str">
        <x:v>Optimal</x:v>
      </x:c>
      <x:c r="H178" s="59" t="n">
        <x:v>0.53</x:v>
      </x:c>
    </x:row>
    <x:row r="179">
      <x:c r="A179" s="27" t="str">
        <x:v>bpps_d10000n50m5w100_1000s100_1000f1_seed0</x:v>
      </x:c>
      <x:c r="B179" s="28" t="n">
        <x:v>50</x:v>
      </x:c>
      <x:c r="C179" s="28" t="n">
        <x:v>115</x:v>
      </x:c>
      <x:c r="D179" s="28" t="n">
        <x:v>94</x:v>
      </x:c>
      <x:c r="E179" s="39" t="n">
        <x:f>(C179-D179)/C179*100</x:f>
        <x:v>18.26086956521739</x:v>
      </x:c>
      <x:c r="F179" s="28" t="str">
        <x:f>IF(C179=D179,"YES","NO")</x:f>
        <x:v>NO</x:v>
      </x:c>
      <x:c r="G179" s="28" t="str">
        <x:v>Optimal</x:v>
      </x:c>
      <x:c r="H179" s="59" t="n">
        <x:v>3.41</x:v>
      </x:c>
    </x:row>
    <x:row r="180">
      <x:c r="A180" s="27" t="str">
        <x:v>bpps_d10000n50m5w100_1000s100_2000f0_seed0</x:v>
      </x:c>
      <x:c r="B180" s="28" t="n">
        <x:v>50</x:v>
      </x:c>
      <x:c r="C180" s="28" t="n">
        <x:v>6</x:v>
      </x:c>
      <x:c r="D180" s="28" t="n">
        <x:v>5</x:v>
      </x:c>
      <x:c r="E180" s="39" t="n">
        <x:f>(C180-D180)/C180*100</x:f>
        <x:v>16.666666666666664</x:v>
      </x:c>
      <x:c r="F180" s="28" t="str">
        <x:f>IF(C180=D180,"YES","NO")</x:f>
        <x:v>NO</x:v>
      </x:c>
      <x:c r="G180" s="28" t="str">
        <x:v>Optimal</x:v>
      </x:c>
      <x:c r="H180" s="59" t="n">
        <x:v>0.73</x:v>
      </x:c>
    </x:row>
    <x:row r="181">
      <x:c r="A181" s="27" t="str">
        <x:v>bpps_d10000n50m5w100_1000s100_2000f1_seed0</x:v>
      </x:c>
      <x:c r="B181" s="28" t="n">
        <x:v>50</x:v>
      </x:c>
      <x:c r="C181" s="28" t="n">
        <x:v>117</x:v>
      </x:c>
      <x:c r="D181" s="28" t="n">
        <x:v>105</x:v>
      </x:c>
      <x:c r="E181" s="39" t="n">
        <x:f>(C181-D181)/C181*100</x:f>
        <x:v>10.256410256410255</x:v>
      </x:c>
      <x:c r="F181" s="28" t="str">
        <x:f>IF(C181=D181,"YES","NO")</x:f>
        <x:v>NO</x:v>
      </x:c>
      <x:c r="G181" s="28" t="str">
        <x:v>Optimal</x:v>
      </x:c>
      <x:c r="H181" s="59" t="n">
        <x:v>20.27</x:v>
      </x:c>
    </x:row>
    <x:row r="182">
      <x:c r="A182" s="27" t="str">
        <x:v>bpps_d10000n50m5w100_3000s1000_2000f0_seed0</x:v>
      </x:c>
      <x:c r="B182" s="28" t="n">
        <x:v>50</x:v>
      </x:c>
      <x:c r="C182" s="28" t="n">
        <x:v>13</x:v>
      </x:c>
      <x:c r="D182" s="28" t="n">
        <x:v>11</x:v>
      </x:c>
      <x:c r="E182" s="39" t="n">
        <x:f>(C182-D182)/C182*100</x:f>
        <x:v>15.384615384615385</x:v>
      </x:c>
      <x:c r="F182" s="28" t="str">
        <x:f>IF(C182=D182,"YES","NO")</x:f>
        <x:v>NO</x:v>
      </x:c>
      <x:c r="G182" s="28" t="str">
        <x:v>Optimal</x:v>
      </x:c>
      <x:c r="H182" s="59" t="n">
        <x:v>284.56</x:v>
      </x:c>
    </x:row>
    <x:row r="183">
      <x:c r="A183" s="27" t="str">
        <x:v>bpps_d10000n50m5w100_3000s1000_2000f1_seed0</x:v>
      </x:c>
      <x:c r="B183" s="28" t="n">
        <x:v>50</x:v>
      </x:c>
      <x:c r="C183" s="28" t="n">
        <x:v>169</x:v>
      </x:c>
      <x:c r="D183" s="28" t="n">
        <x:v>150</x:v>
      </x:c>
      <x:c r="E183" s="39" t="n">
        <x:f>(C183-D183)/C183*100</x:f>
        <x:v>11.242603550295858</x:v>
      </x:c>
      <x:c r="F183" s="28" t="str">
        <x:f>IF(C183=D183,"YES","NO")</x:f>
        <x:v>NO</x:v>
      </x:c>
      <x:c r="G183" s="28" t="str">
        <x:v>Optimal</x:v>
      </x:c>
      <x:c r="H183" s="59" t="n">
        <x:v>0.76</x:v>
      </x:c>
    </x:row>
    <x:row r="184">
      <x:c r="A184" s="27" t="str">
        <x:v>bpps_d10000n50m5w100_3000s100_1000f0_seed0</x:v>
      </x:c>
      <x:c r="B184" s="28" t="n">
        <x:v>50</x:v>
      </x:c>
      <x:c r="C184" s="28" t="n">
        <x:v>10</x:v>
      </x:c>
      <x:c r="D184" s="28" t="n">
        <x:v>10</x:v>
      </x:c>
      <x:c r="E184" s="39" t="n">
        <x:f>(C184-D184)/C184*100</x:f>
        <x:v>0</x:v>
      </x:c>
      <x:c r="F184" s="28" t="str">
        <x:f>IF(C184=D184,"YES","NO")</x:f>
        <x:v>YES</x:v>
      </x:c>
      <x:c r="G184" s="28" t="str">
        <x:v>Optimal</x:v>
      </x:c>
      <x:c r="H184" s="59" t="n">
        <x:v>0.64</x:v>
      </x:c>
    </x:row>
    <x:row r="185">
      <x:c r="A185" s="27" t="str">
        <x:v>bpps_d10000n50m5w100_3000s100_1000f1_seed0</x:v>
      </x:c>
      <x:c r="B185" s="28" t="n">
        <x:v>50</x:v>
      </x:c>
      <x:c r="C185" s="28" t="n">
        <x:v>143</x:v>
      </x:c>
      <x:c r="D185" s="28" t="n">
        <x:v>143</x:v>
      </x:c>
      <x:c r="E185" s="39" t="n">
        <x:f>(C185-D185)/C185*100</x:f>
        <x:v>0</x:v>
      </x:c>
      <x:c r="F185" s="28" t="str">
        <x:f>IF(C185=D185,"YES","NO")</x:f>
        <x:v>YES</x:v>
      </x:c>
      <x:c r="G185" s="28" t="str">
        <x:v>Optimal</x:v>
      </x:c>
      <x:c r="H185" s="59" t="n">
        <x:v>0.68</x:v>
      </x:c>
    </x:row>
    <x:row r="186">
      <x:c r="A186" s="27" t="str">
        <x:v>bpps_d10000n50m5w100_3000s100_2000f0_seed0</x:v>
      </x:c>
      <x:c r="B186" s="28" t="n">
        <x:v>50</x:v>
      </x:c>
      <x:c r="C186" s="28" t="n">
        <x:v>12</x:v>
      </x:c>
      <x:c r="D186" s="28" t="n">
        <x:v>11</x:v>
      </x:c>
      <x:c r="E186" s="39" t="n">
        <x:f>(C186-D186)/C186*100</x:f>
        <x:v>8.333333333333332</x:v>
      </x:c>
      <x:c r="F186" s="28" t="str">
        <x:f>IF(C186=D186,"YES","NO")</x:f>
        <x:v>NO</x:v>
      </x:c>
      <x:c r="G186" s="28" t="str">
        <x:v>Optimal</x:v>
      </x:c>
      <x:c r="H186" s="59" t="n">
        <x:v>1.45</x:v>
      </x:c>
    </x:row>
    <x:row r="187">
      <x:c r="A187" s="27" t="str">
        <x:v>bpps_d10000n50m5w100_3000s100_2000f1_seed0</x:v>
      </x:c>
      <x:c r="B187" s="28" t="n">
        <x:v>50</x:v>
      </x:c>
      <x:c r="C187" s="28" t="n">
        <x:v>159</x:v>
      </x:c>
      <x:c r="D187" s="28" t="n">
        <x:v>158</x:v>
      </x:c>
      <x:c r="E187" s="39" t="n">
        <x:f>(C187-D187)/C187*100</x:f>
        <x:v>0.628930817610063</x:v>
      </x:c>
      <x:c r="F187" s="28" t="str">
        <x:f>IF(C187=D187,"YES","NO")</x:f>
        <x:v>NO</x:v>
      </x:c>
      <x:c r="G187" s="28" t="str">
        <x:v>Optimal</x:v>
      </x:c>
      <x:c r="H187" s="59" t="n">
        <x:v>548.72</x:v>
      </x:c>
    </x:row>
    <x:row r="188">
      <x:c r="A188" s="27" t="str">
        <x:v>bpps_d10000n50m5w2000_3000s1000_2000f0_seed0</x:v>
      </x:c>
      <x:c r="B188" s="28" t="n">
        <x:v>50</x:v>
      </x:c>
      <x:c r="C188" s="28" t="n">
        <x:v>17</x:v>
      </x:c>
      <x:c r="D188" s="28" t="n">
        <x:v>16</x:v>
      </x:c>
      <x:c r="E188" s="39" t="n">
        <x:f>(C188-D188)/C188*100</x:f>
        <x:v>5.88235294117647</x:v>
      </x:c>
      <x:c r="F188" s="28" t="str">
        <x:f>IF(C188=D188,"YES","NO")</x:f>
        <x:v>NO</x:v>
      </x:c>
      <x:c r="G188" s="28" t="str">
        <x:v>Optimal</x:v>
      </x:c>
      <x:c r="H188" s="59" t="n">
        <x:v>9.6</x:v>
      </x:c>
    </x:row>
    <x:row r="189">
      <x:c r="A189" s="27" t="str">
        <x:v>bpps_d10000n50m5w2000_3000s1000_2000f1_seed0</x:v>
      </x:c>
      <x:c r="B189" s="28" t="n">
        <x:v>50</x:v>
      </x:c>
      <x:c r="C189" s="28" t="n">
        <x:v>232</x:v>
      </x:c>
      <x:c r="D189" s="28" t="n">
        <x:v>222</x:v>
      </x:c>
      <x:c r="E189" s="39" t="n">
        <x:f>(C189-D189)/C189*100</x:f>
        <x:v>4.310344827586207</x:v>
      </x:c>
      <x:c r="F189" s="28" t="str">
        <x:f>IF(C189=D189,"YES","NO")</x:f>
        <x:v>NO</x:v>
      </x:c>
      <x:c r="G189" s="28" t="str">
        <x:v>Optimal</x:v>
      </x:c>
      <x:c r="H189" s="59" t="n">
        <x:v>0.93</x:v>
      </x:c>
    </x:row>
    <x:row r="190">
      <x:c r="A190" s="27" t="str">
        <x:v>bpps_d10000n50m5w2000_3000s100_1000f0_seed0</x:v>
      </x:c>
      <x:c r="B190" s="28" t="n">
        <x:v>50</x:v>
      </x:c>
      <x:c r="C190" s="28" t="n">
        <x:v>16</x:v>
      </x:c>
      <x:c r="D190" s="28" t="n">
        <x:v>15</x:v>
      </x:c>
      <x:c r="E190" s="39" t="n">
        <x:f>(C190-D190)/C190*100</x:f>
        <x:v>6.25</x:v>
      </x:c>
      <x:c r="F190" s="28" t="str">
        <x:f>IF(C190=D190,"YES","NO")</x:f>
        <x:v>NO</x:v>
      </x:c>
      <x:c r="G190" s="28" t="str">
        <x:v>Optimal</x:v>
      </x:c>
      <x:c r="H190" s="59" t="n">
        <x:v>128.37</x:v>
      </x:c>
    </x:row>
    <x:row r="191">
      <x:c r="A191" s="27" t="str">
        <x:v>bpps_d10000n50m5w2000_3000s100_1000f1_seed0</x:v>
      </x:c>
      <x:c r="B191" s="28" t="n">
        <x:v>50</x:v>
      </x:c>
      <x:c r="C191" s="28" t="n">
        <x:v>217</x:v>
      </x:c>
      <x:c r="D191" s="28" t="n">
        <x:v>197</x:v>
      </x:c>
      <x:c r="E191" s="39" t="n">
        <x:f>(C191-D191)/C191*100</x:f>
        <x:v>9.216589861751153</x:v>
      </x:c>
      <x:c r="F191" s="28" t="str">
        <x:f>IF(C191=D191,"YES","NO")</x:f>
        <x:v>NO</x:v>
      </x:c>
      <x:c r="G191" s="28" t="str">
        <x:v>Optimal</x:v>
      </x:c>
      <x:c r="H191" s="59" t="n">
        <x:v>1.73</x:v>
      </x:c>
    </x:row>
    <x:row r="192">
      <x:c r="A192" s="27" t="str">
        <x:v>bpps_d10000n50m5w2000_3000s100_2000f0_seed0</x:v>
      </x:c>
      <x:c r="B192" s="28" t="n">
        <x:v>50</x:v>
      </x:c>
      <x:c r="C192" s="28" t="n">
        <x:v>17</x:v>
      </x:c>
      <x:c r="D192" s="28" t="n">
        <x:v>15</x:v>
      </x:c>
      <x:c r="E192" s="39" t="n">
        <x:f>(C192-D192)/C192*100</x:f>
        <x:v>11.76470588235294</x:v>
      </x:c>
      <x:c r="F192" s="28" t="str">
        <x:f>IF(C192=D192,"YES","NO")</x:f>
        <x:v>NO</x:v>
      </x:c>
      <x:c r="G192" s="28" t="str">
        <x:v>Optimal</x:v>
      </x:c>
      <x:c r="H192" s="59" t="n">
        <x:v>6.31</x:v>
      </x:c>
    </x:row>
    <x:row r="193">
      <x:c r="A193" s="27" t="str">
        <x:v>bpps_d10000n50m5w2000_3000s100_2000f1_seed0</x:v>
      </x:c>
      <x:c r="B193" s="28" t="n">
        <x:v>50</x:v>
      </x:c>
      <x:c r="C193" s="28" t="n">
        <x:v>222</x:v>
      </x:c>
      <x:c r="D193" s="28" t="n">
        <x:v>212</x:v>
      </x:c>
      <x:c r="E193" s="39" t="n">
        <x:f>(C193-D193)/C193*100</x:f>
        <x:v>4.504504504504505</x:v>
      </x:c>
      <x:c r="F193" s="28" t="str">
        <x:f>IF(C193=D193,"YES","NO")</x:f>
        <x:v>NO</x:v>
      </x:c>
      <x:c r="G193" s="28" t="str">
        <x:v>Optimal</x:v>
      </x:c>
      <x:c r="H193" s="59" t="n">
        <x:v>1.21</x:v>
      </x:c>
    </x:row>
    <x:row r="194">
      <x:c r="A194" s="27" t="str">
        <x:v>bpps_d1000n100m10w100_200s100_200f0_seed0</x:v>
      </x:c>
      <x:c r="B194" s="28" t="n">
        <x:v>100</x:v>
      </x:c>
      <x:c r="C194" s="28" t="n">
        <x:v>23</x:v>
      </x:c>
      <x:c r="D194" s="28" t="n">
        <x:v>20</x:v>
      </x:c>
      <x:c r="E194" s="39" t="n">
        <x:f>(C194-D194)/C194*100</x:f>
        <x:v>13.043478260869565</x:v>
      </x:c>
      <x:c r="F194" s="28" t="str">
        <x:f>IF(C194=D194,"YES","NO")</x:f>
        <x:v>NO</x:v>
      </x:c>
      <x:c r="G194" s="28" t="str">
        <x:v>Optimal</x:v>
      </x:c>
      <x:c r="H194" s="59" t="n">
        <x:v>1.24</x:v>
      </x:c>
    </x:row>
    <x:row r="195">
      <x:c r="A195" s="27" t="str">
        <x:v>bpps_d1000n100m10w100_200s100_200f1_seed0</x:v>
      </x:c>
      <x:c r="B195" s="28" t="n">
        <x:v>100</x:v>
      </x:c>
      <x:c r="C195" s="28" t="n">
        <x:v>298</x:v>
      </x:c>
      <x:c r="D195" s="28" t="n">
        <x:v>293</x:v>
      </x:c>
      <x:c r="E195" s="39" t="n">
        <x:f>(C195-D195)/C195*100</x:f>
        <x:v>1.6778523489932886</x:v>
      </x:c>
      <x:c r="F195" s="28" t="str">
        <x:f>IF(C195=D195,"YES","NO")</x:f>
        <x:v>NO</x:v>
      </x:c>
      <x:c r="G195" s="28" t="str">
        <x:v>Optimal</x:v>
      </x:c>
      <x:c r="H195" s="59" t="n">
        <x:v>15.2</x:v>
      </x:c>
    </x:row>
    <x:row r="196">
      <x:c r="A196" s="27" t="str">
        <x:v>bpps_d1000n100m10w100_200s10_100f0_seed0</x:v>
      </x:c>
      <x:c r="B196" s="28" t="n">
        <x:v>100</x:v>
      </x:c>
      <x:c r="C196" s="28" t="n">
        <x:v>19</x:v>
      </x:c>
      <x:c r="D196" s="28" t="n">
        <x:v>17</x:v>
      </x:c>
      <x:c r="E196" s="39" t="n">
        <x:f>(C196-D196)/C196*100</x:f>
        <x:v>10.526315789473683</x:v>
      </x:c>
      <x:c r="F196" s="28" t="str">
        <x:f>IF(C196=D196,"YES","NO")</x:f>
        <x:v>NO</x:v>
      </x:c>
      <x:c r="G196" s="28" t="str">
        <x:v>Optimal</x:v>
      </x:c>
      <x:c r="H196" s="59" t="n">
        <x:v>25.23</x:v>
      </x:c>
    </x:row>
    <x:row r="197">
      <x:c r="A197" s="27" t="str">
        <x:v>bpps_d1000n100m10w100_200s10_100f1_seed0</x:v>
      </x:c>
      <x:c r="B197" s="28" t="n">
        <x:v>100</x:v>
      </x:c>
      <x:c r="C197" s="28" t="n">
        <x:v>279</x:v>
      </x:c>
      <x:c r="D197" s="28" t="n">
        <x:v>260</x:v>
      </x:c>
      <x:c r="E197" s="39" t="n">
        <x:f>(C197-D197)/C197*100</x:f>
        <x:v>6.810035842293908</x:v>
      </x:c>
      <x:c r="F197" s="28" t="str">
        <x:f>IF(C197=D197,"YES","NO")</x:f>
        <x:v>NO</x:v>
      </x:c>
      <x:c r="G197" s="28" t="str">
        <x:v>Optimal</x:v>
      </x:c>
      <x:c r="H197" s="59" t="n">
        <x:v>3.98</x:v>
      </x:c>
    </x:row>
    <x:row r="198">
      <x:c r="A198" s="27" t="str">
        <x:v>bpps_d1000n100m10w100_200s10_200f0_seed0</x:v>
      </x:c>
      <x:c r="B198" s="28" t="n">
        <x:v>100</x:v>
      </x:c>
      <x:c r="C198" s="28" t="n">
        <x:v>20</x:v>
      </x:c>
      <x:c r="D198" s="28" t="n">
        <x:v>18</x:v>
      </x:c>
      <x:c r="E198" s="39" t="n">
        <x:f>(C198-D198)/C198*100</x:f>
        <x:v>10</x:v>
      </x:c>
      <x:c r="F198" s="28" t="str">
        <x:f>IF(C198=D198,"YES","NO")</x:f>
        <x:v>NO</x:v>
      </x:c>
      <x:c r="G198" s="28" t="str">
        <x:v>Optimal</x:v>
      </x:c>
      <x:c r="H198" s="59" t="n">
        <x:v>144.87</x:v>
      </x:c>
    </x:row>
    <x:row r="199">
      <x:c r="A199" s="27" t="str">
        <x:v>bpps_d1000n100m10w100_200s10_200f1_seed0</x:v>
      </x:c>
      <x:c r="B199" s="28" t="n">
        <x:v>100</x:v>
      </x:c>
      <x:c r="C199" s="28" t="n">
        <x:v>295</x:v>
      </x:c>
      <x:c r="D199" s="28" t="n">
        <x:v>280</x:v>
      </x:c>
      <x:c r="E199" s="39" t="n">
        <x:f>(C199-D199)/C199*100</x:f>
        <x:v>5.084745762711865</x:v>
      </x:c>
      <x:c r="F199" s="28" t="str">
        <x:f>IF(C199=D199,"YES","NO")</x:f>
        <x:v>NO</x:v>
      </x:c>
      <x:c r="G199" s="28" t="str">
        <x:v>Optimal</x:v>
      </x:c>
      <x:c r="H199" s="59" t="n">
        <x:v>1.31</x:v>
      </x:c>
    </x:row>
    <x:row r="200">
      <x:c r="A200" s="27" t="str">
        <x:v>bpps_d1000n100m10w10_100s100_200f0_seed0</x:v>
      </x:c>
      <x:c r="B200" s="28" t="n">
        <x:v>100</x:v>
      </x:c>
      <x:c r="C200" s="28" t="n">
        <x:v>13</x:v>
      </x:c>
      <x:c r="D200" s="28" t="n">
        <x:v>10</x:v>
      </x:c>
      <x:c r="E200" s="39" t="n">
        <x:f>(C200-D200)/C200*100</x:f>
        <x:v>23.076923076923077</x:v>
      </x:c>
      <x:c r="F200" s="28" t="str">
        <x:f>IF(C200=D200,"YES","NO")</x:f>
        <x:v>NO</x:v>
      </x:c>
      <x:c r="G200" s="28" t="str">
        <x:v>Optimal</x:v>
      </x:c>
      <x:c r="H200" s="59" t="n">
        <x:v>1.24</x:v>
      </x:c>
    </x:row>
    <x:row r="201">
      <x:c r="A201" s="27" t="str">
        <x:v>bpps_d1000n100m10w10_100s100_200f1_seed0</x:v>
      </x:c>
      <x:c r="B201" s="28" t="n">
        <x:v>100</x:v>
      </x:c>
      <x:c r="C201" s="28" t="n">
        <x:v>206</x:v>
      </x:c>
      <x:c r="D201" s="28" t="n">
        <x:v>186</x:v>
      </x:c>
      <x:c r="E201" s="39" t="n">
        <x:f>(C201-D201)/C201*100</x:f>
        <x:v>9.70873786407767</x:v>
      </x:c>
      <x:c r="F201" s="28" t="str">
        <x:f>IF(C201=D201,"YES","NO")</x:f>
        <x:v>NO</x:v>
      </x:c>
      <x:c r="G201" s="28" t="str">
        <x:v>Optimal</x:v>
      </x:c>
      <x:c r="H201" s="59" t="n">
        <x:v>1.69</x:v>
      </x:c>
    </x:row>
    <x:row r="202">
      <x:c r="A202" s="27" t="str">
        <x:v>bpps_d1000n100m10w10_100s10_100f0_seed0</x:v>
      </x:c>
      <x:c r="B202" s="28" t="n">
        <x:v>100</x:v>
      </x:c>
      <x:c r="C202" s="28" t="n">
        <x:v>10</x:v>
      </x:c>
      <x:c r="D202" s="28" t="n">
        <x:v>8</x:v>
      </x:c>
      <x:c r="E202" s="39" t="n">
        <x:f>(C202-D202)/C202*100</x:f>
        <x:v>20</x:v>
      </x:c>
      <x:c r="F202" s="28" t="str">
        <x:f>IF(C202=D202,"YES","NO")</x:f>
        <x:v>NO</x:v>
      </x:c>
      <x:c r="G202" s="28" t="str">
        <x:v>Optimal</x:v>
      </x:c>
      <x:c r="H202" s="59" t="n">
        <x:v>2.61</x:v>
      </x:c>
    </x:row>
    <x:row r="203">
      <x:c r="A203" s="27" t="str">
        <x:v>bpps_d1000n100m10w10_100s10_100f1_seed0</x:v>
      </x:c>
      <x:c r="B203" s="28" t="n">
        <x:v>100</x:v>
      </x:c>
      <x:c r="C203" s="28" t="n">
        <x:v>199</x:v>
      </x:c>
      <x:c r="D203" s="28" t="n">
        <x:v>162</x:v>
      </x:c>
      <x:c r="E203" s="39" t="n">
        <x:f>(C203-D203)/C203*100</x:f>
        <x:v>18.592964824120603</x:v>
      </x:c>
      <x:c r="F203" s="28" t="str">
        <x:f>IF(C203=D203,"YES","NO")</x:f>
        <x:v>NO</x:v>
      </x:c>
      <x:c r="G203" s="28" t="str">
        <x:v>Optimal</x:v>
      </x:c>
      <x:c r="H203" s="59" t="n">
        <x:v>1.85</x:v>
      </x:c>
    </x:row>
    <x:row r="204">
      <x:c r="A204" s="27" t="str">
        <x:v>bpps_d1000n100m10w10_100s10_200f0_seed0</x:v>
      </x:c>
      <x:c r="B204" s="28" t="n">
        <x:v>100</x:v>
      </x:c>
      <x:c r="C204" s="28" t="n">
        <x:v>12</x:v>
      </x:c>
      <x:c r="D204" s="28" t="n">
        <x:v>9</x:v>
      </x:c>
      <x:c r="E204" s="39" t="n">
        <x:f>(C204-D204)/C204*100</x:f>
        <x:v>25</x:v>
      </x:c>
      <x:c r="F204" s="28" t="str">
        <x:f>IF(C204=D204,"YES","NO")</x:f>
        <x:v>NO</x:v>
      </x:c>
      <x:c r="G204" s="28" t="str">
        <x:v>Optimal</x:v>
      </x:c>
      <x:c r="H204" s="59" t="n">
        <x:v>1.22</x:v>
      </x:c>
    </x:row>
    <x:row r="205">
      <x:c r="A205" s="27" t="str">
        <x:v>bpps_d1000n100m10w10_100s10_200f1_seed0</x:v>
      </x:c>
      <x:c r="B205" s="28" t="n">
        <x:v>100</x:v>
      </x:c>
      <x:c r="C205" s="28" t="n">
        <x:v>219</x:v>
      </x:c>
      <x:c r="D205" s="28" t="n">
        <x:v>200</x:v>
      </x:c>
      <x:c r="E205" s="39" t="n">
        <x:f>(C205-D205)/C205*100</x:f>
        <x:v>8.67579908675799</x:v>
      </x:c>
      <x:c r="F205" s="28" t="str">
        <x:f>IF(C205=D205,"YES","NO")</x:f>
        <x:v>NO</x:v>
      </x:c>
      <x:c r="G205" s="28" t="str">
        <x:v>Optimal</x:v>
      </x:c>
      <x:c r="H205" s="59" t="n">
        <x:v>1.55</x:v>
      </x:c>
    </x:row>
    <x:row r="206">
      <x:c r="A206" s="27" t="str">
        <x:v>bpps_d1000n100m10w10_300s100_200f0_seed0</x:v>
      </x:c>
      <x:c r="B206" s="28" t="n">
        <x:v>100</x:v>
      </x:c>
      <x:c r="C206" s="28" t="n">
        <x:v>23</x:v>
      </x:c>
      <x:c r="D206" s="28" t="n">
        <x:v>20</x:v>
      </x:c>
      <x:c r="E206" s="39" t="n">
        <x:f>(C206-D206)/C206*100</x:f>
        <x:v>13.043478260869565</x:v>
      </x:c>
      <x:c r="F206" s="28" t="str">
        <x:f>IF(C206=D206,"YES","NO")</x:f>
        <x:v>NO</x:v>
      </x:c>
      <x:c r="G206" s="28" t="str">
        <x:v>Optimal</x:v>
      </x:c>
      <x:c r="H206" s="59" t="n">
        <x:v>216.1</x:v>
      </x:c>
    </x:row>
    <x:row r="207">
      <x:c r="A207" s="27" t="str">
        <x:v>bpps_d1000n100m10w10_300s100_200f1_seed0</x:v>
      </x:c>
      <x:c r="B207" s="28" t="n">
        <x:v>100</x:v>
      </x:c>
      <x:c r="C207" s="28" t="n">
        <x:v>316</x:v>
      </x:c>
      <x:c r="D207" s="28" t="n">
        <x:v>302</x:v>
      </x:c>
      <x:c r="E207" s="39" t="n">
        <x:f>(C207-D207)/C207*100</x:f>
        <x:v>4.430379746835443</x:v>
      </x:c>
      <x:c r="F207" s="28" t="str">
        <x:f>IF(C207=D207,"YES","NO")</x:f>
        <x:v>NO</x:v>
      </x:c>
      <x:c r="G207" s="28" t="str">
        <x:v>Optimal</x:v>
      </x:c>
      <x:c r="H207" s="59" t="n">
        <x:v>1.57</x:v>
      </x:c>
    </x:row>
    <x:row r="208">
      <x:c r="A208" s="27" t="str">
        <x:v>bpps_d1000n100m10w10_300s10_100f0_seed0</x:v>
      </x:c>
      <x:c r="B208" s="28" t="n">
        <x:v>100</x:v>
      </x:c>
      <x:c r="C208" s="28" t="n">
        <x:v>19</x:v>
      </x:c>
      <x:c r="D208" s="28" t="n">
        <x:v>18</x:v>
      </x:c>
      <x:c r="E208" s="39" t="n">
        <x:f>(C208-D208)/C208*100</x:f>
        <x:v>5.263157894736842</x:v>
      </x:c>
      <x:c r="F208" s="28" t="str">
        <x:f>IF(C208=D208,"YES","NO")</x:f>
        <x:v>NO</x:v>
      </x:c>
      <x:c r="G208" s="28" t="str">
        <x:v>Optimal</x:v>
      </x:c>
      <x:c r="H208" s="59" t="n">
        <x:v>1.35</x:v>
      </x:c>
    </x:row>
    <x:row r="209">
      <x:c r="A209" s="27" t="str">
        <x:v>bpps_d1000n100m10w10_300s10_100f1_seed0</x:v>
      </x:c>
      <x:c r="B209" s="28" t="n">
        <x:v>100</x:v>
      </x:c>
      <x:c r="C209" s="28" t="n">
        <x:v>282</x:v>
      </x:c>
      <x:c r="D209" s="28" t="n">
        <x:v>263</x:v>
      </x:c>
      <x:c r="E209" s="39" t="n">
        <x:f>(C209-D209)/C209*100</x:f>
        <x:v>6.73758865248227</x:v>
      </x:c>
      <x:c r="F209" s="28" t="str">
        <x:f>IF(C209=D209,"YES","NO")</x:f>
        <x:v>NO</x:v>
      </x:c>
      <x:c r="G209" s="28" t="str">
        <x:v>Optimal</x:v>
      </x:c>
      <x:c r="H209" s="59" t="n">
        <x:v>3.61</x:v>
      </x:c>
    </x:row>
    <x:row r="210">
      <x:c r="A210" s="27" t="str">
        <x:v>bpps_d1000n100m10w10_300s10_200f0_seed0</x:v>
      </x:c>
      <x:c r="B210" s="28" t="n">
        <x:v>100</x:v>
      </x:c>
      <x:c r="C210" s="28" t="n">
        <x:v>22</x:v>
      </x:c>
      <x:c r="D210" s="28" t="n">
        <x:v>20</x:v>
      </x:c>
      <x:c r="E210" s="39" t="n">
        <x:f>(C210-D210)/C210*100</x:f>
        <x:v>9.090909090909092</x:v>
      </x:c>
      <x:c r="F210" s="28" t="str">
        <x:f>IF(C210=D210,"YES","NO")</x:f>
        <x:v>NO</x:v>
      </x:c>
      <x:c r="G210" s="28" t="str">
        <x:v>Optimal</x:v>
      </x:c>
      <x:c r="H210" s="59" t="n">
        <x:v>1.2</x:v>
      </x:c>
    </x:row>
    <x:row r="211">
      <x:c r="A211" s="27" t="str">
        <x:v>bpps_d1000n100m10w10_300s10_200f1_seed0</x:v>
      </x:c>
      <x:c r="B211" s="28" t="n">
        <x:v>100</x:v>
      </x:c>
      <x:c r="C211" s="28" t="n">
        <x:v>307</x:v>
      </x:c>
      <x:c r="D211" s="28" t="n">
        <x:v>297</x:v>
      </x:c>
      <x:c r="E211" s="39" t="n">
        <x:f>(C211-D211)/C211*100</x:f>
        <x:v>3.257328990228013</x:v>
      </x:c>
      <x:c r="F211" s="28" t="str">
        <x:f>IF(C211=D211,"YES","NO")</x:f>
        <x:v>NO</x:v>
      </x:c>
      <x:c r="G211" s="28" t="str">
        <x:v>Optimal</x:v>
      </x:c>
      <x:c r="H211" s="59" t="n">
        <x:v>2.31</x:v>
      </x:c>
    </x:row>
    <x:row r="212">
      <x:c r="A212" s="27" t="str">
        <x:v>bpps_d1000n100m10w200_300s100_200f0_seed0</x:v>
      </x:c>
      <x:c r="B212" s="28" t="n">
        <x:v>100</x:v>
      </x:c>
      <x:c r="C212" s="28" t="n">
        <x:v>34</x:v>
      </x:c>
      <x:c r="D212" s="28" t="n">
        <x:v>31</x:v>
      </x:c>
      <x:c r="E212" s="39" t="n">
        <x:f>(C212-D212)/C212*100</x:f>
        <x:v>8.823529411764707</x:v>
      </x:c>
      <x:c r="F212" s="28" t="str">
        <x:f>IF(C212=D212,"YES","NO")</x:f>
        <x:v>NO</x:v>
      </x:c>
      <x:c r="G212" s="28" t="str">
        <x:v>Optimal</x:v>
      </x:c>
      <x:c r="H212" s="59" t="n">
        <x:v>5.79</x:v>
      </x:c>
    </x:row>
    <x:row r="213">
      <x:c r="A213" s="27" t="str">
        <x:v>bpps_d1000n100m10w200_300s100_200f1_seed0</x:v>
      </x:c>
      <x:c r="B213" s="28" t="n">
        <x:v>100</x:v>
      </x:c>
      <x:c r="C213" s="28" t="n">
        <x:v>463</x:v>
      </x:c>
      <x:c r="D213" s="28" t="n">
        <x:v>435</x:v>
      </x:c>
      <x:c r="E213" s="39" t="n">
        <x:f>(C213-D213)/C213*100</x:f>
        <x:v>6.047516198704104</x:v>
      </x:c>
      <x:c r="F213" s="28" t="str">
        <x:f>IF(C213=D213,"YES","NO")</x:f>
        <x:v>NO</x:v>
      </x:c>
      <x:c r="G213" s="28" t="str">
        <x:v>Optimal</x:v>
      </x:c>
      <x:c r="H213" s="59" t="n">
        <x:v>5.14</x:v>
      </x:c>
    </x:row>
    <x:row r="214">
      <x:c r="A214" s="27" t="str">
        <x:v>bpps_d1000n100m10w200_300s10_100f0_seed0</x:v>
      </x:c>
      <x:c r="B214" s="28" t="n">
        <x:v>100</x:v>
      </x:c>
      <x:c r="C214" s="28" t="n">
        <x:v>31</x:v>
      </x:c>
      <x:c r="D214" s="28" t="n">
        <x:v>28</x:v>
      </x:c>
      <x:c r="E214" s="39" t="n">
        <x:f>(C214-D214)/C214*100</x:f>
        <x:v>9.67741935483871</x:v>
      </x:c>
      <x:c r="F214" s="28" t="str">
        <x:f>IF(C214=D214,"YES","NO")</x:f>
        <x:v>NO</x:v>
      </x:c>
      <x:c r="G214" s="28" t="str">
        <x:v>Optimal</x:v>
      </x:c>
      <x:c r="H214" s="59" t="n">
        <x:v>1.33</x:v>
      </x:c>
    </x:row>
    <x:row r="215">
      <x:c r="A215" s="27" t="str">
        <x:v>bpps_d1000n100m10w200_300s10_100f1_seed0</x:v>
      </x:c>
      <x:c r="B215" s="28" t="n">
        <x:v>100</x:v>
      </x:c>
      <x:c r="C215" s="28" t="n">
        <x:v>411</x:v>
      </x:c>
      <x:c r="D215" s="28" t="n">
        <x:v>400</x:v>
      </x:c>
      <x:c r="E215" s="39" t="n">
        <x:f>(C215-D215)/C215*100</x:f>
        <x:v>2.67639902676399</x:v>
      </x:c>
      <x:c r="F215" s="28" t="str">
        <x:f>IF(C215=D215,"YES","NO")</x:f>
        <x:v>NO</x:v>
      </x:c>
      <x:c r="G215" s="28" t="str">
        <x:v>Optimal</x:v>
      </x:c>
      <x:c r="H215" s="59" t="n">
        <x:v>1.23</x:v>
      </x:c>
    </x:row>
    <x:row r="216">
      <x:c r="A216" s="27" t="str">
        <x:v>bpps_d1000n100m10w200_300s10_200f0_seed0</x:v>
      </x:c>
      <x:c r="B216" s="28" t="n">
        <x:v>100</x:v>
      </x:c>
      <x:c r="C216" s="28" t="n">
        <x:v>32</x:v>
      </x:c>
      <x:c r="D216" s="28" t="n">
        <x:v>30</x:v>
      </x:c>
      <x:c r="E216" s="39" t="n">
        <x:f>(C216-D216)/C216*100</x:f>
        <x:v>6.25</x:v>
      </x:c>
      <x:c r="F216" s="28" t="str">
        <x:f>IF(C216=D216,"YES","NO")</x:f>
        <x:v>NO</x:v>
      </x:c>
      <x:c r="G216" s="28" t="str">
        <x:v>Optimal</x:v>
      </x:c>
      <x:c r="H216" s="59" t="n">
        <x:v>448.94</x:v>
      </x:c>
    </x:row>
    <x:row r="217">
      <x:c r="A217" s="27" t="str">
        <x:v>bpps_d1000n100m10w200_300s10_200f1_seed0</x:v>
      </x:c>
      <x:c r="B217" s="28" t="n">
        <x:v>100</x:v>
      </x:c>
      <x:c r="C217" s="28" t="n">
        <x:v>446</x:v>
      </x:c>
      <x:c r="D217" s="28" t="n">
        <x:v>420</x:v>
      </x:c>
      <x:c r="E217" s="39" t="n">
        <x:f>(C217-D217)/C217*100</x:f>
        <x:v>5.829596412556054</x:v>
      </x:c>
      <x:c r="F217" s="28" t="str">
        <x:f>IF(C217=D217,"YES","NO")</x:f>
        <x:v>NO</x:v>
      </x:c>
      <x:c r="G217" s="28" t="str">
        <x:v>Optimal</x:v>
      </x:c>
      <x:c r="H217" s="59" t="n">
        <x:v>16.18</x:v>
      </x:c>
    </x:row>
    <x:row r="218">
      <x:c r="A218" s="27" t="str">
        <x:v>bpps_d1000n100m5w100_200s100_200f0_seed0</x:v>
      </x:c>
      <x:c r="B218" s="28" t="n">
        <x:v>100</x:v>
      </x:c>
      <x:c r="C218" s="28" t="n">
        <x:v>21</x:v>
      </x:c>
      <x:c r="D218" s="28" t="n">
        <x:v>19</x:v>
      </x:c>
      <x:c r="E218" s="39" t="n">
        <x:f>(C218-D218)/C218*100</x:f>
        <x:v>9.523809523809524</x:v>
      </x:c>
      <x:c r="F218" s="28" t="str">
        <x:f>IF(C218=D218,"YES","NO")</x:f>
        <x:v>NO</x:v>
      </x:c>
      <x:c r="G218" s="28" t="str">
        <x:v>Optimal</x:v>
      </x:c>
      <x:c r="H218" s="59" t="n">
        <x:v>3.94</x:v>
      </x:c>
    </x:row>
    <x:row r="219">
      <x:c r="A219" s="27" t="str">
        <x:v>bpps_d1000n100m5w100_200s100_200f1_seed0</x:v>
      </x:c>
      <x:c r="B219" s="28" t="n">
        <x:v>100</x:v>
      </x:c>
      <x:c r="C219" s="28" t="n">
        <x:v>273</x:v>
      </x:c>
      <x:c r="D219" s="28" t="n">
        <x:v>258</x:v>
      </x:c>
      <x:c r="E219" s="39" t="n">
        <x:f>(C219-D219)/C219*100</x:f>
        <x:v>5.4945054945054945</x:v>
      </x:c>
      <x:c r="F219" s="28" t="str">
        <x:f>IF(C219=D219,"YES","NO")</x:f>
        <x:v>NO</x:v>
      </x:c>
      <x:c r="G219" s="28" t="str">
        <x:v>Optimal</x:v>
      </x:c>
      <x:c r="H219" s="59" t="n">
        <x:v>3.59</x:v>
      </x:c>
    </x:row>
    <x:row r="220">
      <x:c r="A220" s="27" t="str">
        <x:v>bpps_d1000n100m5w100_200s10_100f0_seed0</x:v>
      </x:c>
      <x:c r="B220" s="28" t="n">
        <x:v>100</x:v>
      </x:c>
      <x:c r="C220" s="28" t="n">
        <x:v>18</x:v>
      </x:c>
      <x:c r="D220" s="28" t="n">
        <x:v>17</x:v>
      </x:c>
      <x:c r="E220" s="39" t="n">
        <x:f>(C220-D220)/C220*100</x:f>
        <x:v>5.555555555555555</x:v>
      </x:c>
      <x:c r="F220" s="28" t="str">
        <x:f>IF(C220=D220,"YES","NO")</x:f>
        <x:v>NO</x:v>
      </x:c>
      <x:c r="G220" s="28" t="str">
        <x:v>Optimal</x:v>
      </x:c>
      <x:c r="H220" s="59" t="n">
        <x:v>3.23</x:v>
      </x:c>
    </x:row>
    <x:row r="221">
      <x:c r="A221" s="27" t="str">
        <x:v>bpps_d1000n100m5w100_200s10_100f1_seed0</x:v>
      </x:c>
      <x:c r="B221" s="28" t="n">
        <x:v>100</x:v>
      </x:c>
      <x:c r="C221" s="28" t="n">
        <x:v>244</x:v>
      </x:c>
      <x:c r="D221" s="28" t="n">
        <x:v>234</x:v>
      </x:c>
      <x:c r="E221" s="39" t="n">
        <x:f>(C221-D221)/C221*100</x:f>
        <x:v>4.098360655737705</x:v>
      </x:c>
      <x:c r="F221" s="28" t="str">
        <x:f>IF(C221=D221,"YES","NO")</x:f>
        <x:v>NO</x:v>
      </x:c>
      <x:c r="G221" s="28" t="str">
        <x:v>Optimal</x:v>
      </x:c>
      <x:c r="H221" s="59" t="n">
        <x:v>12.63</x:v>
      </x:c>
    </x:row>
    <x:row r="222">
      <x:c r="A222" s="27" t="str">
        <x:v>bpps_d1000n100m5w100_200s10_200f0_seed0</x:v>
      </x:c>
      <x:c r="B222" s="28" t="n">
        <x:v>100</x:v>
      </x:c>
      <x:c r="C222" s="28" t="n">
        <x:v>19</x:v>
      </x:c>
      <x:c r="D222" s="28" t="n">
        <x:v>18</x:v>
      </x:c>
      <x:c r="E222" s="39" t="n">
        <x:f>(C222-D222)/C222*100</x:f>
        <x:v>5.263157894736842</x:v>
      </x:c>
      <x:c r="F222" s="28" t="str">
        <x:f>IF(C222=D222,"YES","NO")</x:f>
        <x:v>NO</x:v>
      </x:c>
      <x:c r="G222" s="28" t="str">
        <x:v>Optimal</x:v>
      </x:c>
      <x:c r="H222" s="59" t="n">
        <x:v>4.05</x:v>
      </x:c>
    </x:row>
    <x:row r="223">
      <x:c r="A223" s="27" t="str">
        <x:v>bpps_d1000n100m5w100_200s10_200f1_seed0</x:v>
      </x:c>
      <x:c r="B223" s="28" t="n">
        <x:v>100</x:v>
      </x:c>
      <x:c r="C223" s="28" t="n">
        <x:v>258</x:v>
      </x:c>
      <x:c r="D223" s="28" t="n">
        <x:v>244</x:v>
      </x:c>
      <x:c r="E223" s="39" t="n">
        <x:f>(C223-D223)/C223*100</x:f>
        <x:v>5.426356589147287</x:v>
      </x:c>
      <x:c r="F223" s="28" t="str">
        <x:f>IF(C223=D223,"YES","NO")</x:f>
        <x:v>NO</x:v>
      </x:c>
      <x:c r="G223" s="28" t="str">
        <x:v>Optimal</x:v>
      </x:c>
      <x:c r="H223" s="59" t="n">
        <x:v>3.14</x:v>
      </x:c>
    </x:row>
    <x:row r="224">
      <x:c r="A224" s="27" t="str">
        <x:v>bpps_d1000n100m5w10_100s100_200f0_seed0</x:v>
      </x:c>
      <x:c r="B224" s="28" t="n">
        <x:v>100</x:v>
      </x:c>
      <x:c r="C224" s="28" t="n">
        <x:v>11</x:v>
      </x:c>
      <x:c r="D224" s="28" t="n">
        <x:v>8</x:v>
      </x:c>
      <x:c r="E224" s="39" t="n">
        <x:f>(C224-D224)/C224*100</x:f>
        <x:v>27.27272727272727</x:v>
      </x:c>
      <x:c r="F224" s="28" t="str">
        <x:f>IF(C224=D224,"YES","NO")</x:f>
        <x:v>NO</x:v>
      </x:c>
      <x:c r="G224" s="28" t="str">
        <x:v>Optimal</x:v>
      </x:c>
      <x:c r="H224" s="59" t="n">
        <x:v>78.83</x:v>
      </x:c>
    </x:row>
    <x:row r="225">
      <x:c r="A225" s="27" t="str">
        <x:v>bpps_d1000n100m5w10_100s100_200f1_seed0</x:v>
      </x:c>
      <x:c r="B225" s="28" t="n">
        <x:v>100</x:v>
      </x:c>
      <x:c r="C225" s="28" t="n">
        <x:v>175</x:v>
      </x:c>
      <x:c r="D225" s="28" t="n">
        <x:v>142</x:v>
      </x:c>
      <x:c r="E225" s="39" t="n">
        <x:f>(C225-D225)/C225*100</x:f>
        <x:v>18.857142857142858</x:v>
      </x:c>
      <x:c r="F225" s="28" t="str">
        <x:f>IF(C225=D225,"YES","NO")</x:f>
        <x:v>NO</x:v>
      </x:c>
      <x:c r="G225" s="28" t="str">
        <x:v>Optimal</x:v>
      </x:c>
      <x:c r="H225" s="59" t="n">
        <x:v>301.26</x:v>
      </x:c>
    </x:row>
    <x:row r="226">
      <x:c r="A226" s="27" t="str">
        <x:v>bpps_d1000n100m5w10_100s10_100f0_seed0</x:v>
      </x:c>
      <x:c r="B226" s="28" t="n">
        <x:v>100</x:v>
      </x:c>
      <x:c r="C226" s="28" t="n">
        <x:v>9</x:v>
      </x:c>
      <x:c r="D226" s="28" t="n">
        <x:v>7</x:v>
      </x:c>
      <x:c r="E226" s="39" t="n">
        <x:f>(C226-D226)/C226*100</x:f>
        <x:v>22.22222222222222</x:v>
      </x:c>
      <x:c r="F226" s="28" t="str">
        <x:f>IF(C226=D226,"YES","NO")</x:f>
        <x:v>NO</x:v>
      </x:c>
      <x:c r="G226" s="28" t="str">
        <x:v>Optimal</x:v>
      </x:c>
      <x:c r="H226" s="59" t="n">
        <x:v>208.21</x:v>
      </x:c>
    </x:row>
    <x:row r="227">
      <x:c r="A227" s="27" t="str">
        <x:v>bpps_d1000n100m5w10_100s10_100f1_seed0</x:v>
      </x:c>
      <x:c r="B227" s="28" t="n">
        <x:v>100</x:v>
      </x:c>
      <x:c r="C227" s="28" t="n">
        <x:v>165</x:v>
      </x:c>
      <x:c r="D227" s="28" t="n">
        <x:v>128</x:v>
      </x:c>
      <x:c r="E227" s="39" t="n">
        <x:f>(C227-D227)/C227*100</x:f>
        <x:v>22.424242424242426</x:v>
      </x:c>
      <x:c r="F227" s="28" t="str">
        <x:f>IF(C227=D227,"YES","NO")</x:f>
        <x:v>NO</x:v>
      </x:c>
      <x:c r="G227" s="28" t="str">
        <x:v>Optimal</x:v>
      </x:c>
      <x:c r="H227" s="59" t="n">
        <x:v>300.81</x:v>
      </x:c>
    </x:row>
    <x:row r="228">
      <x:c r="A228" s="27" t="str">
        <x:v>bpps_d1000n100m5w10_100s10_200f0_seed0</x:v>
      </x:c>
      <x:c r="B228" s="28" t="n">
        <x:v>100</x:v>
      </x:c>
      <x:c r="C228" s="28" t="n">
        <x:v>11</x:v>
      </x:c>
      <x:c r="D228" s="28" t="n">
        <x:v>8</x:v>
      </x:c>
      <x:c r="E228" s="39" t="n">
        <x:f>(C228-D228)/C228*100</x:f>
        <x:v>27.27272727272727</x:v>
      </x:c>
      <x:c r="F228" s="28" t="str">
        <x:f>IF(C228=D228,"YES","NO")</x:f>
        <x:v>NO</x:v>
      </x:c>
      <x:c r="G228" s="28" t="str">
        <x:v>Optimal</x:v>
      </x:c>
      <x:c r="H228" s="59" t="n">
        <x:v>25.26</x:v>
      </x:c>
    </x:row>
    <x:row r="229">
      <x:c r="A229" s="27" t="str">
        <x:v>bpps_d1000n100m5w10_100s10_200f1_seed0</x:v>
      </x:c>
      <x:c r="B229" s="28" t="n">
        <x:v>100</x:v>
      </x:c>
      <x:c r="C229" s="28" t="n">
        <x:v>170</x:v>
      </x:c>
      <x:c r="D229" s="28" t="n">
        <x:v>131</x:v>
      </x:c>
      <x:c r="E229" s="39" t="n">
        <x:f>(C229-D229)/C229*100</x:f>
        <x:v>22.941176470588236</x:v>
      </x:c>
      <x:c r="F229" s="28" t="str">
        <x:f>IF(C229=D229,"YES","NO")</x:f>
        <x:v>NO</x:v>
      </x:c>
      <x:c r="G229" s="28" t="str">
        <x:v>Optimal</x:v>
      </x:c>
      <x:c r="H229" s="59" t="n">
        <x:v>26.72</x:v>
      </x:c>
    </x:row>
    <x:row r="230">
      <x:c r="A230" s="27" t="str">
        <x:v>bpps_d1000n100m5w10_300s100_200f0_seed0</x:v>
      </x:c>
      <x:c r="B230" s="28" t="n">
        <x:v>100</x:v>
      </x:c>
      <x:c r="C230" s="28" t="n">
        <x:v>21</x:v>
      </x:c>
      <x:c r="D230" s="28" t="n">
        <x:v>19</x:v>
      </x:c>
      <x:c r="E230" s="39" t="n">
        <x:f>(C230-D230)/C230*100</x:f>
        <x:v>9.523809523809524</x:v>
      </x:c>
      <x:c r="F230" s="28" t="str">
        <x:f>IF(C230=D230,"YES","NO")</x:f>
        <x:v>NO</x:v>
      </x:c>
      <x:c r="G230" s="28" t="str">
        <x:v>Optimal</x:v>
      </x:c>
      <x:c r="H230" s="59" t="n">
        <x:v>194.87</x:v>
      </x:c>
    </x:row>
    <x:row r="231">
      <x:c r="A231" s="27" t="str">
        <x:v>bpps_d1000n100m5w10_300s100_200f1_seed0</x:v>
      </x:c>
      <x:c r="B231" s="28" t="n">
        <x:v>100</x:v>
      </x:c>
      <x:c r="C231" s="28" t="n">
        <x:v>272</x:v>
      </x:c>
      <x:c r="D231" s="28" t="n">
        <x:v>255</x:v>
      </x:c>
      <x:c r="E231" s="39" t="n">
        <x:f>(C231-D231)/C231*100</x:f>
        <x:v>6.25</x:v>
      </x:c>
      <x:c r="F231" s="28" t="str">
        <x:f>IF(C231=D231,"YES","NO")</x:f>
        <x:v>NO</x:v>
      </x:c>
      <x:c r="G231" s="28" t="str">
        <x:v>Optimal</x:v>
      </x:c>
      <x:c r="H231" s="59" t="n">
        <x:v>7.12</x:v>
      </x:c>
    </x:row>
    <x:row r="232">
      <x:c r="A232" s="27" t="str">
        <x:v>bpps_d1000n100m5w10_300s10_100f0_seed0</x:v>
      </x:c>
      <x:c r="B232" s="28" t="n">
        <x:v>100</x:v>
      </x:c>
      <x:c r="C232" s="28" t="n">
        <x:v>19</x:v>
      </x:c>
      <x:c r="D232" s="28" t="n">
        <x:v>17</x:v>
      </x:c>
      <x:c r="E232" s="39" t="n">
        <x:f>(C232-D232)/C232*100</x:f>
        <x:v>10.526315789473683</x:v>
      </x:c>
      <x:c r="F232" s="28" t="str">
        <x:f>IF(C232=D232,"YES","NO")</x:f>
        <x:v>NO</x:v>
      </x:c>
      <x:c r="G232" s="28" t="str">
        <x:v>Optimal</x:v>
      </x:c>
      <x:c r="H232" s="59" t="n">
        <x:v>23.63</x:v>
      </x:c>
    </x:row>
    <x:row r="233">
      <x:c r="A233" s="27" t="str">
        <x:v>bpps_d1000n100m5w10_300s10_100f1_seed0</x:v>
      </x:c>
      <x:c r="B233" s="28" t="n">
        <x:v>100</x:v>
      </x:c>
      <x:c r="C233" s="28" t="n">
        <x:v>237</x:v>
      </x:c>
      <x:c r="D233" s="28" t="n">
        <x:v>230</x:v>
      </x:c>
      <x:c r="E233" s="39" t="n">
        <x:f>(C233-D233)/C233*100</x:f>
        <x:v>2.9535864978902953</x:v>
      </x:c>
      <x:c r="F233" s="28" t="str">
        <x:f>IF(C233=D233,"YES","NO")</x:f>
        <x:v>NO</x:v>
      </x:c>
      <x:c r="G233" s="28" t="str">
        <x:v>Optimal</x:v>
      </x:c>
      <x:c r="H233" s="59" t="n">
        <x:v>3.52</x:v>
      </x:c>
    </x:row>
    <x:row r="234">
      <x:c r="A234" s="27" t="str">
        <x:v>bpps_d1000n100m5w10_300s10_200f0_seed0</x:v>
      </x:c>
      <x:c r="B234" s="28" t="n">
        <x:v>100</x:v>
      </x:c>
      <x:c r="C234" s="28" t="n">
        <x:v>20</x:v>
      </x:c>
      <x:c r="D234" s="28" t="n">
        <x:v>18</x:v>
      </x:c>
      <x:c r="E234" s="39" t="n">
        <x:f>(C234-D234)/C234*100</x:f>
        <x:v>10</x:v>
      </x:c>
      <x:c r="F234" s="28" t="str">
        <x:f>IF(C234=D234,"YES","NO")</x:f>
        <x:v>NO</x:v>
      </x:c>
      <x:c r="G234" s="28" t="str">
        <x:v>Optimal</x:v>
      </x:c>
      <x:c r="H234" s="59" t="n">
        <x:v>18.41</x:v>
      </x:c>
    </x:row>
    <x:row r="235">
      <x:c r="A235" s="27" t="str">
        <x:v>bpps_d1000n100m5w10_300s10_200f1_seed0</x:v>
      </x:c>
      <x:c r="B235" s="28" t="n">
        <x:v>100</x:v>
      </x:c>
      <x:c r="C235" s="28" t="n">
        <x:v>255</x:v>
      </x:c>
      <x:c r="D235" s="28" t="n">
        <x:v>247</x:v>
      </x:c>
      <x:c r="E235" s="39" t="n">
        <x:f>(C235-D235)/C235*100</x:f>
        <x:v>3.1372549019607843</x:v>
      </x:c>
      <x:c r="F235" s="28" t="str">
        <x:f>IF(C235=D235,"YES","NO")</x:f>
        <x:v>NO</x:v>
      </x:c>
      <x:c r="G235" s="28" t="str">
        <x:v>Optimal</x:v>
      </x:c>
      <x:c r="H235" s="59" t="n">
        <x:v>6.72</x:v>
      </x:c>
    </x:row>
    <x:row r="236">
      <x:c r="A236" s="27" t="str">
        <x:v>bpps_d1000n100m5w200_300s100_200f0_seed0</x:v>
      </x:c>
      <x:c r="B236" s="28" t="n">
        <x:v>100</x:v>
      </x:c>
      <x:c r="C236" s="28" t="n">
        <x:v>34</x:v>
      </x:c>
      <x:c r="D236" s="28" t="n">
        <x:v>31</x:v>
      </x:c>
      <x:c r="E236" s="39" t="n">
        <x:f>(C236-D236)/C236*100</x:f>
        <x:v>8.823529411764707</x:v>
      </x:c>
      <x:c r="F236" s="28" t="str">
        <x:f>IF(C236=D236,"YES","NO")</x:f>
        <x:v>NO</x:v>
      </x:c>
      <x:c r="G236" s="28" t="str">
        <x:v>Optimal</x:v>
      </x:c>
      <x:c r="H236" s="59" t="n">
        <x:v>19.54</x:v>
      </x:c>
    </x:row>
    <x:row r="237">
      <x:c r="A237" s="27" t="str">
        <x:v>bpps_d1000n100m5w200_300s100_200f1_seed0</x:v>
      </x:c>
      <x:c r="B237" s="28" t="n">
        <x:v>100</x:v>
      </x:c>
      <x:c r="C237" s="28" t="n">
        <x:v>446</x:v>
      </x:c>
      <x:c r="D237" s="28" t="n">
        <x:v>422</x:v>
      </x:c>
      <x:c r="E237" s="39" t="n">
        <x:f>(C237-D237)/C237*100</x:f>
        <x:v>5.381165919282512</x:v>
      </x:c>
      <x:c r="F237" s="28" t="str">
        <x:f>IF(C237=D237,"YES","NO")</x:f>
        <x:v>NO</x:v>
      </x:c>
      <x:c r="G237" s="28" t="str">
        <x:v>Optimal</x:v>
      </x:c>
      <x:c r="H237" s="59" t="n">
        <x:v>13.77</x:v>
      </x:c>
    </x:row>
    <x:row r="238">
      <x:c r="A238" s="27" t="str">
        <x:v>bpps_d1000n100m5w200_300s10_100f0_seed0</x:v>
      </x:c>
      <x:c r="B238" s="28" t="n">
        <x:v>100</x:v>
      </x:c>
      <x:c r="C238" s="28" t="n">
        <x:v>30</x:v>
      </x:c>
      <x:c r="D238" s="28" t="n">
        <x:v>28</x:v>
      </x:c>
      <x:c r="E238" s="39" t="n">
        <x:f>(C238-D238)/C238*100</x:f>
        <x:v>6.666666666666667</x:v>
      </x:c>
      <x:c r="F238" s="28" t="str">
        <x:f>IF(C238=D238,"YES","NO")</x:f>
        <x:v>NO</x:v>
      </x:c>
      <x:c r="G238" s="28" t="str">
        <x:v>Optimal</x:v>
      </x:c>
      <x:c r="H238" s="59" t="n">
        <x:v>601</x:v>
      </x:c>
    </x:row>
    <x:row r="239">
      <x:c r="A239" s="27" t="str">
        <x:v>bpps_d1000n100m5w200_300s10_100f1_seed0</x:v>
      </x:c>
      <x:c r="B239" s="28" t="n">
        <x:v>100</x:v>
      </x:c>
      <x:c r="C239" s="28" t="n">
        <x:v>390</x:v>
      </x:c>
      <x:c r="D239" s="28" t="n">
        <x:v>379</x:v>
      </x:c>
      <x:c r="E239" s="39" t="n">
        <x:f>(C239-D239)/C239*100</x:f>
        <x:v>2.8205128205128207</x:v>
      </x:c>
      <x:c r="F239" s="28" t="str">
        <x:f>IF(C239=D239,"YES","NO")</x:f>
        <x:v>NO</x:v>
      </x:c>
      <x:c r="G239" s="28" t="str">
        <x:v>Optimal</x:v>
      </x:c>
      <x:c r="H239" s="59" t="n">
        <x:v>377.75</x:v>
      </x:c>
    </x:row>
    <x:row r="240">
      <x:c r="A240" s="27" t="str">
        <x:v>bpps_d1000n100m5w200_300s10_200f0_seed0</x:v>
      </x:c>
      <x:c r="B240" s="28" t="n">
        <x:v>100</x:v>
      </x:c>
      <x:c r="C240" s="28" t="n">
        <x:v>31</x:v>
      </x:c>
      <x:c r="D240" s="28" t="n">
        <x:v>29</x:v>
      </x:c>
      <x:c r="E240" s="39" t="n">
        <x:f>(C240-D240)/C240*100</x:f>
        <x:v>6.451612903225806</x:v>
      </x:c>
      <x:c r="F240" s="28" t="str">
        <x:f>IF(C240=D240,"YES","NO")</x:f>
        <x:v>NO</x:v>
      </x:c>
      <x:c r="G240" s="28" t="str">
        <x:v>Optimal</x:v>
      </x:c>
      <x:c r="H240" s="59" t="n">
        <x:v>14.56</x:v>
      </x:c>
    </x:row>
    <x:row r="241">
      <x:c r="A241" s="27" t="str">
        <x:v>bpps_d1000n100m5w200_300s10_200f1_seed0</x:v>
      </x:c>
      <x:c r="B241" s="28" t="n">
        <x:v>100</x:v>
      </x:c>
      <x:c r="C241" s="28" t="n">
        <x:v>432</x:v>
      </x:c>
      <x:c r="D241" s="28" t="n">
        <x:v>396</x:v>
      </x:c>
      <x:c r="E241" s="39" t="n">
        <x:f>(C241-D241)/C241*100</x:f>
        <x:v>8.333333333333332</x:v>
      </x:c>
      <x:c r="F241" s="28" t="str">
        <x:f>IF(C241=D241,"YES","NO")</x:f>
        <x:v>NO</x:v>
      </x:c>
      <x:c r="G241" s="28" t="str">
        <x:v>Optimal</x:v>
      </x:c>
      <x:c r="H241" s="59" t="n">
        <x:v>26.05</x:v>
      </x:c>
    </x:row>
    <x:row r="242">
      <x:c r="A242" s="27" t="str">
        <x:v>bpps_d1000n200m10w100_200s100_200f0_seed0</x:v>
      </x:c>
      <x:c r="B242" s="28" t="n">
        <x:v>200</x:v>
      </x:c>
      <x:c r="C242" s="28" t="n">
        <x:v>41</x:v>
      </x:c>
      <x:c r="D242" s="28" t="n">
        <x:v>37</x:v>
      </x:c>
      <x:c r="E242" s="39" t="n">
        <x:f>(C242-D242)/C242*100</x:f>
        <x:v>9.75609756097561</x:v>
      </x:c>
      <x:c r="F242" s="28" t="str">
        <x:f>IF(C242=D242,"YES","NO")</x:f>
        <x:v>NO</x:v>
      </x:c>
      <x:c r="G242" s="28" t="str">
        <x:v>Optimal</x:v>
      </x:c>
      <x:c r="H242" s="59" t="n">
        <x:v>228.42</x:v>
      </x:c>
    </x:row>
    <x:row r="243">
      <x:c r="A243" s="27" t="str">
        <x:v>bpps_d1000n200m10w100_200s100_200f1_seed0</x:v>
      </x:c>
      <x:c r="B243" s="28" t="n">
        <x:v>200</x:v>
      </x:c>
      <x:c r="C243" s="28" t="n">
        <x:v>531</x:v>
      </x:c>
      <x:c r="D243" s="28" t="n">
        <x:v>507</x:v>
      </x:c>
      <x:c r="E243" s="39" t="n">
        <x:f>(C243-D243)/C243*100</x:f>
        <x:v>4.519774011299435</x:v>
      </x:c>
      <x:c r="F243" s="28" t="str">
        <x:f>IF(C243=D243,"YES","NO")</x:f>
        <x:v>NO</x:v>
      </x:c>
      <x:c r="G243" s="28" t="str">
        <x:v>Optimal</x:v>
      </x:c>
      <x:c r="H243" s="59" t="n">
        <x:v>596.44</x:v>
      </x:c>
    </x:row>
    <x:row r="244">
      <x:c r="A244" s="27" t="str">
        <x:v>bpps_d1000n200m10w100_200s10_100f0_seed0</x:v>
      </x:c>
      <x:c r="B244" s="28" t="n">
        <x:v>200</x:v>
      </x:c>
      <x:c r="C244" s="28" t="n">
        <x:v>35</x:v>
      </x:c>
      <x:c r="D244" s="28" t="n">
        <x:v>34</x:v>
      </x:c>
      <x:c r="E244" s="39" t="n">
        <x:f>(C244-D244)/C244*100</x:f>
        <x:v>2.857142857142857</x:v>
      </x:c>
      <x:c r="F244" s="28" t="str">
        <x:f>IF(C244=D244,"YES","NO")</x:f>
        <x:v>NO</x:v>
      </x:c>
      <x:c r="G244" s="28" t="str">
        <x:v>Optimal</x:v>
      </x:c>
      <x:c r="H244" s="59" t="n">
        <x:v>602.97</x:v>
      </x:c>
    </x:row>
    <x:row r="245">
      <x:c r="A245" s="27" t="str">
        <x:v>bpps_d1000n200m10w100_200s10_100f1_seed0</x:v>
      </x:c>
      <x:c r="B245" s="28" t="n">
        <x:v>200</x:v>
      </x:c>
      <x:c r="C245" s="28" t="n">
        <x:v>487</x:v>
      </x:c>
      <x:c r="D245" s="28" t="n">
        <x:v>452</x:v>
      </x:c>
      <x:c r="E245" s="39" t="n">
        <x:f>(C245-D245)/C245*100</x:f>
        <x:v>7.186858316221765</x:v>
      </x:c>
      <x:c r="F245" s="28" t="str">
        <x:f>IF(C245=D245,"YES","NO")</x:f>
        <x:v>NO</x:v>
      </x:c>
      <x:c r="G245" s="28" t="str">
        <x:v>Optimal</x:v>
      </x:c>
      <x:c r="H245" s="59" t="n">
        <x:v>569.31</x:v>
      </x:c>
    </x:row>
    <x:row r="246">
      <x:c r="A246" s="27" t="str">
        <x:v>bpps_d1000n200m10w100_200s10_200f0_seed0</x:v>
      </x:c>
      <x:c r="B246" s="28" t="n">
        <x:v>200</x:v>
      </x:c>
      <x:c r="C246" s="28" t="n">
        <x:v>38</x:v>
      </x:c>
      <x:c r="D246" s="28" t="n">
        <x:v>36</x:v>
      </x:c>
      <x:c r="E246" s="39" t="n">
        <x:f>(C246-D246)/C246*100</x:f>
        <x:v>5.263157894736842</x:v>
      </x:c>
      <x:c r="F246" s="28" t="str">
        <x:f>IF(C246=D246,"YES","NO")</x:f>
        <x:v>NO</x:v>
      </x:c>
      <x:c r="G246" s="28" t="str">
        <x:v>Optimal</x:v>
      </x:c>
      <x:c r="H246" s="59" t="n">
        <x:v>604.19</x:v>
      </x:c>
    </x:row>
    <x:row r="247">
      <x:c r="A247" s="27" t="str">
        <x:v>bpps_d1000n200m10w100_200s10_200f1_seed0</x:v>
      </x:c>
      <x:c r="B247" s="28" t="n">
        <x:v>200</x:v>
      </x:c>
      <x:c r="C247" s="28" t="n">
        <x:v>493</x:v>
      </x:c>
      <x:c r="D247" s="28" t="n">
        <x:v>462</x:v>
      </x:c>
      <x:c r="E247" s="39" t="n">
        <x:f>(C247-D247)/C247*100</x:f>
        <x:v>6.288032454361055</x:v>
      </x:c>
      <x:c r="F247" s="28" t="str">
        <x:f>IF(C247=D247,"YES","NO")</x:f>
        <x:v>NO</x:v>
      </x:c>
      <x:c r="G247" s="28" t="str">
        <x:v>Optimal</x:v>
      </x:c>
      <x:c r="H247" s="59" t="n">
        <x:v>97.1</x:v>
      </x:c>
    </x:row>
    <x:row r="248">
      <x:c r="A248" s="27" t="str">
        <x:v>bpps_d1000n200m10w10_100s100_200f0_seed0</x:v>
      </x:c>
      <x:c r="B248" s="28" t="n">
        <x:v>200</x:v>
      </x:c>
      <x:c r="C248" s="28" t="n">
        <x:v>21</x:v>
      </x:c>
      <x:c r="D248" s="28" t="n">
        <x:v>16</x:v>
      </x:c>
      <x:c r="E248" s="39" t="n">
        <x:f>(C248-D248)/C248*100</x:f>
        <x:v>23.809523809523807</x:v>
      </x:c>
      <x:c r="F248" s="28" t="str">
        <x:f>IF(C248=D248,"YES","NO")</x:f>
        <x:v>NO</x:v>
      </x:c>
      <x:c r="G248" s="28" t="str">
        <x:v>Optimal</x:v>
      </x:c>
      <x:c r="H248" s="59" t="n">
        <x:v>28.66</x:v>
      </x:c>
    </x:row>
    <x:row r="249">
      <x:c r="A249" s="27" t="str">
        <x:v>bpps_d1000n200m10w10_100s100_200f1_seed0</x:v>
      </x:c>
      <x:c r="B249" s="28" t="n">
        <x:v>200</x:v>
      </x:c>
      <x:c r="C249" s="28" t="n">
        <x:v>340</x:v>
      </x:c>
      <x:c r="D249" s="28" t="n">
        <x:v>287</x:v>
      </x:c>
      <x:c r="E249" s="39" t="n">
        <x:f>(C249-D249)/C249*100</x:f>
        <x:v>15.588235294117647</x:v>
      </x:c>
      <x:c r="F249" s="28" t="str">
        <x:f>IF(C249=D249,"YES","NO")</x:f>
        <x:v>NO</x:v>
      </x:c>
      <x:c r="G249" s="28" t="str">
        <x:v>Optimal</x:v>
      </x:c>
      <x:c r="H249" s="59" t="n">
        <x:v>13.89</x:v>
      </x:c>
    </x:row>
    <x:row r="250">
      <x:c r="A250" s="27" t="str">
        <x:v>bpps_d1000n200m10w10_100s10_100f0_seed0</x:v>
      </x:c>
      <x:c r="B250" s="28" t="n">
        <x:v>200</x:v>
      </x:c>
      <x:c r="C250" s="28" t="n">
        <x:v>17</x:v>
      </x:c>
      <x:c r="D250" s="28" t="n">
        <x:v>13</x:v>
      </x:c>
      <x:c r="E250" s="39" t="n">
        <x:f>(C250-D250)/C250*100</x:f>
        <x:v>23.52941176470588</x:v>
      </x:c>
      <x:c r="F250" s="28" t="str">
        <x:f>IF(C250=D250,"YES","NO")</x:f>
        <x:v>NO</x:v>
      </x:c>
      <x:c r="G250" s="28" t="str">
        <x:v>Optimal</x:v>
      </x:c>
      <x:c r="H250" s="59" t="n">
        <x:v>76.12</x:v>
      </x:c>
    </x:row>
    <x:row r="251">
      <x:c r="A251" s="27" t="str">
        <x:v>bpps_d1000n200m10w10_100s10_100f1_seed0</x:v>
      </x:c>
      <x:c r="B251" s="28" t="n">
        <x:v>200</x:v>
      </x:c>
      <x:c r="C251" s="28" t="n">
        <x:v>337</x:v>
      </x:c>
      <x:c r="D251" s="28" t="n">
        <x:v>255</x:v>
      </x:c>
      <x:c r="E251" s="39" t="n">
        <x:f>(C251-D251)/C251*100</x:f>
        <x:v>24.33234421364985</x:v>
      </x:c>
      <x:c r="F251" s="28" t="str">
        <x:f>IF(C251=D251,"YES","NO")</x:f>
        <x:v>NO</x:v>
      </x:c>
      <x:c r="G251" s="28" t="str">
        <x:v>Optimal</x:v>
      </x:c>
      <x:c r="H251" s="59" t="n">
        <x:v>34.72</x:v>
      </x:c>
    </x:row>
    <x:row r="252">
      <x:c r="A252" s="27" t="str">
        <x:v>bpps_d1000n200m10w10_100s10_200f0_seed0</x:v>
      </x:c>
      <x:c r="B252" s="28" t="n">
        <x:v>200</x:v>
      </x:c>
      <x:c r="C252" s="28" t="n">
        <x:v>19</x:v>
      </x:c>
      <x:c r="D252" s="28" t="n">
        <x:v>14</x:v>
      </x:c>
      <x:c r="E252" s="39" t="n">
        <x:f>(C252-D252)/C252*100</x:f>
        <x:v>26.31578947368421</x:v>
      </x:c>
      <x:c r="F252" s="28" t="str">
        <x:f>IF(C252=D252,"YES","NO")</x:f>
        <x:v>NO</x:v>
      </x:c>
      <x:c r="G252" s="28" t="str">
        <x:v>Optimal</x:v>
      </x:c>
      <x:c r="H252" s="59" t="n">
        <x:v>58.42</x:v>
      </x:c>
    </x:row>
    <x:row r="253">
      <x:c r="A253" s="27" t="str">
        <x:v>bpps_d1000n200m10w10_100s10_200f1_seed0</x:v>
      </x:c>
      <x:c r="B253" s="28" t="n">
        <x:v>200</x:v>
      </x:c>
      <x:c r="C253" s="28" t="n">
        <x:v>355</x:v>
      </x:c>
      <x:c r="D253" s="28" t="n">
        <x:v>263</x:v>
      </x:c>
      <x:c r="E253" s="39" t="n">
        <x:f>(C253-D253)/C253*100</x:f>
        <x:v>25.915492957746476</x:v>
      </x:c>
      <x:c r="F253" s="28" t="str">
        <x:f>IF(C253=D253,"YES","NO")</x:f>
        <x:v>NO</x:v>
      </x:c>
      <x:c r="G253" s="28" t="str">
        <x:v>Optimal</x:v>
      </x:c>
      <x:c r="H253" s="59" t="n">
        <x:v>11.41</x:v>
      </x:c>
    </x:row>
    <x:row r="254">
      <x:c r="A254" s="27" t="str">
        <x:v>bpps_d1000n200m10w10_300s100_200f0_seed0</x:v>
      </x:c>
      <x:c r="B254" s="28" t="n">
        <x:v>200</x:v>
      </x:c>
      <x:c r="C254" s="28" t="n">
        <x:v>41</x:v>
      </x:c>
      <x:c r="D254" s="28" t="n">
        <x:v>37</x:v>
      </x:c>
      <x:c r="E254" s="39" t="n">
        <x:f>(C254-D254)/C254*100</x:f>
        <x:v>9.75609756097561</x:v>
      </x:c>
      <x:c r="F254" s="28" t="str">
        <x:f>IF(C254=D254,"YES","NO")</x:f>
        <x:v>NO</x:v>
      </x:c>
      <x:c r="G254" s="28" t="str">
        <x:v>Optimal</x:v>
      </x:c>
      <x:c r="H254" s="59" t="n">
        <x:v>14.66</x:v>
      </x:c>
    </x:row>
    <x:row r="255">
      <x:c r="A255" s="27" t="str">
        <x:v>bpps_d1000n200m10w10_300s100_200f1_seed0</x:v>
      </x:c>
      <x:c r="B255" s="28" t="n">
        <x:v>200</x:v>
      </x:c>
      <x:c r="C255" s="28" t="n">
        <x:v>537</x:v>
      </x:c>
      <x:c r="D255" s="28" t="n">
        <x:v>510</x:v>
      </x:c>
      <x:c r="E255" s="39" t="n">
        <x:f>(C255-D255)/C255*100</x:f>
        <x:v>5.027932960893855</x:v>
      </x:c>
      <x:c r="F255" s="28" t="str">
        <x:f>IF(C255=D255,"YES","NO")</x:f>
        <x:v>NO</x:v>
      </x:c>
      <x:c r="G255" s="28" t="str">
        <x:v>Optimal</x:v>
      </x:c>
      <x:c r="H255" s="59" t="n">
        <x:v>17.77</x:v>
      </x:c>
    </x:row>
    <x:row r="256">
      <x:c r="A256" s="27" t="str">
        <x:v>bpps_d1000n200m10w10_300s10_100f0_seed0</x:v>
      </x:c>
      <x:c r="B256" s="28" t="n">
        <x:v>200</x:v>
      </x:c>
      <x:c r="C256" s="28" t="n">
        <x:v>35</x:v>
      </x:c>
      <x:c r="D256" s="28" t="n">
        <x:v>33</x:v>
      </x:c>
      <x:c r="E256" s="39" t="n">
        <x:f>(C256-D256)/C256*100</x:f>
        <x:v>5.714285714285714</x:v>
      </x:c>
      <x:c r="F256" s="28" t="str">
        <x:f>IF(C256=D256,"YES","NO")</x:f>
        <x:v>NO</x:v>
      </x:c>
      <x:c r="G256" s="28" t="str">
        <x:v>Optimal</x:v>
      </x:c>
      <x:c r="H256" s="59" t="n">
        <x:v>23.63</x:v>
      </x:c>
    </x:row>
    <x:row r="257">
      <x:c r="A257" s="27" t="str">
        <x:v>bpps_d1000n200m10w10_300s10_100f1_seed0</x:v>
      </x:c>
      <x:c r="B257" s="28" t="n">
        <x:v>200</x:v>
      </x:c>
      <x:c r="C257" s="28" t="n">
        <x:v>502</x:v>
      </x:c>
      <x:c r="D257" s="28" t="n">
        <x:v>469</x:v>
      </x:c>
      <x:c r="E257" s="39" t="n">
        <x:f>(C257-D257)/C257*100</x:f>
        <x:v>6.573705179282868</x:v>
      </x:c>
      <x:c r="F257" s="28" t="str">
        <x:f>IF(C257=D257,"YES","NO")</x:f>
        <x:v>NO</x:v>
      </x:c>
      <x:c r="G257" s="28" t="str">
        <x:v>Optimal</x:v>
      </x:c>
      <x:c r="H257" s="59" t="n">
        <x:v>15.49</x:v>
      </x:c>
    </x:row>
    <x:row r="258">
      <x:c r="A258" s="27" t="str">
        <x:v>bpps_d1000n200m10w10_300s10_200f0_seed0</x:v>
      </x:c>
      <x:c r="B258" s="28" t="n">
        <x:v>200</x:v>
      </x:c>
      <x:c r="C258" s="28" t="n">
        <x:v>39</x:v>
      </x:c>
      <x:c r="D258" s="28" t="n">
        <x:v>36</x:v>
      </x:c>
      <x:c r="E258" s="39" t="n">
        <x:f>(C258-D258)/C258*100</x:f>
        <x:v>7.6923076923076925</x:v>
      </x:c>
      <x:c r="F258" s="28" t="str">
        <x:f>IF(C258=D258,"YES","NO")</x:f>
        <x:v>NO</x:v>
      </x:c>
      <x:c r="G258" s="28" t="str">
        <x:v>Optimal</x:v>
      </x:c>
      <x:c r="H258" s="59" t="n">
        <x:v>59.75</x:v>
      </x:c>
    </x:row>
    <x:row r="259">
      <x:c r="A259" s="27" t="str">
        <x:v>bpps_d1000n200m10w10_300s10_200f1_seed0</x:v>
      </x:c>
      <x:c r="B259" s="28" t="n">
        <x:v>200</x:v>
      </x:c>
      <x:c r="C259" s="28" t="n">
        <x:v>521</x:v>
      </x:c>
      <x:c r="D259" s="28" t="n">
        <x:v>504</x:v>
      </x:c>
      <x:c r="E259" s="39" t="n">
        <x:f>(C259-D259)/C259*100</x:f>
        <x:v>3.262955854126679</x:v>
      </x:c>
      <x:c r="F259" s="28" t="str">
        <x:f>IF(C259=D259,"YES","NO")</x:f>
        <x:v>NO</x:v>
      </x:c>
      <x:c r="G259" s="28" t="str">
        <x:v>Optimal</x:v>
      </x:c>
      <x:c r="H259" s="59" t="n">
        <x:v>351.65</x:v>
      </x:c>
    </x:row>
    <x:row r="260">
      <x:c r="A260" s="27" t="str">
        <x:v>bpps_d1000n200m10w200_300s100_200f0_seed0</x:v>
      </x:c>
      <x:c r="B260" s="28" t="n">
        <x:v>200</x:v>
      </x:c>
      <x:c r="C260" s="28" t="n">
        <x:v>67</x:v>
      </x:c>
      <x:c r="D260" s="28" t="n">
        <x:v>61</x:v>
      </x:c>
      <x:c r="E260" s="39" t="n">
        <x:f>(C260-D260)/C260*100</x:f>
        <x:v>8.955223880597014</x:v>
      </x:c>
      <x:c r="F260" s="28" t="str">
        <x:f>IF(C260=D260,"YES","NO")</x:f>
        <x:v>NO</x:v>
      </x:c>
      <x:c r="G260" s="28" t="str">
        <x:v>Optimal</x:v>
      </x:c>
      <x:c r="H260" s="59" t="n">
        <x:v>301.11</x:v>
      </x:c>
    </x:row>
    <x:row r="261">
      <x:c r="A261" s="27" t="str">
        <x:v>bpps_d1000n200m10w200_300s100_200f1_seed0</x:v>
      </x:c>
      <x:c r="B261" s="28" t="n">
        <x:v>200</x:v>
      </x:c>
      <x:c r="C261" s="28" t="n">
        <x:v>886</x:v>
      </x:c>
      <x:c r="D261" s="28" t="n">
        <x:v>816</x:v>
      </x:c>
      <x:c r="E261" s="39" t="n">
        <x:f>(C261-D261)/C261*100</x:f>
        <x:v>7.900677200902935</x:v>
      </x:c>
      <x:c r="F261" s="28" t="str">
        <x:f>IF(C261=D261,"YES","NO")</x:f>
        <x:v>NO</x:v>
      </x:c>
      <x:c r="G261" s="28" t="str">
        <x:v>Optimal</x:v>
      </x:c>
      <x:c r="H261" s="59" t="n">
        <x:v>59.49</x:v>
      </x:c>
    </x:row>
    <x:row r="262">
      <x:c r="A262" s="27" t="str">
        <x:v>bpps_d1000n200m10w200_300s10_100f0_seed0</x:v>
      </x:c>
      <x:c r="B262" s="28" t="n">
        <x:v>200</x:v>
      </x:c>
      <x:c r="C262" s="28" t="n">
        <x:v>60</x:v>
      </x:c>
      <x:c r="D262" s="28" t="n">
        <x:v>54</x:v>
      </x:c>
      <x:c r="E262" s="39" t="n">
        <x:f>(C262-D262)/C262*100</x:f>
        <x:v>10</x:v>
      </x:c>
      <x:c r="F262" s="28" t="str">
        <x:f>IF(C262=D262,"YES","NO")</x:f>
        <x:v>NO</x:v>
      </x:c>
      <x:c r="G262" s="28" t="str">
        <x:v>Optimal</x:v>
      </x:c>
      <x:c r="H262" s="59" t="n">
        <x:v>14.91</x:v>
      </x:c>
    </x:row>
    <x:row r="263">
      <x:c r="A263" s="27" t="str">
        <x:v>bpps_d1000n200m10w200_300s10_100f1_seed0</x:v>
      </x:c>
      <x:c r="B263" s="28" t="n">
        <x:v>200</x:v>
      </x:c>
      <x:c r="C263" s="28" t="n">
        <x:v>765</x:v>
      </x:c>
      <x:c r="D263" s="28" t="n">
        <x:v>736</x:v>
      </x:c>
      <x:c r="E263" s="39" t="n">
        <x:f>(C263-D263)/C263*100</x:f>
        <x:v>3.7908496732026142</x:v>
      </x:c>
      <x:c r="F263" s="28" t="str">
        <x:f>IF(C263=D263,"YES","NO")</x:f>
        <x:v>NO</x:v>
      </x:c>
      <x:c r="G263" s="28" t="str">
        <x:v>Optimal</x:v>
      </x:c>
      <x:c r="H263" s="59" t="n">
        <x:v>605.09</x:v>
      </x:c>
    </x:row>
    <x:row r="264">
      <x:c r="A264" s="27" t="str">
        <x:v>bpps_d1000n200m10w200_300s10_200f0_seed0</x:v>
      </x:c>
      <x:c r="B264" s="28" t="n">
        <x:v>200</x:v>
      </x:c>
      <x:c r="C264" s="28" t="n">
        <x:v>64</x:v>
      </x:c>
      <x:c r="D264" s="28" t="n">
        <x:v>58</x:v>
      </x:c>
      <x:c r="E264" s="39" t="n">
        <x:f>(C264-D264)/C264*100</x:f>
        <x:v>9.375</x:v>
      </x:c>
      <x:c r="F264" s="28" t="str">
        <x:f>IF(C264=D264,"YES","NO")</x:f>
        <x:v>NO</x:v>
      </x:c>
      <x:c r="G264" s="28" t="str">
        <x:v>Optimal</x:v>
      </x:c>
      <x:c r="H264" s="59" t="n">
        <x:v>74.55</x:v>
      </x:c>
    </x:row>
    <x:row r="265">
      <x:c r="A265" s="27" t="str">
        <x:v>bpps_d1000n200m10w200_300s10_200f1_seed0</x:v>
      </x:c>
      <x:c r="B265" s="28" t="n">
        <x:v>200</x:v>
      </x:c>
      <x:c r="C265" s="28" t="n">
        <x:v>792</x:v>
      </x:c>
      <x:c r="D265" s="28" t="n">
        <x:v>750</x:v>
      </x:c>
      <x:c r="E265" s="39" t="n">
        <x:f>(C265-D265)/C265*100</x:f>
        <x:v>5.303030303030303</x:v>
      </x:c>
      <x:c r="F265" s="28" t="str">
        <x:f>IF(C265=D265,"YES","NO")</x:f>
        <x:v>NO</x:v>
      </x:c>
      <x:c r="G265" s="28" t="str">
        <x:v>Optimal</x:v>
      </x:c>
      <x:c r="H265" s="59" t="n">
        <x:v>66.62</x:v>
      </x:c>
    </x:row>
    <x:row r="266">
      <x:c r="A266" s="27" t="str">
        <x:v>bpps_d1000n200m5w100_200s100_200f0_seed0</x:v>
      </x:c>
      <x:c r="B266" s="28" t="n">
        <x:v>200</x:v>
      </x:c>
      <x:c r="C266" s="28" t="n">
        <x:v>39</x:v>
      </x:c>
      <x:c r="D266" s="28" t="n">
        <x:v>38</x:v>
      </x:c>
      <x:c r="E266" s="39" t="n">
        <x:f>(C266-D266)/C266*100</x:f>
        <x:v>2.564102564102564</x:v>
      </x:c>
      <x:c r="F266" s="28" t="str">
        <x:f>IF(C266=D266,"YES","NO")</x:f>
        <x:v>NO</x:v>
      </x:c>
      <x:c r="G266" s="28" t="str">
        <x:v>Optimal</x:v>
      </x:c>
      <x:c r="H266" s="59" t="n">
        <x:v>321.64</x:v>
      </x:c>
    </x:row>
    <x:row r="267">
      <x:c r="A267" s="27" t="str">
        <x:v>bpps_d1000n200m5w100_200s100_200f1_seed0</x:v>
      </x:c>
      <x:c r="B267" s="28" t="n">
        <x:v>200</x:v>
      </x:c>
      <x:c r="C267" s="28" t="n">
        <x:v>506</x:v>
      </x:c>
      <x:c r="D267" s="28" t="n">
        <x:v>500</x:v>
      </x:c>
      <x:c r="E267" s="39" t="n">
        <x:f>(C267-D267)/C267*100</x:f>
        <x:v>1.185770750988142</x:v>
      </x:c>
      <x:c r="F267" s="28" t="str">
        <x:f>IF(C267=D267,"YES","NO")</x:f>
        <x:v>NO</x:v>
      </x:c>
      <x:c r="G267" s="28" t="str">
        <x:v>Optimal</x:v>
      </x:c>
      <x:c r="H267" s="59" t="n">
        <x:v>300.58</x:v>
      </x:c>
    </x:row>
    <x:row r="268">
      <x:c r="A268" s="27" t="str">
        <x:v>bpps_d1000n200m5w100_200s10_100f0_seed0</x:v>
      </x:c>
      <x:c r="B268" s="28" t="n">
        <x:v>200</x:v>
      </x:c>
      <x:c r="C268" s="28" t="n">
        <x:v>35</x:v>
      </x:c>
      <x:c r="D268" s="28" t="n">
        <x:v>33</x:v>
      </x:c>
      <x:c r="E268" s="39" t="n">
        <x:f>(C268-D268)/C268*100</x:f>
        <x:v>5.714285714285714</x:v>
      </x:c>
      <x:c r="F268" s="28" t="str">
        <x:f>IF(C268=D268,"YES","NO")</x:f>
        <x:v>NO</x:v>
      </x:c>
      <x:c r="G268" s="28" t="str">
        <x:v>Optimal</x:v>
      </x:c>
      <x:c r="H268" s="59" t="n">
        <x:v>17.61</x:v>
      </x:c>
    </x:row>
    <x:row r="269">
      <x:c r="A269" s="27" t="str">
        <x:v>bpps_d1000n200m5w100_200s10_100f1_seed0</x:v>
      </x:c>
      <x:c r="B269" s="28" t="n">
        <x:v>200</x:v>
      </x:c>
      <x:c r="C269" s="28" t="n">
        <x:v>452</x:v>
      </x:c>
      <x:c r="D269" s="28" t="n">
        <x:v>436</x:v>
      </x:c>
      <x:c r="E269" s="39" t="n">
        <x:f>(C269-D269)/C269*100</x:f>
        <x:v>3.5398230088495577</x:v>
      </x:c>
      <x:c r="F269" s="28" t="str">
        <x:f>IF(C269=D269,"YES","NO")</x:f>
        <x:v>NO</x:v>
      </x:c>
      <x:c r="G269" s="28" t="str">
        <x:v>Optimal</x:v>
      </x:c>
      <x:c r="H269" s="59" t="n">
        <x:v>29.36</x:v>
      </x:c>
    </x:row>
    <x:row r="270">
      <x:c r="A270" s="27" t="str">
        <x:v>bpps_d1000n200m5w100_200s10_200f0_seed0</x:v>
      </x:c>
      <x:c r="B270" s="28" t="n">
        <x:v>200</x:v>
      </x:c>
      <x:c r="C270" s="28" t="n">
        <x:v>37</x:v>
      </x:c>
      <x:c r="D270" s="28" t="n">
        <x:v>36</x:v>
      </x:c>
      <x:c r="E270" s="39" t="n">
        <x:f>(C270-D270)/C270*100</x:f>
        <x:v>2.7027027027027026</x:v>
      </x:c>
      <x:c r="F270" s="28" t="str">
        <x:f>IF(C270=D270,"YES","NO")</x:f>
        <x:v>NO</x:v>
      </x:c>
      <x:c r="G270" s="28" t="str">
        <x:v>Optimal</x:v>
      </x:c>
      <x:c r="H270" s="59" t="n">
        <x:v>296.56</x:v>
      </x:c>
    </x:row>
    <x:row r="271">
      <x:c r="A271" s="27" t="str">
        <x:v>bpps_d1000n200m5w100_200s10_200f1_seed0</x:v>
      </x:c>
      <x:c r="B271" s="28" t="n">
        <x:v>200</x:v>
      </x:c>
      <x:c r="C271" s="28" t="n">
        <x:v>481</x:v>
      </x:c>
      <x:c r="D271" s="28" t="n">
        <x:v>471</x:v>
      </x:c>
      <x:c r="E271" s="39" t="n">
        <x:f>(C271-D271)/C271*100</x:f>
        <x:v>2.079002079002079</x:v>
      </x:c>
      <x:c r="F271" s="28" t="str">
        <x:f>IF(C271=D271,"YES","NO")</x:f>
        <x:v>NO</x:v>
      </x:c>
      <x:c r="G271" s="28" t="str">
        <x:v>Optimal</x:v>
      </x:c>
      <x:c r="H271" s="59" t="n">
        <x:v>24.77</x:v>
      </x:c>
    </x:row>
    <x:row r="272">
      <x:c r="A272" s="27" t="str">
        <x:v>bpps_d1000n200m5w10_100s100_200f0_seed0</x:v>
      </x:c>
      <x:c r="B272" s="28" t="n">
        <x:v>200</x:v>
      </x:c>
      <x:c r="C272" s="28" t="n">
        <x:v>19</x:v>
      </x:c>
      <x:c r="D272" s="28" t="n">
        <x:v>15</x:v>
      </x:c>
      <x:c r="E272" s="39" t="n">
        <x:f>(C272-D272)/C272*100</x:f>
        <x:v>21.052631578947366</x:v>
      </x:c>
      <x:c r="F272" s="28" t="str">
        <x:f>IF(C272=D272,"YES","NO")</x:f>
        <x:v>NO</x:v>
      </x:c>
      <x:c r="G272" s="28" t="str">
        <x:v>Optimal</x:v>
      </x:c>
      <x:c r="H272" s="59" t="n">
        <x:v>303.5</x:v>
      </x:c>
    </x:row>
    <x:row r="273">
      <x:c r="A273" s="27" t="str">
        <x:v>bpps_d1000n200m5w10_100s100_200f1_seed0</x:v>
      </x:c>
      <x:c r="B273" s="28" t="n">
        <x:v>200</x:v>
      </x:c>
      <x:c r="C273" s="28" t="n">
        <x:v>286</x:v>
      </x:c>
      <x:c r="D273" s="28" t="n">
        <x:v>218</x:v>
      </x:c>
      <x:c r="E273" s="39" t="n">
        <x:f>(C273-D273)/C273*100</x:f>
        <x:v>23.776223776223777</x:v>
      </x:c>
      <x:c r="F273" s="28" t="str">
        <x:f>IF(C273=D273,"YES","NO")</x:f>
        <x:v>NO</x:v>
      </x:c>
      <x:c r="G273" s="28" t="str">
        <x:v>Optimal</x:v>
      </x:c>
      <x:c r="H273" s="59" t="n">
        <x:v>294.42</x:v>
      </x:c>
    </x:row>
    <x:row r="274">
      <x:c r="A274" s="27" t="str">
        <x:v>bpps_d1000n200m5w10_100s10_100f0_seed0</x:v>
      </x:c>
      <x:c r="B274" s="28" t="n">
        <x:v>200</x:v>
      </x:c>
      <x:c r="C274" s="28" t="n">
        <x:v>16</x:v>
      </x:c>
      <x:c r="D274" s="28" t="n">
        <x:v>12</x:v>
      </x:c>
      <x:c r="E274" s="39" t="n">
        <x:f>(C274-D274)/C274*100</x:f>
        <x:v>25</x:v>
      </x:c>
      <x:c r="F274" s="28" t="str">
        <x:f>IF(C274=D274,"YES","NO")</x:f>
        <x:v>NO</x:v>
      </x:c>
      <x:c r="G274" s="28" t="str">
        <x:v>Optimal</x:v>
      </x:c>
      <x:c r="H274" s="59" t="n">
        <x:v>275.44</x:v>
      </x:c>
    </x:row>
    <x:row r="275">
      <x:c r="A275" s="27" t="str">
        <x:v>bpps_d1000n200m5w10_100s10_100f1_seed0</x:v>
      </x:c>
      <x:c r="B275" s="28" t="n">
        <x:v>200</x:v>
      </x:c>
      <x:c r="C275" s="28" t="n">
        <x:v>273</x:v>
      </x:c>
      <x:c r="D275" s="28" t="n">
        <x:v>193</x:v>
      </x:c>
      <x:c r="E275" s="39" t="n">
        <x:f>(C275-D275)/C275*100</x:f>
        <x:v>29.304029304029307</x:v>
      </x:c>
      <x:c r="F275" s="28" t="str">
        <x:f>IF(C275=D275,"YES","NO")</x:f>
        <x:v>NO</x:v>
      </x:c>
      <x:c r="G275" s="28" t="str">
        <x:v>Optimal</x:v>
      </x:c>
      <x:c r="H275" s="59" t="n">
        <x:v>100.58</x:v>
      </x:c>
    </x:row>
    <x:row r="276">
      <x:c r="A276" s="27" t="str">
        <x:v>bpps_d1000n200m5w10_100s10_200f0_seed0</x:v>
      </x:c>
      <x:c r="B276" s="28" t="n">
        <x:v>200</x:v>
      </x:c>
      <x:c r="C276" s="28" t="n">
        <x:v>17</x:v>
      </x:c>
      <x:c r="D276" s="28" t="n">
        <x:v>13</x:v>
      </x:c>
      <x:c r="E276" s="39" t="n">
        <x:f>(C276-D276)/C276*100</x:f>
        <x:v>23.52941176470588</x:v>
      </x:c>
      <x:c r="F276" s="28" t="str">
        <x:f>IF(C276=D276,"YES","NO")</x:f>
        <x:v>NO</x:v>
      </x:c>
      <x:c r="G276" s="28" t="str">
        <x:v>Not Solved</x:v>
      </x:c>
      <x:c r="H276" s="59" t="n">
        <x:v>167.74</x:v>
      </x:c>
    </x:row>
    <x:row r="277">
      <x:c r="A277" s="27" t="str">
        <x:v>bpps_d1000n200m5w10_100s10_200f1_seed0</x:v>
      </x:c>
      <x:c r="B277" s="28" t="n">
        <x:v>200</x:v>
      </x:c>
      <x:c r="C277" s="28" t="n">
        <x:v>288</x:v>
      </x:c>
      <x:c r="D277" s="28" t="n">
        <x:v>203</x:v>
      </x:c>
      <x:c r="E277" s="39" t="n">
        <x:f>(C277-D277)/C277*100</x:f>
        <x:v>29.51388888888889</x:v>
      </x:c>
      <x:c r="F277" s="28" t="str">
        <x:f>IF(C277=D277,"YES","NO")</x:f>
        <x:v>NO</x:v>
      </x:c>
      <x:c r="G277" s="28" t="str">
        <x:v>Optimal</x:v>
      </x:c>
      <x:c r="H277" s="59" t="n">
        <x:v>60.81</x:v>
      </x:c>
    </x:row>
    <x:row r="278">
      <x:c r="A278" s="27" t="str">
        <x:v>bpps_d1000n200m5w10_300s100_200f0_seed0</x:v>
      </x:c>
      <x:c r="B278" s="28" t="n">
        <x:v>200</x:v>
      </x:c>
      <x:c r="C278" s="28" t="n">
        <x:v>38</x:v>
      </x:c>
      <x:c r="D278" s="28" t="n">
        <x:v>36</x:v>
      </x:c>
      <x:c r="E278" s="39" t="n">
        <x:f>(C278-D278)/C278*100</x:f>
        <x:v>5.263157894736842</x:v>
      </x:c>
      <x:c r="F278" s="28" t="str">
        <x:f>IF(C278=D278,"YES","NO")</x:f>
        <x:v>NO</x:v>
      </x:c>
      <x:c r="G278" s="28" t="str">
        <x:v>Optimal</x:v>
      </x:c>
      <x:c r="H278" s="59" t="n">
        <x:v>22.81</x:v>
      </x:c>
    </x:row>
    <x:row r="279">
      <x:c r="A279" s="27" t="str">
        <x:v>bpps_d1000n200m5w10_300s100_200f1_seed0</x:v>
      </x:c>
      <x:c r="B279" s="28" t="n">
        <x:v>200</x:v>
      </x:c>
      <x:c r="C279" s="28" t="n">
        <x:v>494</x:v>
      </x:c>
      <x:c r="D279" s="28" t="n">
        <x:v>493</x:v>
      </x:c>
      <x:c r="E279" s="39" t="n">
        <x:f>(C279-D279)/C279*100</x:f>
        <x:v>0.20242914979757085</x:v>
      </x:c>
      <x:c r="F279" s="28" t="str">
        <x:f>IF(C279=D279,"YES","NO")</x:f>
        <x:v>NO</x:v>
      </x:c>
      <x:c r="G279" s="28" t="str">
        <x:v>Optimal</x:v>
      </x:c>
      <x:c r="H279" s="59" t="n">
        <x:v>22.79</x:v>
      </x:c>
    </x:row>
    <x:row r="280">
      <x:c r="A280" s="27" t="str">
        <x:v>bpps_d1000n200m5w10_300s10_100f0_seed0</x:v>
      </x:c>
      <x:c r="B280" s="28" t="n">
        <x:v>200</x:v>
      </x:c>
      <x:c r="C280" s="28" t="n">
        <x:v>34</x:v>
      </x:c>
      <x:c r="D280" s="28" t="n">
        <x:v>33</x:v>
      </x:c>
      <x:c r="E280" s="39" t="n">
        <x:f>(C280-D280)/C280*100</x:f>
        <x:v>2.941176470588235</x:v>
      </x:c>
      <x:c r="F280" s="28" t="str">
        <x:f>IF(C280=D280,"YES","NO")</x:f>
        <x:v>NO</x:v>
      </x:c>
      <x:c r="G280" s="28" t="str">
        <x:v>Optimal</x:v>
      </x:c>
      <x:c r="H280" s="59" t="n">
        <x:v>604.77</x:v>
      </x:c>
    </x:row>
    <x:row r="281">
      <x:c r="A281" s="27" t="str">
        <x:v>bpps_d1000n200m5w10_300s10_100f1_seed0</x:v>
      </x:c>
      <x:c r="B281" s="28" t="n">
        <x:v>200</x:v>
      </x:c>
      <x:c r="C281" s="28" t="n">
        <x:v>458</x:v>
      </x:c>
      <x:c r="D281" s="28" t="n">
        <x:v>448</x:v>
      </x:c>
      <x:c r="E281" s="39" t="n">
        <x:f>(C281-D281)/C281*100</x:f>
        <x:v>2.1834061135371177</x:v>
      </x:c>
      <x:c r="F281" s="28" t="str">
        <x:f>IF(C281=D281,"YES","NO")</x:f>
        <x:v>NO</x:v>
      </x:c>
      <x:c r="G281" s="28" t="str">
        <x:v>Optimal</x:v>
      </x:c>
      <x:c r="H281" s="59" t="n">
        <x:v>12.66</x:v>
      </x:c>
    </x:row>
    <x:row r="282">
      <x:c r="A282" s="27" t="str">
        <x:v>bpps_d1000n200m5w10_300s10_200f0_seed0</x:v>
      </x:c>
      <x:c r="B282" s="28" t="n">
        <x:v>200</x:v>
      </x:c>
      <x:c r="C282" s="28" t="n">
        <x:v>37</x:v>
      </x:c>
      <x:c r="D282" s="28" t="n">
        <x:v>35</x:v>
      </x:c>
      <x:c r="E282" s="39" t="n">
        <x:f>(C282-D282)/C282*100</x:f>
        <x:v>5.405405405405405</x:v>
      </x:c>
      <x:c r="F282" s="28" t="str">
        <x:f>IF(C282=D282,"YES","NO")</x:f>
        <x:v>NO</x:v>
      </x:c>
      <x:c r="G282" s="28" t="str">
        <x:v>Optimal</x:v>
      </x:c>
      <x:c r="H282" s="59" t="n">
        <x:v>44.54</x:v>
      </x:c>
    </x:row>
    <x:row r="283">
      <x:c r="A283" s="27" t="str">
        <x:v>bpps_d1000n200m5w10_300s10_200f1_seed0</x:v>
      </x:c>
      <x:c r="B283" s="28" t="n">
        <x:v>200</x:v>
      </x:c>
      <x:c r="C283" s="28" t="n">
        <x:v>484</x:v>
      </x:c>
      <x:c r="D283" s="28" t="n">
        <x:v>483</x:v>
      </x:c>
      <x:c r="E283" s="39" t="n">
        <x:f>(C283-D283)/C283*100</x:f>
        <x:v>0.2066115702479339</x:v>
      </x:c>
      <x:c r="F283" s="28" t="str">
        <x:f>IF(C283=D283,"YES","NO")</x:f>
        <x:v>NO</x:v>
      </x:c>
      <x:c r="G283" s="28" t="str">
        <x:v>Optimal</x:v>
      </x:c>
      <x:c r="H283" s="59" t="n">
        <x:v>10.64</x:v>
      </x:c>
    </x:row>
    <x:row r="284">
      <x:c r="A284" s="27" t="str">
        <x:v>bpps_d1000n200m5w200_300s100_200f0_seed0</x:v>
      </x:c>
      <x:c r="B284" s="28" t="n">
        <x:v>200</x:v>
      </x:c>
      <x:c r="C284" s="28" t="n">
        <x:v>66</x:v>
      </x:c>
      <x:c r="D284" s="28" t="n">
        <x:v>62</x:v>
      </x:c>
      <x:c r="E284" s="39" t="n">
        <x:f>(C284-D284)/C284*100</x:f>
        <x:v>6.0606060606060606</x:v>
      </x:c>
      <x:c r="F284" s="28" t="str">
        <x:f>IF(C284=D284,"YES","NO")</x:f>
        <x:v>NO</x:v>
      </x:c>
      <x:c r="G284" s="28" t="str">
        <x:v>Optimal</x:v>
      </x:c>
      <x:c r="H284" s="59" t="n">
        <x:v>329.4</x:v>
      </x:c>
    </x:row>
    <x:row r="285">
      <x:c r="A285" s="27" t="str">
        <x:v>bpps_d1000n200m5w200_300s100_200f1_seed0</x:v>
      </x:c>
      <x:c r="B285" s="28" t="n">
        <x:v>200</x:v>
      </x:c>
      <x:c r="C285" s="28" t="n">
        <x:v>860</x:v>
      </x:c>
      <x:c r="D285" s="28" t="n">
        <x:v>803</x:v>
      </x:c>
      <x:c r="E285" s="39" t="n">
        <x:f>(C285-D285)/C285*100</x:f>
        <x:v>6.627906976744185</x:v>
      </x:c>
      <x:c r="F285" s="28" t="str">
        <x:f>IF(C285=D285,"YES","NO")</x:f>
        <x:v>NO</x:v>
      </x:c>
      <x:c r="G285" s="28" t="str">
        <x:v>Optimal</x:v>
      </x:c>
      <x:c r="H285" s="59" t="n">
        <x:v>25.95</x:v>
      </x:c>
    </x:row>
    <x:row r="286">
      <x:c r="A286" s="27" t="str">
        <x:v>bpps_d1000n200m5w200_300s10_100f0_seed0</x:v>
      </x:c>
      <x:c r="B286" s="28" t="n">
        <x:v>200</x:v>
      </x:c>
      <x:c r="C286" s="28" t="n">
        <x:v>60</x:v>
      </x:c>
      <x:c r="D286" s="28" t="n">
        <x:v>55</x:v>
      </x:c>
      <x:c r="E286" s="39" t="n">
        <x:f>(C286-D286)/C286*100</x:f>
        <x:v>8.333333333333332</x:v>
      </x:c>
      <x:c r="F286" s="28" t="str">
        <x:f>IF(C286=D286,"YES","NO")</x:f>
        <x:v>NO</x:v>
      </x:c>
      <x:c r="G286" s="28" t="str">
        <x:v>Optimal</x:v>
      </x:c>
      <x:c r="H286" s="59" t="n">
        <x:v>603.21</x:v>
      </x:c>
    </x:row>
    <x:row r="287">
      <x:c r="A287" s="27" t="str">
        <x:v>bpps_d1000n200m5w200_300s10_100f1_seed0</x:v>
      </x:c>
      <x:c r="B287" s="28" t="n">
        <x:v>200</x:v>
      </x:c>
      <x:c r="C287" s="28" t="n">
        <x:v>764</x:v>
      </x:c>
      <x:c r="D287" s="28" t="n">
        <x:v>730</x:v>
      </x:c>
      <x:c r="E287" s="39" t="n">
        <x:f>(C287-D287)/C287*100</x:f>
        <x:v>4.450261780104712</x:v>
      </x:c>
      <x:c r="F287" s="28" t="str">
        <x:f>IF(C287=D287,"YES","NO")</x:f>
        <x:v>NO</x:v>
      </x:c>
      <x:c r="G287" s="28" t="str">
        <x:v>Optimal</x:v>
      </x:c>
      <x:c r="H287" s="59" t="n">
        <x:v>280.07</x:v>
      </x:c>
    </x:row>
    <x:row r="288">
      <x:c r="A288" s="27" t="str">
        <x:v>bpps_d1000n200m5w200_300s10_200f0_seed0</x:v>
      </x:c>
      <x:c r="B288" s="28" t="n">
        <x:v>200</x:v>
      </x:c>
      <x:c r="C288" s="28" t="n">
        <x:v>64</x:v>
      </x:c>
      <x:c r="D288" s="28" t="n">
        <x:v>60</x:v>
      </x:c>
      <x:c r="E288" s="39" t="n">
        <x:f>(C288-D288)/C288*100</x:f>
        <x:v>6.25</x:v>
      </x:c>
      <x:c r="F288" s="28" t="str">
        <x:f>IF(C288=D288,"YES","NO")</x:f>
        <x:v>NO</x:v>
      </x:c>
      <x:c r="G288" s="28" t="str">
        <x:v>Optimal</x:v>
      </x:c>
      <x:c r="H288" s="59" t="n">
        <x:v>600.89</x:v>
      </x:c>
    </x:row>
    <x:row r="289">
      <x:c r="A289" s="27" t="str">
        <x:v>bpps_d1000n200m5w200_300s10_200f1_seed0</x:v>
      </x:c>
      <x:c r="B289" s="28" t="n">
        <x:v>200</x:v>
      </x:c>
      <x:c r="C289" s="28" t="n">
        <x:v>818</x:v>
      </x:c>
      <x:c r="D289" s="28" t="n">
        <x:v>775</x:v>
      </x:c>
      <x:c r="E289" s="39" t="n">
        <x:f>(C289-D289)/C289*100</x:f>
        <x:v>5.256723716381418</x:v>
      </x:c>
      <x:c r="F289" s="28" t="str">
        <x:f>IF(C289=D289,"YES","NO")</x:f>
        <x:v>NO</x:v>
      </x:c>
      <x:c r="G289" s="28" t="str">
        <x:v>Optimal</x:v>
      </x:c>
      <x:c r="H289" s="59" t="n">
        <x:v>325.14</x:v>
      </x:c>
    </x:row>
    <x:row r="290">
      <x:c r="A290" s="27" t="str">
        <x:v>bpps_d1000n25m10w100_200s100_200f0_seed0</x:v>
      </x:c>
      <x:c r="B290" s="28" t="n">
        <x:v>25</x:v>
      </x:c>
      <x:c r="C290" s="28" t="n">
        <x:v>7</x:v>
      </x:c>
      <x:c r="D290" s="28" t="n">
        <x:v>6</x:v>
      </x:c>
      <x:c r="E290" s="39" t="n">
        <x:f>(C290-D290)/C290*100</x:f>
        <x:v>14.285714285714285</x:v>
      </x:c>
      <x:c r="F290" s="28" t="str">
        <x:f>IF(C290=D290,"YES","NO")</x:f>
        <x:v>NO</x:v>
      </x:c>
      <x:c r="G290" s="28" t="str">
        <x:v>Optimal</x:v>
      </x:c>
      <x:c r="H290" s="59" t="n">
        <x:v>0.51</x:v>
      </x:c>
    </x:row>
    <x:row r="291">
      <x:c r="A291" s="27" t="str">
        <x:v>bpps_d1000n25m10w100_200s100_200f1_seed0</x:v>
      </x:c>
      <x:c r="B291" s="28" t="n">
        <x:v>25</x:v>
      </x:c>
      <x:c r="C291" s="28" t="n">
        <x:v>114</x:v>
      </x:c>
      <x:c r="D291" s="28" t="n">
        <x:v>114</x:v>
      </x:c>
      <x:c r="E291" s="39" t="n">
        <x:f>(C291-D291)/C291*100</x:f>
        <x:v>0</x:v>
      </x:c>
      <x:c r="F291" s="28" t="str">
        <x:f>IF(C291=D291,"YES","NO")</x:f>
        <x:v>YES</x:v>
      </x:c>
      <x:c r="G291" s="28" t="str">
        <x:v>Optimal</x:v>
      </x:c>
      <x:c r="H291" s="59" t="n">
        <x:v>0.45</x:v>
      </x:c>
    </x:row>
    <x:row r="292">
      <x:c r="A292" s="27" t="str">
        <x:v>bpps_d1000n25m10w100_200s10_100f0_seed0</x:v>
      </x:c>
      <x:c r="B292" s="28" t="n">
        <x:v>25</x:v>
      </x:c>
      <x:c r="C292" s="28" t="n">
        <x:v>5</x:v>
      </x:c>
      <x:c r="D292" s="28" t="n">
        <x:v>5</x:v>
      </x:c>
      <x:c r="E292" s="39" t="n">
        <x:f>(C292-D292)/C292*100</x:f>
        <x:v>0</x:v>
      </x:c>
      <x:c r="F292" s="28" t="str">
        <x:f>IF(C292=D292,"YES","NO")</x:f>
        <x:v>YES</x:v>
      </x:c>
      <x:c r="G292" s="28" t="str">
        <x:v>Optimal</x:v>
      </x:c>
      <x:c r="H292" s="59" t="n">
        <x:v>0.51</x:v>
      </x:c>
    </x:row>
    <x:row r="293">
      <x:c r="A293" s="27" t="str">
        <x:v>bpps_d1000n25m10w100_200s10_100f1_seed0</x:v>
      </x:c>
      <x:c r="B293" s="28" t="n">
        <x:v>25</x:v>
      </x:c>
      <x:c r="C293" s="28" t="n">
        <x:v>88</x:v>
      </x:c>
      <x:c r="D293" s="28" t="n">
        <x:v>88</x:v>
      </x:c>
      <x:c r="E293" s="39" t="n">
        <x:f>(C293-D293)/C293*100</x:f>
        <x:v>0</x:v>
      </x:c>
      <x:c r="F293" s="28" t="str">
        <x:f>IF(C293=D293,"YES","NO")</x:f>
        <x:v>YES</x:v>
      </x:c>
      <x:c r="G293" s="28" t="str">
        <x:v>Optimal</x:v>
      </x:c>
      <x:c r="H293" s="59" t="n">
        <x:v>0.51</x:v>
      </x:c>
    </x:row>
    <x:row r="294">
      <x:c r="A294" s="27" t="str">
        <x:v>bpps_d1000n25m10w100_200s10_200f0_seed0</x:v>
      </x:c>
      <x:c r="B294" s="28" t="n">
        <x:v>25</x:v>
      </x:c>
      <x:c r="C294" s="28" t="n">
        <x:v>6</x:v>
      </x:c>
      <x:c r="D294" s="28" t="n">
        <x:v>6</x:v>
      </x:c>
      <x:c r="E294" s="39" t="n">
        <x:f>(C294-D294)/C294*100</x:f>
        <x:v>0</x:v>
      </x:c>
      <x:c r="F294" s="28" t="str">
        <x:f>IF(C294=D294,"YES","NO")</x:f>
        <x:v>YES</x:v>
      </x:c>
      <x:c r="G294" s="28" t="str">
        <x:v>Optimal</x:v>
      </x:c>
      <x:c r="H294" s="59" t="n">
        <x:v>0.47</x:v>
      </x:c>
    </x:row>
    <x:row r="295">
      <x:c r="A295" s="27" t="str">
        <x:v>bpps_d1000n25m10w100_200s10_200f1_seed0</x:v>
      </x:c>
      <x:c r="B295" s="28" t="n">
        <x:v>25</x:v>
      </x:c>
      <x:c r="C295" s="28" t="n">
        <x:v>97</x:v>
      </x:c>
      <x:c r="D295" s="28" t="n">
        <x:v>96</x:v>
      </x:c>
      <x:c r="E295" s="39" t="n">
        <x:f>(C295-D295)/C295*100</x:f>
        <x:v>1.0309278350515463</x:v>
      </x:c>
      <x:c r="F295" s="28" t="str">
        <x:f>IF(C295=D295,"YES","NO")</x:f>
        <x:v>NO</x:v>
      </x:c>
      <x:c r="G295" s="28" t="str">
        <x:v>Optimal</x:v>
      </x:c>
      <x:c r="H295" s="59" t="n">
        <x:v>0.5</x:v>
      </x:c>
    </x:row>
    <x:row r="296">
      <x:c r="A296" s="27" t="str">
        <x:v>bpps_d1000n25m10w10_100s100_200f0_seed0</x:v>
      </x:c>
      <x:c r="B296" s="28" t="n">
        <x:v>25</x:v>
      </x:c>
      <x:c r="C296" s="28" t="n">
        <x:v>4</x:v>
      </x:c>
      <x:c r="D296" s="28" t="n">
        <x:v>4</x:v>
      </x:c>
      <x:c r="E296" s="39" t="n">
        <x:f>(C296-D296)/C296*100</x:f>
        <x:v>0</x:v>
      </x:c>
      <x:c r="F296" s="28" t="str">
        <x:f>IF(C296=D296,"YES","NO")</x:f>
        <x:v>YES</x:v>
      </x:c>
      <x:c r="G296" s="28" t="str">
        <x:v>Optimal</x:v>
      </x:c>
      <x:c r="H296" s="59" t="n">
        <x:v>0.43</x:v>
      </x:c>
    </x:row>
    <x:row r="297">
      <x:c r="A297" s="27" t="str">
        <x:v>bpps_d1000n25m10w10_100s100_200f1_seed0</x:v>
      </x:c>
      <x:c r="B297" s="28" t="n">
        <x:v>25</x:v>
      </x:c>
      <x:c r="C297" s="28" t="n">
        <x:v>89</x:v>
      </x:c>
      <x:c r="D297" s="28" t="n">
        <x:v>88</x:v>
      </x:c>
      <x:c r="E297" s="39" t="n">
        <x:f>(C297-D297)/C297*100</x:f>
        <x:v>1.1235955056179776</x:v>
      </x:c>
      <x:c r="F297" s="28" t="str">
        <x:f>IF(C297=D297,"YES","NO")</x:f>
        <x:v>NO</x:v>
      </x:c>
      <x:c r="G297" s="28" t="str">
        <x:v>Optimal</x:v>
      </x:c>
      <x:c r="H297" s="59" t="n">
        <x:v>1.03</x:v>
      </x:c>
    </x:row>
    <x:row r="298">
      <x:c r="A298" s="27" t="str">
        <x:v>bpps_d1000n25m10w10_100s10_100f0_seed0</x:v>
      </x:c>
      <x:c r="B298" s="28" t="n">
        <x:v>25</x:v>
      </x:c>
      <x:c r="C298" s="28" t="n">
        <x:v>3</x:v>
      </x:c>
      <x:c r="D298" s="28" t="n">
        <x:v>3</x:v>
      </x:c>
      <x:c r="E298" s="39" t="n">
        <x:f>(C298-D298)/C298*100</x:f>
        <x:v>0</x:v>
      </x:c>
      <x:c r="F298" s="28" t="str">
        <x:f>IF(C298=D298,"YES","NO")</x:f>
        <x:v>YES</x:v>
      </x:c>
      <x:c r="G298" s="28" t="str">
        <x:v>Optimal</x:v>
      </x:c>
      <x:c r="H298" s="59" t="n">
        <x:v>0.46</x:v>
      </x:c>
    </x:row>
    <x:row r="299">
      <x:c r="A299" s="27" t="str">
        <x:v>bpps_d1000n25m10w10_100s10_100f1_seed0</x:v>
      </x:c>
      <x:c r="B299" s="28" t="n">
        <x:v>25</x:v>
      </x:c>
      <x:c r="C299" s="28" t="n">
        <x:v>77</x:v>
      </x:c>
      <x:c r="D299" s="28" t="n">
        <x:v>73</x:v>
      </x:c>
      <x:c r="E299" s="39" t="n">
        <x:f>(C299-D299)/C299*100</x:f>
        <x:v>5.194805194805195</x:v>
      </x:c>
      <x:c r="F299" s="28" t="str">
        <x:f>IF(C299=D299,"YES","NO")</x:f>
        <x:v>NO</x:v>
      </x:c>
      <x:c r="G299" s="28" t="str">
        <x:v>Optimal</x:v>
      </x:c>
      <x:c r="H299" s="59" t="n">
        <x:v>0.51</x:v>
      </x:c>
    </x:row>
    <x:row r="300">
      <x:c r="A300" s="27" t="str">
        <x:v>bpps_d1000n25m10w10_100s10_200f0_seed0</x:v>
      </x:c>
      <x:c r="B300" s="28" t="n">
        <x:v>25</x:v>
      </x:c>
      <x:c r="C300" s="28" t="n">
        <x:v>5</x:v>
      </x:c>
      <x:c r="D300" s="28" t="n">
        <x:v>5</x:v>
      </x:c>
      <x:c r="E300" s="39" t="n">
        <x:f>(C300-D300)/C300*100</x:f>
        <x:v>0</x:v>
      </x:c>
      <x:c r="F300" s="28" t="str">
        <x:f>IF(C300=D300,"YES","NO")</x:f>
        <x:v>YES</x:v>
      </x:c>
      <x:c r="G300" s="28" t="str">
        <x:v>Optimal</x:v>
      </x:c>
      <x:c r="H300" s="59" t="n">
        <x:v>0.44</x:v>
      </x:c>
    </x:row>
    <x:row r="301">
      <x:c r="A301" s="27" t="str">
        <x:v>bpps_d1000n25m10w10_100s10_200f1_seed0</x:v>
      </x:c>
      <x:c r="B301" s="28" t="n">
        <x:v>25</x:v>
      </x:c>
      <x:c r="C301" s="28" t="n">
        <x:v>93</x:v>
      </x:c>
      <x:c r="D301" s="28" t="n">
        <x:v>89</x:v>
      </x:c>
      <x:c r="E301" s="39" t="n">
        <x:f>(C301-D301)/C301*100</x:f>
        <x:v>4.301075268817205</x:v>
      </x:c>
      <x:c r="F301" s="28" t="str">
        <x:f>IF(C301=D301,"YES","NO")</x:f>
        <x:v>NO</x:v>
      </x:c>
      <x:c r="G301" s="28" t="str">
        <x:v>Optimal</x:v>
      </x:c>
      <x:c r="H301" s="59" t="n">
        <x:v>0.53</x:v>
      </x:c>
    </x:row>
    <x:row r="302">
      <x:c r="A302" s="27" t="str">
        <x:v>bpps_d1000n25m10w10_300s100_200f0_seed0</x:v>
      </x:c>
      <x:c r="B302" s="28" t="n">
        <x:v>25</x:v>
      </x:c>
      <x:c r="C302" s="28" t="n">
        <x:v>7</x:v>
      </x:c>
      <x:c r="D302" s="28" t="n">
        <x:v>7</x:v>
      </x:c>
      <x:c r="E302" s="39" t="n">
        <x:f>(C302-D302)/C302*100</x:f>
        <x:v>0</x:v>
      </x:c>
      <x:c r="F302" s="28" t="str">
        <x:f>IF(C302=D302,"YES","NO")</x:f>
        <x:v>YES</x:v>
      </x:c>
      <x:c r="G302" s="28" t="str">
        <x:v>Optimal</x:v>
      </x:c>
      <x:c r="H302" s="59" t="n">
        <x:v>2.95</x:v>
      </x:c>
    </x:row>
    <x:row r="303">
      <x:c r="A303" s="27" t="str">
        <x:v>bpps_d1000n25m10w10_300s100_200f1_seed0</x:v>
      </x:c>
      <x:c r="B303" s="28" t="n">
        <x:v>25</x:v>
      </x:c>
      <x:c r="C303" s="28" t="n">
        <x:v>91</x:v>
      </x:c>
      <x:c r="D303" s="28" t="n">
        <x:v>89</x:v>
      </x:c>
      <x:c r="E303" s="39" t="n">
        <x:f>(C303-D303)/C303*100</x:f>
        <x:v>2.197802197802198</x:v>
      </x:c>
      <x:c r="F303" s="28" t="str">
        <x:f>IF(C303=D303,"YES","NO")</x:f>
        <x:v>NO</x:v>
      </x:c>
      <x:c r="G303" s="28" t="str">
        <x:v>Optimal</x:v>
      </x:c>
      <x:c r="H303" s="59" t="n">
        <x:v>0.51</x:v>
      </x:c>
    </x:row>
    <x:row r="304">
      <x:c r="A304" s="27" t="str">
        <x:v>bpps_d1000n25m10w10_300s10_100f0_seed0</x:v>
      </x:c>
      <x:c r="B304" s="28" t="n">
        <x:v>25</x:v>
      </x:c>
      <x:c r="C304" s="28" t="n">
        <x:v>6</x:v>
      </x:c>
      <x:c r="D304" s="28" t="n">
        <x:v>6</x:v>
      </x:c>
      <x:c r="E304" s="39" t="n">
        <x:f>(C304-D304)/C304*100</x:f>
        <x:v>0</x:v>
      </x:c>
      <x:c r="F304" s="28" t="str">
        <x:f>IF(C304=D304,"YES","NO")</x:f>
        <x:v>YES</x:v>
      </x:c>
      <x:c r="G304" s="28" t="str">
        <x:v>Optimal</x:v>
      </x:c>
      <x:c r="H304" s="59" t="n">
        <x:v>2.49</x:v>
      </x:c>
    </x:row>
    <x:row r="305">
      <x:c r="A305" s="27" t="str">
        <x:v>bpps_d1000n25m10w10_300s10_100f1_seed0</x:v>
      </x:c>
      <x:c r="B305" s="28" t="n">
        <x:v>25</x:v>
      </x:c>
      <x:c r="C305" s="28" t="n">
        <x:v>92</x:v>
      </x:c>
      <x:c r="D305" s="28" t="n">
        <x:v>92</x:v>
      </x:c>
      <x:c r="E305" s="39" t="n">
        <x:f>(C305-D305)/C305*100</x:f>
        <x:v>0</x:v>
      </x:c>
      <x:c r="F305" s="28" t="str">
        <x:f>IF(C305=D305,"YES","NO")</x:f>
        <x:v>YES</x:v>
      </x:c>
      <x:c r="G305" s="28" t="str">
        <x:v>Optimal</x:v>
      </x:c>
      <x:c r="H305" s="59" t="n">
        <x:v>0.57</x:v>
      </x:c>
    </x:row>
    <x:row r="306">
      <x:c r="A306" s="27" t="str">
        <x:v>bpps_d1000n25m10w10_300s10_200f0_seed0</x:v>
      </x:c>
      <x:c r="B306" s="28" t="n">
        <x:v>25</x:v>
      </x:c>
      <x:c r="C306" s="28" t="n">
        <x:v>7</x:v>
      </x:c>
      <x:c r="D306" s="28" t="n">
        <x:v>6</x:v>
      </x:c>
      <x:c r="E306" s="39" t="n">
        <x:f>(C306-D306)/C306*100</x:f>
        <x:v>14.285714285714285</x:v>
      </x:c>
      <x:c r="F306" s="28" t="str">
        <x:f>IF(C306=D306,"YES","NO")</x:f>
        <x:v>NO</x:v>
      </x:c>
      <x:c r="G306" s="28" t="str">
        <x:v>Optimal</x:v>
      </x:c>
      <x:c r="H306" s="59" t="n">
        <x:v>4.93</x:v>
      </x:c>
    </x:row>
    <x:row r="307">
      <x:c r="A307" s="27" t="str">
        <x:v>bpps_d1000n25m10w10_300s10_200f1_seed0</x:v>
      </x:c>
      <x:c r="B307" s="28" t="n">
        <x:v>25</x:v>
      </x:c>
      <x:c r="C307" s="28" t="n">
        <x:v>94</x:v>
      </x:c>
      <x:c r="D307" s="28" t="n">
        <x:v>83</x:v>
      </x:c>
      <x:c r="E307" s="39" t="n">
        <x:f>(C307-D307)/C307*100</x:f>
        <x:v>11.702127659574469</x:v>
      </x:c>
      <x:c r="F307" s="28" t="str">
        <x:f>IF(C307=D307,"YES","NO")</x:f>
        <x:v>NO</x:v>
      </x:c>
      <x:c r="G307" s="28" t="str">
        <x:v>Optimal</x:v>
      </x:c>
      <x:c r="H307" s="59" t="n">
        <x:v>0.69</x:v>
      </x:c>
    </x:row>
    <x:row r="308">
      <x:c r="A308" s="27" t="str">
        <x:v>bpps_d1000n25m10w200_300s100_200f0_seed0</x:v>
      </x:c>
      <x:c r="B308" s="28" t="n">
        <x:v>25</x:v>
      </x:c>
      <x:c r="C308" s="28" t="n">
        <x:v>11</x:v>
      </x:c>
      <x:c r="D308" s="28" t="n">
        <x:v>9</x:v>
      </x:c>
      <x:c r="E308" s="39" t="n">
        <x:f>(C308-D308)/C308*100</x:f>
        <x:v>18.181818181818183</x:v>
      </x:c>
      <x:c r="F308" s="28" t="str">
        <x:f>IF(C308=D308,"YES","NO")</x:f>
        <x:v>NO</x:v>
      </x:c>
      <x:c r="G308" s="28" t="str">
        <x:v>Optimal</x:v>
      </x:c>
      <x:c r="H308" s="59" t="n">
        <x:v>0.99</x:v>
      </x:c>
    </x:row>
    <x:row r="309">
      <x:c r="A309" s="27" t="str">
        <x:v>bpps_d1000n25m10w200_300s100_200f1_seed0</x:v>
      </x:c>
      <x:c r="B309" s="28" t="n">
        <x:v>25</x:v>
      </x:c>
      <x:c r="C309" s="28" t="n">
        <x:v>139</x:v>
      </x:c>
      <x:c r="D309" s="28" t="n">
        <x:v>126</x:v>
      </x:c>
      <x:c r="E309" s="39" t="n">
        <x:f>(C309-D309)/C309*100</x:f>
        <x:v>9.352517985611511</x:v>
      </x:c>
      <x:c r="F309" s="28" t="str">
        <x:f>IF(C309=D309,"YES","NO")</x:f>
        <x:v>NO</x:v>
      </x:c>
      <x:c r="G309" s="28" t="str">
        <x:v>Optimal</x:v>
      </x:c>
      <x:c r="H309" s="59" t="n">
        <x:v>0.57</x:v>
      </x:c>
    </x:row>
    <x:row r="310">
      <x:c r="A310" s="27" t="str">
        <x:v>bpps_d1000n25m10w200_300s10_100f0_seed0</x:v>
      </x:c>
      <x:c r="B310" s="28" t="n">
        <x:v>25</x:v>
      </x:c>
      <x:c r="C310" s="28" t="n">
        <x:v>8</x:v>
      </x:c>
      <x:c r="D310" s="28" t="n">
        <x:v>8</x:v>
      </x:c>
      <x:c r="E310" s="39" t="n">
        <x:f>(C310-D310)/C310*100</x:f>
        <x:v>0</x:v>
      </x:c>
      <x:c r="F310" s="28" t="str">
        <x:f>IF(C310=D310,"YES","NO")</x:f>
        <x:v>YES</x:v>
      </x:c>
      <x:c r="G310" s="28" t="str">
        <x:v>Optimal</x:v>
      </x:c>
      <x:c r="H310" s="59" t="n">
        <x:v>0.6</x:v>
      </x:c>
    </x:row>
    <x:row r="311">
      <x:c r="A311" s="27" t="str">
        <x:v>bpps_d1000n25m10w200_300s10_100f1_seed0</x:v>
      </x:c>
      <x:c r="B311" s="28" t="n">
        <x:v>25</x:v>
      </x:c>
      <x:c r="C311" s="28" t="n">
        <x:v>126</x:v>
      </x:c>
      <x:c r="D311" s="28" t="n">
        <x:v>121</x:v>
      </x:c>
      <x:c r="E311" s="39" t="n">
        <x:f>(C311-D311)/C311*100</x:f>
        <x:v>3.968253968253968</x:v>
      </x:c>
      <x:c r="F311" s="28" t="str">
        <x:f>IF(C311=D311,"YES","NO")</x:f>
        <x:v>NO</x:v>
      </x:c>
      <x:c r="G311" s="28" t="str">
        <x:v>Optimal</x:v>
      </x:c>
      <x:c r="H311" s="59" t="n">
        <x:v>0.71</x:v>
      </x:c>
    </x:row>
    <x:row r="312">
      <x:c r="A312" s="27" t="str">
        <x:v>bpps_d1000n25m10w200_300s10_200f0_seed0</x:v>
      </x:c>
      <x:c r="B312" s="28" t="n">
        <x:v>25</x:v>
      </x:c>
      <x:c r="C312" s="28" t="n">
        <x:v>9</x:v>
      </x:c>
      <x:c r="D312" s="28" t="n">
        <x:v>9</x:v>
      </x:c>
      <x:c r="E312" s="39" t="n">
        <x:f>(C312-D312)/C312*100</x:f>
        <x:v>0</x:v>
      </x:c>
      <x:c r="F312" s="28" t="str">
        <x:f>IF(C312=D312,"YES","NO")</x:f>
        <x:v>YES</x:v>
      </x:c>
      <x:c r="G312" s="28" t="str">
        <x:v>Optimal</x:v>
      </x:c>
      <x:c r="H312" s="59" t="n">
        <x:v>5.01</x:v>
      </x:c>
    </x:row>
    <x:row r="313">
      <x:c r="A313" s="27" t="str">
        <x:v>bpps_d1000n25m10w200_300s10_200f1_seed0</x:v>
      </x:c>
      <x:c r="B313" s="28" t="n">
        <x:v>25</x:v>
      </x:c>
      <x:c r="C313" s="28" t="n">
        <x:v>136</x:v>
      </x:c>
      <x:c r="D313" s="28" t="n">
        <x:v>126</x:v>
      </x:c>
      <x:c r="E313" s="39" t="n">
        <x:f>(C313-D313)/C313*100</x:f>
        <x:v>7.352941176470589</x:v>
      </x:c>
      <x:c r="F313" s="28" t="str">
        <x:f>IF(C313=D313,"YES","NO")</x:f>
        <x:v>NO</x:v>
      </x:c>
      <x:c r="G313" s="28" t="str">
        <x:v>Optimal</x:v>
      </x:c>
      <x:c r="H313" s="59" t="n">
        <x:v>1.22</x:v>
      </x:c>
    </x:row>
    <x:row r="314">
      <x:c r="A314" s="27" t="str">
        <x:v>bpps_d1000n25m5w100_200s100_200f0_seed0</x:v>
      </x:c>
      <x:c r="B314" s="28" t="n">
        <x:v>25</x:v>
      </x:c>
      <x:c r="C314" s="28" t="n">
        <x:v>6</x:v>
      </x:c>
      <x:c r="D314" s="28" t="n">
        <x:v>6</x:v>
      </x:c>
      <x:c r="E314" s="39" t="n">
        <x:f>(C314-D314)/C314*100</x:f>
        <x:v>0</x:v>
      </x:c>
      <x:c r="F314" s="28" t="str">
        <x:f>IF(C314=D314,"YES","NO")</x:f>
        <x:v>YES</x:v>
      </x:c>
      <x:c r="G314" s="28" t="str">
        <x:v>Optimal</x:v>
      </x:c>
      <x:c r="H314" s="59" t="n">
        <x:v>0.71</x:v>
      </x:c>
    </x:row>
    <x:row r="315">
      <x:c r="A315" s="27" t="str">
        <x:v>bpps_d1000n25m5w100_200s100_200f1_seed0</x:v>
      </x:c>
      <x:c r="B315" s="28" t="n">
        <x:v>25</x:v>
      </x:c>
      <x:c r="C315" s="28" t="n">
        <x:v>91</x:v>
      </x:c>
      <x:c r="D315" s="28" t="n">
        <x:v>90</x:v>
      </x:c>
      <x:c r="E315" s="39" t="n">
        <x:f>(C315-D315)/C315*100</x:f>
        <x:v>1.098901098901099</x:v>
      </x:c>
      <x:c r="F315" s="28" t="str">
        <x:f>IF(C315=D315,"YES","NO")</x:f>
        <x:v>NO</x:v>
      </x:c>
      <x:c r="G315" s="28" t="str">
        <x:v>Optimal</x:v>
      </x:c>
      <x:c r="H315" s="59" t="n">
        <x:v>1.37</x:v>
      </x:c>
    </x:row>
    <x:row r="316">
      <x:c r="A316" s="27" t="str">
        <x:v>bpps_d1000n25m5w100_200s10_100f0_seed0</x:v>
      </x:c>
      <x:c r="B316" s="28" t="n">
        <x:v>25</x:v>
      </x:c>
      <x:c r="C316" s="28" t="n">
        <x:v>5</x:v>
      </x:c>
      <x:c r="D316" s="28" t="n">
        <x:v>5</x:v>
      </x:c>
      <x:c r="E316" s="39" t="n">
        <x:f>(C316-D316)/C316*100</x:f>
        <x:v>0</x:v>
      </x:c>
      <x:c r="F316" s="28" t="str">
        <x:f>IF(C316=D316,"YES","NO")</x:f>
        <x:v>YES</x:v>
      </x:c>
      <x:c r="G316" s="28" t="str">
        <x:v>Optimal</x:v>
      </x:c>
      <x:c r="H316" s="59" t="n">
        <x:v>0.77</x:v>
      </x:c>
    </x:row>
    <x:row r="317">
      <x:c r="A317" s="27" t="str">
        <x:v>bpps_d1000n25m5w100_200s10_100f1_seed0</x:v>
      </x:c>
      <x:c r="B317" s="28" t="n">
        <x:v>25</x:v>
      </x:c>
      <x:c r="C317" s="28" t="n">
        <x:v>77</x:v>
      </x:c>
      <x:c r="D317" s="28" t="n">
        <x:v>76</x:v>
      </x:c>
      <x:c r="E317" s="39" t="n">
        <x:f>(C317-D317)/C317*100</x:f>
        <x:v>1.2987012987012987</x:v>
      </x:c>
      <x:c r="F317" s="28" t="str">
        <x:f>IF(C317=D317,"YES","NO")</x:f>
        <x:v>NO</x:v>
      </x:c>
      <x:c r="G317" s="28" t="str">
        <x:v>Optimal</x:v>
      </x:c>
      <x:c r="H317" s="59" t="n">
        <x:v>0.79</x:v>
      </x:c>
    </x:row>
    <x:row r="318">
      <x:c r="A318" s="27" t="str">
        <x:v>bpps_d1000n25m5w100_200s10_200f0_seed0</x:v>
      </x:c>
      <x:c r="B318" s="28" t="n">
        <x:v>25</x:v>
      </x:c>
      <x:c r="C318" s="28" t="n">
        <x:v>6</x:v>
      </x:c>
      <x:c r="D318" s="28" t="n">
        <x:v>6</x:v>
      </x:c>
      <x:c r="E318" s="39" t="n">
        <x:f>(C318-D318)/C318*100</x:f>
        <x:v>0</x:v>
      </x:c>
      <x:c r="F318" s="28" t="str">
        <x:f>IF(C318=D318,"YES","NO")</x:f>
        <x:v>YES</x:v>
      </x:c>
      <x:c r="G318" s="28" t="str">
        <x:v>Optimal</x:v>
      </x:c>
      <x:c r="H318" s="59" t="n">
        <x:v>0.62</x:v>
      </x:c>
    </x:row>
    <x:row r="319">
      <x:c r="A319" s="27" t="str">
        <x:v>bpps_d1000n25m5w100_200s10_200f1_seed0</x:v>
      </x:c>
      <x:c r="B319" s="28" t="n">
        <x:v>25</x:v>
      </x:c>
      <x:c r="C319" s="28" t="n">
        <x:v>94</x:v>
      </x:c>
      <x:c r="D319" s="28" t="n">
        <x:v>84</x:v>
      </x:c>
      <x:c r="E319" s="39" t="n">
        <x:f>(C319-D319)/C319*100</x:f>
        <x:v>10.638297872340425</x:v>
      </x:c>
      <x:c r="F319" s="28" t="str">
        <x:f>IF(C319=D319,"YES","NO")</x:f>
        <x:v>NO</x:v>
      </x:c>
      <x:c r="G319" s="28" t="str">
        <x:v>Optimal</x:v>
      </x:c>
      <x:c r="H319" s="59" t="n">
        <x:v>0.92</x:v>
      </x:c>
    </x:row>
    <x:row r="320">
      <x:c r="A320" s="27" t="str">
        <x:v>bpps_d1000n25m5w10_100s100_200f0_seed0</x:v>
      </x:c>
      <x:c r="B320" s="28" t="n">
        <x:v>25</x:v>
      </x:c>
      <x:c r="C320" s="28" t="n">
        <x:v>5</x:v>
      </x:c>
      <x:c r="D320" s="28" t="n">
        <x:v>5</x:v>
      </x:c>
      <x:c r="E320" s="39" t="n">
        <x:f>(C320-D320)/C320*100</x:f>
        <x:v>0</x:v>
      </x:c>
      <x:c r="F320" s="28" t="str">
        <x:f>IF(C320=D320,"YES","NO")</x:f>
        <x:v>YES</x:v>
      </x:c>
      <x:c r="G320" s="28" t="str">
        <x:v>Optimal</x:v>
      </x:c>
      <x:c r="H320" s="59" t="n">
        <x:v>1.08</x:v>
      </x:c>
    </x:row>
    <x:row r="321">
      <x:c r="A321" s="27" t="str">
        <x:v>bpps_d1000n25m5w10_100s100_200f1_seed0</x:v>
      </x:c>
      <x:c r="B321" s="28" t="n">
        <x:v>25</x:v>
      </x:c>
      <x:c r="C321" s="28" t="n">
        <x:v>89</x:v>
      </x:c>
      <x:c r="D321" s="28" t="n">
        <x:v>89</x:v>
      </x:c>
      <x:c r="E321" s="39" t="n">
        <x:f>(C321-D321)/C321*100</x:f>
        <x:v>0</x:v>
      </x:c>
      <x:c r="F321" s="28" t="str">
        <x:f>IF(C321=D321,"YES","NO")</x:f>
        <x:v>YES</x:v>
      </x:c>
      <x:c r="G321" s="28" t="str">
        <x:v>Optimal</x:v>
      </x:c>
      <x:c r="H321" s="59" t="n">
        <x:v>0.66</x:v>
      </x:c>
    </x:row>
    <x:row r="322">
      <x:c r="A322" s="27" t="str">
        <x:v>bpps_d1000n25m5w10_100s10_100f0_seed0</x:v>
      </x:c>
      <x:c r="B322" s="28" t="n">
        <x:v>25</x:v>
      </x:c>
      <x:c r="C322" s="28" t="n">
        <x:v>4</x:v>
      </x:c>
      <x:c r="D322" s="28" t="n">
        <x:v>4</x:v>
      </x:c>
      <x:c r="E322" s="39" t="n">
        <x:f>(C322-D322)/C322*100</x:f>
        <x:v>0</x:v>
      </x:c>
      <x:c r="F322" s="28" t="str">
        <x:f>IF(C322=D322,"YES","NO")</x:f>
        <x:v>YES</x:v>
      </x:c>
      <x:c r="G322" s="28" t="str">
        <x:v>Optimal</x:v>
      </x:c>
      <x:c r="H322" s="59" t="n">
        <x:v>0.63</x:v>
      </x:c>
    </x:row>
    <x:row r="323">
      <x:c r="A323" s="27" t="str">
        <x:v>bpps_d1000n25m5w10_100s10_100f1_seed0</x:v>
      </x:c>
      <x:c r="B323" s="28" t="n">
        <x:v>25</x:v>
      </x:c>
      <x:c r="C323" s="28" t="n">
        <x:v>77</x:v>
      </x:c>
      <x:c r="D323" s="28" t="n">
        <x:v>71</x:v>
      </x:c>
      <x:c r="E323" s="39" t="n">
        <x:f>(C323-D323)/C323*100</x:f>
        <x:v>7.792207792207792</x:v>
      </x:c>
      <x:c r="F323" s="28" t="str">
        <x:f>IF(C323=D323,"YES","NO")</x:f>
        <x:v>NO</x:v>
      </x:c>
      <x:c r="G323" s="28" t="str">
        <x:v>Optimal</x:v>
      </x:c>
      <x:c r="H323" s="59" t="n">
        <x:v>0.64</x:v>
      </x:c>
    </x:row>
    <x:row r="324">
      <x:c r="A324" s="27" t="str">
        <x:v>bpps_d1000n25m5w10_100s10_200f0_seed0</x:v>
      </x:c>
      <x:c r="B324" s="28" t="n">
        <x:v>25</x:v>
      </x:c>
      <x:c r="C324" s="28" t="n">
        <x:v>4</x:v>
      </x:c>
      <x:c r="D324" s="28" t="n">
        <x:v>4</x:v>
      </x:c>
      <x:c r="E324" s="39" t="n">
        <x:f>(C324-D324)/C324*100</x:f>
        <x:v>0</x:v>
      </x:c>
      <x:c r="F324" s="28" t="str">
        <x:f>IF(C324=D324,"YES","NO")</x:f>
        <x:v>YES</x:v>
      </x:c>
      <x:c r="G324" s="28" t="str">
        <x:v>Optimal</x:v>
      </x:c>
      <x:c r="H324" s="59" t="n">
        <x:v>0.59</x:v>
      </x:c>
    </x:row>
    <x:row r="325">
      <x:c r="A325" s="27" t="str">
        <x:v>bpps_d1000n25m5w10_100s10_200f1_seed0</x:v>
      </x:c>
      <x:c r="B325" s="28" t="n">
        <x:v>25</x:v>
      </x:c>
      <x:c r="C325" s="28" t="n">
        <x:v>80</x:v>
      </x:c>
      <x:c r="D325" s="28" t="n">
        <x:v>76</x:v>
      </x:c>
      <x:c r="E325" s="39" t="n">
        <x:f>(C325-D325)/C325*100</x:f>
        <x:v>5</x:v>
      </x:c>
      <x:c r="F325" s="28" t="str">
        <x:f>IF(C325=D325,"YES","NO")</x:f>
        <x:v>NO</x:v>
      </x:c>
      <x:c r="G325" s="28" t="str">
        <x:v>Optimal</x:v>
      </x:c>
      <x:c r="H325" s="59" t="n">
        <x:v>0.72</x:v>
      </x:c>
    </x:row>
    <x:row r="326">
      <x:c r="A326" s="27" t="str">
        <x:v>bpps_d1000n25m5w10_300s100_200f0_seed0</x:v>
      </x:c>
      <x:c r="B326" s="28" t="n">
        <x:v>25</x:v>
      </x:c>
      <x:c r="C326" s="28" t="n">
        <x:v>6</x:v>
      </x:c>
      <x:c r="D326" s="28" t="n">
        <x:v>5</x:v>
      </x:c>
      <x:c r="E326" s="39" t="n">
        <x:f>(C326-D326)/C326*100</x:f>
        <x:v>16.666666666666664</x:v>
      </x:c>
      <x:c r="F326" s="28" t="str">
        <x:f>IF(C326=D326,"YES","NO")</x:f>
        <x:v>NO</x:v>
      </x:c>
      <x:c r="G326" s="28" t="str">
        <x:v>Optimal</x:v>
      </x:c>
      <x:c r="H326" s="59" t="n">
        <x:v>3.25</x:v>
      </x:c>
    </x:row>
    <x:row r="327">
      <x:c r="A327" s="27" t="str">
        <x:v>bpps_d1000n25m5w10_300s100_200f1_seed0</x:v>
      </x:c>
      <x:c r="B327" s="28" t="n">
        <x:v>25</x:v>
      </x:c>
      <x:c r="C327" s="28" t="n">
        <x:v>91</x:v>
      </x:c>
      <x:c r="D327" s="28" t="n">
        <x:v>91</x:v>
      </x:c>
      <x:c r="E327" s="39" t="n">
        <x:f>(C327-D327)/C327*100</x:f>
        <x:v>0</x:v>
      </x:c>
      <x:c r="F327" s="28" t="str">
        <x:f>IF(C327=D327,"YES","NO")</x:f>
        <x:v>YES</x:v>
      </x:c>
      <x:c r="G327" s="28" t="str">
        <x:v>Optimal</x:v>
      </x:c>
      <x:c r="H327" s="59" t="n">
        <x:v>0.74</x:v>
      </x:c>
    </x:row>
    <x:row r="328">
      <x:c r="A328" s="27" t="str">
        <x:v>bpps_d1000n25m5w10_300s10_100f0_seed0</x:v>
      </x:c>
      <x:c r="B328" s="28" t="n">
        <x:v>25</x:v>
      </x:c>
      <x:c r="C328" s="28" t="n">
        <x:v>4</x:v>
      </x:c>
      <x:c r="D328" s="28" t="n">
        <x:v>4</x:v>
      </x:c>
      <x:c r="E328" s="39" t="n">
        <x:f>(C328-D328)/C328*100</x:f>
        <x:v>0</x:v>
      </x:c>
      <x:c r="F328" s="28" t="str">
        <x:f>IF(C328=D328,"YES","NO")</x:f>
        <x:v>YES</x:v>
      </x:c>
      <x:c r="G328" s="28" t="str">
        <x:v>Optimal</x:v>
      </x:c>
      <x:c r="H328" s="59" t="n">
        <x:v>0.8</x:v>
      </x:c>
    </x:row>
    <x:row r="329">
      <x:c r="A329" s="27" t="str">
        <x:v>bpps_d1000n25m5w10_300s10_100f1_seed0</x:v>
      </x:c>
      <x:c r="B329" s="28" t="n">
        <x:v>25</x:v>
      </x:c>
      <x:c r="C329" s="28" t="n">
        <x:v>84</x:v>
      </x:c>
      <x:c r="D329" s="28" t="n">
        <x:v>84</x:v>
      </x:c>
      <x:c r="E329" s="39" t="n">
        <x:f>(C329-D329)/C329*100</x:f>
        <x:v>0</x:v>
      </x:c>
      <x:c r="F329" s="28" t="str">
        <x:f>IF(C329=D329,"YES","NO")</x:f>
        <x:v>YES</x:v>
      </x:c>
      <x:c r="G329" s="28" t="str">
        <x:v>Optimal</x:v>
      </x:c>
      <x:c r="H329" s="59" t="n">
        <x:v>0.97</x:v>
      </x:c>
    </x:row>
    <x:row r="330">
      <x:c r="A330" s="27" t="str">
        <x:v>bpps_d1000n25m5w10_300s10_200f0_seed0</x:v>
      </x:c>
      <x:c r="B330" s="28" t="n">
        <x:v>25</x:v>
      </x:c>
      <x:c r="C330" s="28" t="n">
        <x:v>5</x:v>
      </x:c>
      <x:c r="D330" s="28" t="n">
        <x:v>5</x:v>
      </x:c>
      <x:c r="E330" s="39" t="n">
        <x:f>(C330-D330)/C330*100</x:f>
        <x:v>0</x:v>
      </x:c>
      <x:c r="F330" s="28" t="str">
        <x:f>IF(C330=D330,"YES","NO")</x:f>
        <x:v>YES</x:v>
      </x:c>
      <x:c r="G330" s="28" t="str">
        <x:v>Optimal</x:v>
      </x:c>
      <x:c r="H330" s="59" t="n">
        <x:v>3.28</x:v>
      </x:c>
    </x:row>
    <x:row r="331">
      <x:c r="A331" s="27" t="str">
        <x:v>bpps_d1000n25m5w10_300s10_200f1_seed0</x:v>
      </x:c>
      <x:c r="B331" s="28" t="n">
        <x:v>25</x:v>
      </x:c>
      <x:c r="C331" s="28" t="n">
        <x:v>94</x:v>
      </x:c>
      <x:c r="D331" s="28" t="n">
        <x:v>84</x:v>
      </x:c>
      <x:c r="E331" s="39" t="n">
        <x:f>(C331-D331)/C331*100</x:f>
        <x:v>10.638297872340425</x:v>
      </x:c>
      <x:c r="F331" s="28" t="str">
        <x:f>IF(C331=D331,"YES","NO")</x:f>
        <x:v>NO</x:v>
      </x:c>
      <x:c r="G331" s="28" t="str">
        <x:v>Optimal</x:v>
      </x:c>
      <x:c r="H331" s="59" t="n">
        <x:v>1</x:v>
      </x:c>
    </x:row>
    <x:row r="332">
      <x:c r="A332" s="27" t="str">
        <x:v>bpps_d1000n25m5w200_300s100_200f0_seed0</x:v>
      </x:c>
      <x:c r="B332" s="28" t="n">
        <x:v>25</x:v>
      </x:c>
      <x:c r="C332" s="28" t="n">
        <x:v>10</x:v>
      </x:c>
      <x:c r="D332" s="28" t="n">
        <x:v>9</x:v>
      </x:c>
      <x:c r="E332" s="39" t="n">
        <x:f>(C332-D332)/C332*100</x:f>
        <x:v>10</x:v>
      </x:c>
      <x:c r="F332" s="28" t="str">
        <x:f>IF(C332=D332,"YES","NO")</x:f>
        <x:v>NO</x:v>
      </x:c>
      <x:c r="G332" s="28" t="str">
        <x:v>Optimal</x:v>
      </x:c>
      <x:c r="H332" s="59" t="n">
        <x:v>1.16</x:v>
      </x:c>
    </x:row>
    <x:row r="333">
      <x:c r="A333" s="27" t="str">
        <x:v>bpps_d1000n25m5w200_300s100_200f1_seed0</x:v>
      </x:c>
      <x:c r="B333" s="28" t="n">
        <x:v>25</x:v>
      </x:c>
      <x:c r="C333" s="28" t="n">
        <x:v>120</x:v>
      </x:c>
      <x:c r="D333" s="28" t="n">
        <x:v>110</x:v>
      </x:c>
      <x:c r="E333" s="39" t="n">
        <x:f>(C333-D333)/C333*100</x:f>
        <x:v>8.333333333333332</x:v>
      </x:c>
      <x:c r="F333" s="28" t="str">
        <x:f>IF(C333=D333,"YES","NO")</x:f>
        <x:v>NO</x:v>
      </x:c>
      <x:c r="G333" s="28" t="str">
        <x:v>Optimal</x:v>
      </x:c>
      <x:c r="H333" s="59" t="n">
        <x:v>1.14</x:v>
      </x:c>
    </x:row>
    <x:row r="334">
      <x:c r="A334" s="27" t="str">
        <x:v>bpps_d1000n25m5w200_300s10_100f0_seed0</x:v>
      </x:c>
      <x:c r="B334" s="28" t="n">
        <x:v>25</x:v>
      </x:c>
      <x:c r="C334" s="28" t="n">
        <x:v>9</x:v>
      </x:c>
      <x:c r="D334" s="28" t="n">
        <x:v>8</x:v>
      </x:c>
      <x:c r="E334" s="39" t="n">
        <x:f>(C334-D334)/C334*100</x:f>
        <x:v>11.11111111111111</x:v>
      </x:c>
      <x:c r="F334" s="28" t="str">
        <x:f>IF(C334=D334,"YES","NO")</x:f>
        <x:v>NO</x:v>
      </x:c>
      <x:c r="G334" s="28" t="str">
        <x:v>Optimal</x:v>
      </x:c>
      <x:c r="H334" s="59" t="n">
        <x:v>0.75</x:v>
      </x:c>
    </x:row>
    <x:row r="335">
      <x:c r="A335" s="27" t="str">
        <x:v>bpps_d1000n25m5w200_300s10_100f1_seed0</x:v>
      </x:c>
      <x:c r="B335" s="28" t="n">
        <x:v>25</x:v>
      </x:c>
      <x:c r="C335" s="28" t="n">
        <x:v>116</x:v>
      </x:c>
      <x:c r="D335" s="28" t="n">
        <x:v>115</x:v>
      </x:c>
      <x:c r="E335" s="39" t="n">
        <x:f>(C335-D335)/C335*100</x:f>
        <x:v>0.8620689655172413</x:v>
      </x:c>
      <x:c r="F335" s="28" t="str">
        <x:f>IF(C335=D335,"YES","NO")</x:f>
        <x:v>NO</x:v>
      </x:c>
      <x:c r="G335" s="28" t="str">
        <x:v>Optimal</x:v>
      </x:c>
      <x:c r="H335" s="59" t="n">
        <x:v>0.97</x:v>
      </x:c>
    </x:row>
    <x:row r="336">
      <x:c r="A336" s="27" t="str">
        <x:v>bpps_d1000n25m5w200_300s10_200f0_seed0</x:v>
      </x:c>
      <x:c r="B336" s="28" t="n">
        <x:v>25</x:v>
      </x:c>
      <x:c r="C336" s="28" t="n">
        <x:v>9</x:v>
      </x:c>
      <x:c r="D336" s="28" t="n">
        <x:v>8</x:v>
      </x:c>
      <x:c r="E336" s="39" t="n">
        <x:f>(C336-D336)/C336*100</x:f>
        <x:v>11.11111111111111</x:v>
      </x:c>
      <x:c r="F336" s="28" t="str">
        <x:f>IF(C336=D336,"YES","NO")</x:f>
        <x:v>NO</x:v>
      </x:c>
      <x:c r="G336" s="28" t="str">
        <x:v>Optimal</x:v>
      </x:c>
      <x:c r="H336" s="59" t="n">
        <x:v>0.79</x:v>
      </x:c>
    </x:row>
    <x:row r="337">
      <x:c r="A337" s="27" t="str">
        <x:v>bpps_d1000n25m5w200_300s10_200f1_seed0</x:v>
      </x:c>
      <x:c r="B337" s="28" t="n">
        <x:v>25</x:v>
      </x:c>
      <x:c r="C337" s="28" t="n">
        <x:v>118</x:v>
      </x:c>
      <x:c r="D337" s="28" t="n">
        <x:v>110</x:v>
      </x:c>
      <x:c r="E337" s="39" t="n">
        <x:f>(C337-D337)/C337*100</x:f>
        <x:v>6.779661016949152</x:v>
      </x:c>
      <x:c r="F337" s="28" t="str">
        <x:f>IF(C337=D337,"YES","NO")</x:f>
        <x:v>NO</x:v>
      </x:c>
      <x:c r="G337" s="28" t="str">
        <x:v>Optimal</x:v>
      </x:c>
      <x:c r="H337" s="59" t="n">
        <x:v>3.25</x:v>
      </x:c>
    </x:row>
    <x:row r="338">
      <x:c r="A338" s="27" t="str">
        <x:v>bpps_d1000n50m10w100_200s100_200f0_seed0</x:v>
      </x:c>
      <x:c r="B338" s="28" t="n">
        <x:v>50</x:v>
      </x:c>
      <x:c r="C338" s="28" t="n">
        <x:v>13</x:v>
      </x:c>
      <x:c r="D338" s="28" t="n">
        <x:v>11</x:v>
      </x:c>
      <x:c r="E338" s="39" t="n">
        <x:f>(C338-D338)/C338*100</x:f>
        <x:v>15.384615384615385</x:v>
      </x:c>
      <x:c r="F338" s="28" t="str">
        <x:f>IF(C338=D338,"YES","NO")</x:f>
        <x:v>NO</x:v>
      </x:c>
      <x:c r="G338" s="28" t="str">
        <x:v>Optimal</x:v>
      </x:c>
      <x:c r="H338" s="59" t="n">
        <x:v>5.09</x:v>
      </x:c>
    </x:row>
    <x:row r="339">
      <x:c r="A339" s="27" t="str">
        <x:v>bpps_d1000n50m10w100_200s100_200f1_seed0</x:v>
      </x:c>
      <x:c r="B339" s="28" t="n">
        <x:v>50</x:v>
      </x:c>
      <x:c r="C339" s="28" t="n">
        <x:v>184</x:v>
      </x:c>
      <x:c r="D339" s="28" t="n">
        <x:v>171</x:v>
      </x:c>
      <x:c r="E339" s="39" t="n">
        <x:f>(C339-D339)/C339*100</x:f>
        <x:v>7.065217391304348</x:v>
      </x:c>
      <x:c r="F339" s="28" t="str">
        <x:f>IF(C339=D339,"YES","NO")</x:f>
        <x:v>NO</x:v>
      </x:c>
      <x:c r="G339" s="28" t="str">
        <x:v>Optimal</x:v>
      </x:c>
      <x:c r="H339" s="59" t="n">
        <x:v>2.62</x:v>
      </x:c>
    </x:row>
    <x:row r="340">
      <x:c r="A340" s="27" t="str">
        <x:v>bpps_d1000n50m10w100_200s10_100f0_seed0</x:v>
      </x:c>
      <x:c r="B340" s="28" t="n">
        <x:v>50</x:v>
      </x:c>
      <x:c r="C340" s="28" t="n">
        <x:v>10</x:v>
      </x:c>
      <x:c r="D340" s="28" t="n">
        <x:v>9</x:v>
      </x:c>
      <x:c r="E340" s="39" t="n">
        <x:f>(C340-D340)/C340*100</x:f>
        <x:v>10</x:v>
      </x:c>
      <x:c r="F340" s="28" t="str">
        <x:f>IF(C340=D340,"YES","NO")</x:f>
        <x:v>NO</x:v>
      </x:c>
      <x:c r="G340" s="28" t="str">
        <x:v>Optimal</x:v>
      </x:c>
      <x:c r="H340" s="59" t="n">
        <x:v>98.25</x:v>
      </x:c>
    </x:row>
    <x:row r="341">
      <x:c r="A341" s="27" t="str">
        <x:v>bpps_d1000n50m10w100_200s10_100f1_seed0</x:v>
      </x:c>
      <x:c r="B341" s="28" t="n">
        <x:v>50</x:v>
      </x:c>
      <x:c r="C341" s="28" t="n">
        <x:v>151</x:v>
      </x:c>
      <x:c r="D341" s="28" t="n">
        <x:v>149</x:v>
      </x:c>
      <x:c r="E341" s="39" t="n">
        <x:f>(C341-D341)/C341*100</x:f>
        <x:v>1.3245033112582782</x:v>
      </x:c>
      <x:c r="F341" s="28" t="str">
        <x:f>IF(C341=D341,"YES","NO")</x:f>
        <x:v>NO</x:v>
      </x:c>
      <x:c r="G341" s="28" t="str">
        <x:v>Optimal</x:v>
      </x:c>
      <x:c r="H341" s="59" t="n">
        <x:v>406.84</x:v>
      </x:c>
    </x:row>
    <x:row r="342">
      <x:c r="A342" s="27" t="str">
        <x:v>bpps_d1000n50m10w100_200s10_200f0_seed0</x:v>
      </x:c>
      <x:c r="B342" s="28" t="n">
        <x:v>50</x:v>
      </x:c>
      <x:c r="C342" s="28" t="n">
        <x:v>11</x:v>
      </x:c>
      <x:c r="D342" s="28" t="n">
        <x:v>10</x:v>
      </x:c>
      <x:c r="E342" s="39" t="n">
        <x:f>(C342-D342)/C342*100</x:f>
        <x:v>9.090909090909092</x:v>
      </x:c>
      <x:c r="F342" s="28" t="str">
        <x:f>IF(C342=D342,"YES","NO")</x:f>
        <x:v>NO</x:v>
      </x:c>
      <x:c r="G342" s="28" t="str">
        <x:v>Optimal</x:v>
      </x:c>
      <x:c r="H342" s="59" t="n">
        <x:v>1.15</x:v>
      </x:c>
    </x:row>
    <x:row r="343">
      <x:c r="A343" s="27" t="str">
        <x:v>bpps_d1000n50m10w100_200s10_200f1_seed0</x:v>
      </x:c>
      <x:c r="B343" s="28" t="n">
        <x:v>50</x:v>
      </x:c>
      <x:c r="C343" s="28" t="n">
        <x:v>172</x:v>
      </x:c>
      <x:c r="D343" s="28" t="n">
        <x:v>170</x:v>
      </x:c>
      <x:c r="E343" s="39" t="n">
        <x:f>(C343-D343)/C343*100</x:f>
        <x:v>1.1627906976744187</x:v>
      </x:c>
      <x:c r="F343" s="28" t="str">
        <x:f>IF(C343=D343,"YES","NO")</x:f>
        <x:v>NO</x:v>
      </x:c>
      <x:c r="G343" s="28" t="str">
        <x:v>Optimal</x:v>
      </x:c>
      <x:c r="H343" s="59" t="n">
        <x:v>0.71</x:v>
      </x:c>
    </x:row>
    <x:row r="344">
      <x:c r="A344" s="27" t="str">
        <x:v>bpps_d1000n50m10w10_100s100_200f0_seed0</x:v>
      </x:c>
      <x:c r="B344" s="28" t="n">
        <x:v>50</x:v>
      </x:c>
      <x:c r="C344" s="28" t="n">
        <x:v>7</x:v>
      </x:c>
      <x:c r="D344" s="28" t="n">
        <x:v>7</x:v>
      </x:c>
      <x:c r="E344" s="39" t="n">
        <x:f>(C344-D344)/C344*100</x:f>
        <x:v>0</x:v>
      </x:c>
      <x:c r="F344" s="28" t="str">
        <x:f>IF(C344=D344,"YES","NO")</x:f>
        <x:v>YES</x:v>
      </x:c>
      <x:c r="G344" s="28" t="str">
        <x:v>Optimal</x:v>
      </x:c>
      <x:c r="H344" s="59" t="n">
        <x:v>302.5</x:v>
      </x:c>
    </x:row>
    <x:row r="345">
      <x:c r="A345" s="27" t="str">
        <x:v>bpps_d1000n50m10w10_100s100_200f1_seed0</x:v>
      </x:c>
      <x:c r="B345" s="28" t="n">
        <x:v>50</x:v>
      </x:c>
      <x:c r="C345" s="28" t="n">
        <x:v>126</x:v>
      </x:c>
      <x:c r="D345" s="28" t="n">
        <x:v>112</x:v>
      </x:c>
      <x:c r="E345" s="39" t="n">
        <x:f>(C345-D345)/C345*100</x:f>
        <x:v>11.11111111111111</x:v>
      </x:c>
      <x:c r="F345" s="28" t="str">
        <x:f>IF(C345=D345,"YES","NO")</x:f>
        <x:v>NO</x:v>
      </x:c>
      <x:c r="G345" s="28" t="str">
        <x:v>Optimal</x:v>
      </x:c>
      <x:c r="H345" s="59" t="n">
        <x:v>10.1</x:v>
      </x:c>
    </x:row>
    <x:row r="346">
      <x:c r="A346" s="27" t="str">
        <x:v>bpps_d1000n50m10w10_100s10_100f0_seed0</x:v>
      </x:c>
      <x:c r="B346" s="28" t="n">
        <x:v>50</x:v>
      </x:c>
      <x:c r="C346" s="28" t="n">
        <x:v>6</x:v>
      </x:c>
      <x:c r="D346" s="28" t="n">
        <x:v>5</x:v>
      </x:c>
      <x:c r="E346" s="39" t="n">
        <x:f>(C346-D346)/C346*100</x:f>
        <x:v>16.666666666666664</x:v>
      </x:c>
      <x:c r="F346" s="28" t="str">
        <x:f>IF(C346=D346,"YES","NO")</x:f>
        <x:v>NO</x:v>
      </x:c>
      <x:c r="G346" s="28" t="str">
        <x:v>Optimal</x:v>
      </x:c>
      <x:c r="H346" s="59" t="n">
        <x:v>63.24</x:v>
      </x:c>
    </x:row>
    <x:row r="347">
      <x:c r="A347" s="27" t="str">
        <x:v>bpps_d1000n50m10w10_100s10_100f1_seed0</x:v>
      </x:c>
      <x:c r="B347" s="28" t="n">
        <x:v>50</x:v>
      </x:c>
      <x:c r="C347" s="28" t="n">
        <x:v>129</x:v>
      </x:c>
      <x:c r="D347" s="28" t="n">
        <x:v>111</x:v>
      </x:c>
      <x:c r="E347" s="39" t="n">
        <x:f>(C347-D347)/C347*100</x:f>
        <x:v>13.953488372093023</x:v>
      </x:c>
      <x:c r="F347" s="28" t="str">
        <x:f>IF(C347=D347,"YES","NO")</x:f>
        <x:v>NO</x:v>
      </x:c>
      <x:c r="G347" s="28" t="str">
        <x:v>Optimal</x:v>
      </x:c>
      <x:c r="H347" s="59" t="n">
        <x:v>27.17</x:v>
      </x:c>
    </x:row>
    <x:row r="348">
      <x:c r="A348" s="27" t="str">
        <x:v>bpps_d1000n50m10w10_100s10_200f0_seed0</x:v>
      </x:c>
      <x:c r="B348" s="28" t="n">
        <x:v>50</x:v>
      </x:c>
      <x:c r="C348" s="28" t="n">
        <x:v>7</x:v>
      </x:c>
      <x:c r="D348" s="28" t="n">
        <x:v>6</x:v>
      </x:c>
      <x:c r="E348" s="39" t="n">
        <x:f>(C348-D348)/C348*100</x:f>
        <x:v>14.285714285714285</x:v>
      </x:c>
      <x:c r="F348" s="28" t="str">
        <x:f>IF(C348=D348,"YES","NO")</x:f>
        <x:v>NO</x:v>
      </x:c>
      <x:c r="G348" s="28" t="str">
        <x:v>Optimal</x:v>
      </x:c>
      <x:c r="H348" s="59" t="n">
        <x:v>17.32</x:v>
      </x:c>
    </x:row>
    <x:row r="349">
      <x:c r="A349" s="27" t="str">
        <x:v>bpps_d1000n50m10w10_100s10_200f1_seed0</x:v>
      </x:c>
      <x:c r="B349" s="28" t="n">
        <x:v>50</x:v>
      </x:c>
      <x:c r="C349" s="28" t="n">
        <x:v>124</x:v>
      </x:c>
      <x:c r="D349" s="28" t="n">
        <x:v>114</x:v>
      </x:c>
      <x:c r="E349" s="39" t="n">
        <x:f>(C349-D349)/C349*100</x:f>
        <x:v>8.064516129032258</x:v>
      </x:c>
      <x:c r="F349" s="28" t="str">
        <x:f>IF(C349=D349,"YES","NO")</x:f>
        <x:v>NO</x:v>
      </x:c>
      <x:c r="G349" s="28" t="str">
        <x:v>Optimal</x:v>
      </x:c>
      <x:c r="H349" s="59" t="n">
        <x:v>3.38</x:v>
      </x:c>
    </x:row>
    <x:row r="350">
      <x:c r="A350" s="27" t="str">
        <x:v>bpps_d1000n50m10w10_300s100_200f0_seed0</x:v>
      </x:c>
      <x:c r="B350" s="28" t="n">
        <x:v>50</x:v>
      </x:c>
      <x:c r="C350" s="28" t="n">
        <x:v>13</x:v>
      </x:c>
      <x:c r="D350" s="28" t="n">
        <x:v>12</x:v>
      </x:c>
      <x:c r="E350" s="39" t="n">
        <x:f>(C350-D350)/C350*100</x:f>
        <x:v>7.6923076923076925</x:v>
      </x:c>
      <x:c r="F350" s="28" t="str">
        <x:f>IF(C350=D350,"YES","NO")</x:f>
        <x:v>NO</x:v>
      </x:c>
      <x:c r="G350" s="28" t="str">
        <x:v>Optimal</x:v>
      </x:c>
      <x:c r="H350" s="59" t="n">
        <x:v>1.25</x:v>
      </x:c>
    </x:row>
    <x:row r="351">
      <x:c r="A351" s="27" t="str">
        <x:v>bpps_d1000n50m10w10_300s100_200f1_seed0</x:v>
      </x:c>
      <x:c r="B351" s="28" t="n">
        <x:v>50</x:v>
      </x:c>
      <x:c r="C351" s="28" t="n">
        <x:v>188</x:v>
      </x:c>
      <x:c r="D351" s="28" t="n">
        <x:v>178</x:v>
      </x:c>
      <x:c r="E351" s="39" t="n">
        <x:f>(C351-D351)/C351*100</x:f>
        <x:v>5.319148936170213</x:v>
      </x:c>
      <x:c r="F351" s="28" t="str">
        <x:f>IF(C351=D351,"YES","NO")</x:f>
        <x:v>NO</x:v>
      </x:c>
      <x:c r="G351" s="28" t="str">
        <x:v>Optimal</x:v>
      </x:c>
      <x:c r="H351" s="59" t="n">
        <x:v>1.65</x:v>
      </x:c>
    </x:row>
    <x:row r="352">
      <x:c r="A352" s="27" t="str">
        <x:v>bpps_d1000n50m10w10_300s10_100f0_seed0</x:v>
      </x:c>
      <x:c r="B352" s="28" t="n">
        <x:v>50</x:v>
      </x:c>
      <x:c r="C352" s="28" t="n">
        <x:v>11</x:v>
      </x:c>
      <x:c r="D352" s="28" t="n">
        <x:v>10</x:v>
      </x:c>
      <x:c r="E352" s="39" t="n">
        <x:f>(C352-D352)/C352*100</x:f>
        <x:v>9.090909090909092</x:v>
      </x:c>
      <x:c r="F352" s="28" t="str">
        <x:f>IF(C352=D352,"YES","NO")</x:f>
        <x:v>NO</x:v>
      </x:c>
      <x:c r="G352" s="28" t="str">
        <x:v>Optimal</x:v>
      </x:c>
      <x:c r="H352" s="59" t="n">
        <x:v>2.18</x:v>
      </x:c>
    </x:row>
    <x:row r="353">
      <x:c r="A353" s="27" t="str">
        <x:v>bpps_d1000n50m10w10_300s10_100f1_seed0</x:v>
      </x:c>
      <x:c r="B353" s="28" t="n">
        <x:v>50</x:v>
      </x:c>
      <x:c r="C353" s="28" t="n">
        <x:v>180</x:v>
      </x:c>
      <x:c r="D353" s="28" t="n">
        <x:v>176</x:v>
      </x:c>
      <x:c r="E353" s="39" t="n">
        <x:f>(C353-D353)/C353*100</x:f>
        <x:v>2.2222222222222223</x:v>
      </x:c>
      <x:c r="F353" s="28" t="str">
        <x:f>IF(C353=D353,"YES","NO")</x:f>
        <x:v>NO</x:v>
      </x:c>
      <x:c r="G353" s="28" t="str">
        <x:v>Optimal</x:v>
      </x:c>
      <x:c r="H353" s="59" t="n">
        <x:v>6.55</x:v>
      </x:c>
    </x:row>
    <x:row r="354">
      <x:c r="A354" s="27" t="str">
        <x:v>bpps_d1000n50m10w10_300s10_200f0_seed0</x:v>
      </x:c>
      <x:c r="B354" s="28" t="n">
        <x:v>50</x:v>
      </x:c>
      <x:c r="C354" s="28" t="n">
        <x:v>13</x:v>
      </x:c>
      <x:c r="D354" s="28" t="n">
        <x:v>11</x:v>
      </x:c>
      <x:c r="E354" s="39" t="n">
        <x:f>(C354-D354)/C354*100</x:f>
        <x:v>15.384615384615385</x:v>
      </x:c>
      <x:c r="F354" s="28" t="str">
        <x:f>IF(C354=D354,"YES","NO")</x:f>
        <x:v>NO</x:v>
      </x:c>
      <x:c r="G354" s="28" t="str">
        <x:v>Optimal</x:v>
      </x:c>
      <x:c r="H354" s="59" t="n">
        <x:v>12.85</x:v>
      </x:c>
    </x:row>
    <x:row r="355">
      <x:c r="A355" s="27" t="str">
        <x:v>bpps_d1000n50m10w10_300s10_200f1_seed0</x:v>
      </x:c>
      <x:c r="B355" s="28" t="n">
        <x:v>50</x:v>
      </x:c>
      <x:c r="C355" s="28" t="n">
        <x:v>184</x:v>
      </x:c>
      <x:c r="D355" s="28" t="n">
        <x:v>173</x:v>
      </x:c>
      <x:c r="E355" s="39" t="n">
        <x:f>(C355-D355)/C355*100</x:f>
        <x:v>5.978260869565218</x:v>
      </x:c>
      <x:c r="F355" s="28" t="str">
        <x:f>IF(C355=D355,"YES","NO")</x:f>
        <x:v>NO</x:v>
      </x:c>
      <x:c r="G355" s="28" t="str">
        <x:v>Optimal</x:v>
      </x:c>
      <x:c r="H355" s="59" t="n">
        <x:v>1.34</x:v>
      </x:c>
    </x:row>
    <x:row r="356">
      <x:c r="A356" s="27" t="str">
        <x:v>bpps_d1000n50m10w200_300s100_200f0_seed0</x:v>
      </x:c>
      <x:c r="B356" s="28" t="n">
        <x:v>50</x:v>
      </x:c>
      <x:c r="C356" s="28" t="n">
        <x:v>18</x:v>
      </x:c>
      <x:c r="D356" s="28" t="n">
        <x:v>17</x:v>
      </x:c>
      <x:c r="E356" s="39" t="n">
        <x:f>(C356-D356)/C356*100</x:f>
        <x:v>5.555555555555555</x:v>
      </x:c>
      <x:c r="F356" s="28" t="str">
        <x:f>IF(C356=D356,"YES","NO")</x:f>
        <x:v>NO</x:v>
      </x:c>
      <x:c r="G356" s="28" t="str">
        <x:v>Optimal</x:v>
      </x:c>
      <x:c r="H356" s="59" t="n">
        <x:v>2.65</x:v>
      </x:c>
    </x:row>
    <x:row r="357">
      <x:c r="A357" s="27" t="str">
        <x:v>bpps_d1000n50m10w200_300s100_200f1_seed0</x:v>
      </x:c>
      <x:c r="B357" s="28" t="n">
        <x:v>50</x:v>
      </x:c>
      <x:c r="C357" s="28" t="n">
        <x:v>248</x:v>
      </x:c>
      <x:c r="D357" s="28" t="n">
        <x:v>237</x:v>
      </x:c>
      <x:c r="E357" s="39" t="n">
        <x:f>(C357-D357)/C357*100</x:f>
        <x:v>4.435483870967742</x:v>
      </x:c>
      <x:c r="F357" s="28" t="str">
        <x:f>IF(C357=D357,"YES","NO")</x:f>
        <x:v>NO</x:v>
      </x:c>
      <x:c r="G357" s="28" t="str">
        <x:v>Optimal</x:v>
      </x:c>
      <x:c r="H357" s="59" t="n">
        <x:v>2.43</x:v>
      </x:c>
    </x:row>
    <x:row r="358">
      <x:c r="A358" s="27" t="str">
        <x:v>bpps_d1000n50m10w200_300s10_100f0_seed0</x:v>
      </x:c>
      <x:c r="B358" s="28" t="n">
        <x:v>50</x:v>
      </x:c>
      <x:c r="C358" s="28" t="n">
        <x:v>16</x:v>
      </x:c>
      <x:c r="D358" s="28" t="n">
        <x:v>15</x:v>
      </x:c>
      <x:c r="E358" s="39" t="n">
        <x:f>(C358-D358)/C358*100</x:f>
        <x:v>6.25</x:v>
      </x:c>
      <x:c r="F358" s="28" t="str">
        <x:f>IF(C358=D358,"YES","NO")</x:f>
        <x:v>NO</x:v>
      </x:c>
      <x:c r="G358" s="28" t="str">
        <x:v>Optimal</x:v>
      </x:c>
      <x:c r="H358" s="59" t="n">
        <x:v>600</x:v>
      </x:c>
    </x:row>
    <x:row r="359">
      <x:c r="A359" s="27" t="str">
        <x:v>bpps_d1000n50m10w200_300s10_100f1_seed0</x:v>
      </x:c>
      <x:c r="B359" s="28" t="n">
        <x:v>50</x:v>
      </x:c>
      <x:c r="C359" s="28" t="n">
        <x:v>230</x:v>
      </x:c>
      <x:c r="D359" s="28" t="n">
        <x:v>210</x:v>
      </x:c>
      <x:c r="E359" s="39" t="n">
        <x:f>(C359-D359)/C359*100</x:f>
        <x:v>8.695652173913043</x:v>
      </x:c>
      <x:c r="F359" s="28" t="str">
        <x:f>IF(C359=D359,"YES","NO")</x:f>
        <x:v>NO</x:v>
      </x:c>
      <x:c r="G359" s="28" t="str">
        <x:v>Optimal</x:v>
      </x:c>
      <x:c r="H359" s="59" t="n">
        <x:v>1.36</x:v>
      </x:c>
    </x:row>
    <x:row r="360">
      <x:c r="A360" s="27" t="str">
        <x:v>bpps_d1000n50m10w200_300s10_200f0_seed0</x:v>
      </x:c>
      <x:c r="B360" s="28" t="n">
        <x:v>50</x:v>
      </x:c>
      <x:c r="C360" s="28" t="n">
        <x:v>17</x:v>
      </x:c>
      <x:c r="D360" s="28" t="n">
        <x:v>16</x:v>
      </x:c>
      <x:c r="E360" s="39" t="n">
        <x:f>(C360-D360)/C360*100</x:f>
        <x:v>5.88235294117647</x:v>
      </x:c>
      <x:c r="F360" s="28" t="str">
        <x:f>IF(C360=D360,"YES","NO")</x:f>
        <x:v>NO</x:v>
      </x:c>
      <x:c r="G360" s="28" t="str">
        <x:v>Optimal</x:v>
      </x:c>
      <x:c r="H360" s="59" t="n">
        <x:v>0.73</x:v>
      </x:c>
    </x:row>
    <x:row r="361">
      <x:c r="A361" s="27" t="str">
        <x:v>bpps_d1000n50m10w200_300s10_200f1_seed0</x:v>
      </x:c>
      <x:c r="B361" s="28" t="n">
        <x:v>50</x:v>
      </x:c>
      <x:c r="C361" s="28" t="n">
        <x:v>251</x:v>
      </x:c>
      <x:c r="D361" s="28" t="n">
        <x:v>231</x:v>
      </x:c>
      <x:c r="E361" s="39" t="n">
        <x:f>(C361-D361)/C361*100</x:f>
        <x:v>7.968127490039841</x:v>
      </x:c>
      <x:c r="F361" s="28" t="str">
        <x:f>IF(C361=D361,"YES","NO")</x:f>
        <x:v>NO</x:v>
      </x:c>
      <x:c r="G361" s="28" t="str">
        <x:v>Optimal</x:v>
      </x:c>
      <x:c r="H361" s="59" t="n">
        <x:v>2.29</x:v>
      </x:c>
    </x:row>
    <x:row r="362">
      <x:c r="A362" s="27" t="str">
        <x:v>bpps_d1000n50m5w100_200s100_200f0_seed0</x:v>
      </x:c>
      <x:c r="B362" s="28" t="n">
        <x:v>50</x:v>
      </x:c>
      <x:c r="C362" s="28" t="n">
        <x:v>11</x:v>
      </x:c>
      <x:c r="D362" s="28" t="n">
        <x:v>10</x:v>
      </x:c>
      <x:c r="E362" s="39" t="n">
        <x:f>(C362-D362)/C362*100</x:f>
        <x:v>9.090909090909092</x:v>
      </x:c>
      <x:c r="F362" s="28" t="str">
        <x:f>IF(C362=D362,"YES","NO")</x:f>
        <x:v>NO</x:v>
      </x:c>
      <x:c r="G362" s="28" t="str">
        <x:v>Optimal</x:v>
      </x:c>
      <x:c r="H362" s="59" t="n">
        <x:v>4.61</x:v>
      </x:c>
    </x:row>
    <x:row r="363">
      <x:c r="A363" s="27" t="str">
        <x:v>bpps_d1000n50m5w100_200s100_200f1_seed0</x:v>
      </x:c>
      <x:c r="B363" s="28" t="n">
        <x:v>50</x:v>
      </x:c>
      <x:c r="C363" s="28" t="n">
        <x:v>154</x:v>
      </x:c>
      <x:c r="D363" s="28" t="n">
        <x:v>144</x:v>
      </x:c>
      <x:c r="E363" s="39" t="n">
        <x:f>(C363-D363)/C363*100</x:f>
        <x:v>6.493506493506493</x:v>
      </x:c>
      <x:c r="F363" s="28" t="str">
        <x:f>IF(C363=D363,"YES","NO")</x:f>
        <x:v>NO</x:v>
      </x:c>
      <x:c r="G363" s="28" t="str">
        <x:v>Optimal</x:v>
      </x:c>
      <x:c r="H363" s="59" t="n">
        <x:v>1.57</x:v>
      </x:c>
    </x:row>
    <x:row r="364">
      <x:c r="A364" s="27" t="str">
        <x:v>bpps_d1000n50m5w100_200s10_100f0_seed0</x:v>
      </x:c>
      <x:c r="B364" s="28" t="n">
        <x:v>50</x:v>
      </x:c>
      <x:c r="C364" s="28" t="n">
        <x:v>9</x:v>
      </x:c>
      <x:c r="D364" s="28" t="n">
        <x:v>9</x:v>
      </x:c>
      <x:c r="E364" s="39" t="n">
        <x:f>(C364-D364)/C364*100</x:f>
        <x:v>0</x:v>
      </x:c>
      <x:c r="F364" s="28" t="str">
        <x:f>IF(C364=D364,"YES","NO")</x:f>
        <x:v>YES</x:v>
      </x:c>
      <x:c r="G364" s="28" t="str">
        <x:v>Optimal</x:v>
      </x:c>
      <x:c r="H364" s="59" t="n">
        <x:v>1.34</x:v>
      </x:c>
    </x:row>
    <x:row r="365">
      <x:c r="A365" s="27" t="str">
        <x:v>bpps_d1000n50m5w100_200s10_100f1_seed0</x:v>
      </x:c>
      <x:c r="B365" s="28" t="n">
        <x:v>50</x:v>
      </x:c>
      <x:c r="C365" s="28" t="n">
        <x:v>148</x:v>
      </x:c>
      <x:c r="D365" s="28" t="n">
        <x:v>138</x:v>
      </x:c>
      <x:c r="E365" s="39" t="n">
        <x:f>(C365-D365)/C365*100</x:f>
        <x:v>6.756756756756757</x:v>
      </x:c>
      <x:c r="F365" s="28" t="str">
        <x:f>IF(C365=D365,"YES","NO")</x:f>
        <x:v>NO</x:v>
      </x:c>
      <x:c r="G365" s="28" t="str">
        <x:v>Optimal</x:v>
      </x:c>
      <x:c r="H365" s="59" t="n">
        <x:v>1.17</x:v>
      </x:c>
    </x:row>
    <x:row r="366">
      <x:c r="A366" s="27" t="str">
        <x:v>bpps_d1000n50m5w100_200s10_200f0_seed0</x:v>
      </x:c>
      <x:c r="B366" s="28" t="n">
        <x:v>50</x:v>
      </x:c>
      <x:c r="C366" s="28" t="n">
        <x:v>10</x:v>
      </x:c>
      <x:c r="D366" s="28" t="n">
        <x:v>9</x:v>
      </x:c>
      <x:c r="E366" s="39" t="n">
        <x:f>(C366-D366)/C366*100</x:f>
        <x:v>10</x:v>
      </x:c>
      <x:c r="F366" s="28" t="str">
        <x:f>IF(C366=D366,"YES","NO")</x:f>
        <x:v>NO</x:v>
      </x:c>
      <x:c r="G366" s="28" t="str">
        <x:v>Optimal</x:v>
      </x:c>
      <x:c r="H366" s="59" t="n">
        <x:v>3.22</x:v>
      </x:c>
    </x:row>
    <x:row r="367">
      <x:c r="A367" s="27" t="str">
        <x:v>bpps_d1000n50m5w100_200s10_200f1_seed0</x:v>
      </x:c>
      <x:c r="B367" s="28" t="n">
        <x:v>50</x:v>
      </x:c>
      <x:c r="C367" s="28" t="n">
        <x:v>143</x:v>
      </x:c>
      <x:c r="D367" s="28" t="n">
        <x:v>143</x:v>
      </x:c>
      <x:c r="E367" s="39" t="n">
        <x:f>(C367-D367)/C367*100</x:f>
        <x:v>0</x:v>
      </x:c>
      <x:c r="F367" s="28" t="str">
        <x:f>IF(C367=D367,"YES","NO")</x:f>
        <x:v>YES</x:v>
      </x:c>
      <x:c r="G367" s="28" t="str">
        <x:v>Optimal</x:v>
      </x:c>
      <x:c r="H367" s="59" t="n">
        <x:v>1.42</x:v>
      </x:c>
    </x:row>
    <x:row r="368">
      <x:c r="A368" s="27" t="str">
        <x:v>bpps_d1000n50m5w10_100s100_200f0_seed0</x:v>
      </x:c>
      <x:c r="B368" s="28" t="n">
        <x:v>50</x:v>
      </x:c>
      <x:c r="C368" s="28" t="n">
        <x:v>7</x:v>
      </x:c>
      <x:c r="D368" s="28" t="n">
        <x:v>6</x:v>
      </x:c>
      <x:c r="E368" s="39" t="n">
        <x:f>(C368-D368)/C368*100</x:f>
        <x:v>14.285714285714285</x:v>
      </x:c>
      <x:c r="F368" s="28" t="str">
        <x:f>IF(C368=D368,"YES","NO")</x:f>
        <x:v>NO</x:v>
      </x:c>
      <x:c r="G368" s="28" t="str">
        <x:v>Optimal</x:v>
      </x:c>
      <x:c r="H368" s="59" t="n">
        <x:v>6.02</x:v>
      </x:c>
    </x:row>
    <x:row r="369">
      <x:c r="A369" s="27" t="str">
        <x:v>bpps_d1000n50m5w10_100s100_200f1_seed0</x:v>
      </x:c>
      <x:c r="B369" s="28" t="n">
        <x:v>50</x:v>
      </x:c>
      <x:c r="C369" s="28" t="n">
        <x:v>109</x:v>
      </x:c>
      <x:c r="D369" s="28" t="n">
        <x:v>100</x:v>
      </x:c>
      <x:c r="E369" s="39" t="n">
        <x:f>(C369-D369)/C369*100</x:f>
        <x:v>8.256880733944955</x:v>
      </x:c>
      <x:c r="F369" s="28" t="str">
        <x:f>IF(C369=D369,"YES","NO")</x:f>
        <x:v>NO</x:v>
      </x:c>
      <x:c r="G369" s="28" t="str">
        <x:v>Optimal</x:v>
      </x:c>
      <x:c r="H369" s="59" t="n">
        <x:v>14.33</x:v>
      </x:c>
    </x:row>
    <x:row r="370">
      <x:c r="A370" s="27" t="str">
        <x:v>bpps_d1000n50m5w10_100s10_100f0_seed0</x:v>
      </x:c>
      <x:c r="B370" s="28" t="n">
        <x:v>50</x:v>
      </x:c>
      <x:c r="C370" s="28" t="n">
        <x:v>6</x:v>
      </x:c>
      <x:c r="D370" s="28" t="n">
        <x:v>5</x:v>
      </x:c>
      <x:c r="E370" s="39" t="n">
        <x:f>(C370-D370)/C370*100</x:f>
        <x:v>16.666666666666664</x:v>
      </x:c>
      <x:c r="F370" s="28" t="str">
        <x:f>IF(C370=D370,"YES","NO")</x:f>
        <x:v>NO</x:v>
      </x:c>
      <x:c r="G370" s="28" t="str">
        <x:v>Optimal</x:v>
      </x:c>
      <x:c r="H370" s="59" t="n">
        <x:v>0.79</x:v>
      </x:c>
    </x:row>
    <x:row r="371">
      <x:c r="A371" s="27" t="str">
        <x:v>bpps_d1000n50m5w10_100s10_100f1_seed0</x:v>
      </x:c>
      <x:c r="B371" s="28" t="n">
        <x:v>50</x:v>
      </x:c>
      <x:c r="C371" s="28" t="n">
        <x:v>111</x:v>
      </x:c>
      <x:c r="D371" s="28" t="n">
        <x:v>104</x:v>
      </x:c>
      <x:c r="E371" s="39" t="n">
        <x:f>(C371-D371)/C371*100</x:f>
        <x:v>6.306306306306306</x:v>
      </x:c>
      <x:c r="F371" s="28" t="str">
        <x:f>IF(C371=D371,"YES","NO")</x:f>
        <x:v>NO</x:v>
      </x:c>
      <x:c r="G371" s="28" t="str">
        <x:v>Optimal</x:v>
      </x:c>
      <x:c r="H371" s="59" t="n">
        <x:v>17.73</x:v>
      </x:c>
    </x:row>
    <x:row r="372">
      <x:c r="A372" s="27" t="str">
        <x:v>bpps_d1000n50m5w10_100s10_200f0_seed0</x:v>
      </x:c>
      <x:c r="B372" s="28" t="n">
        <x:v>50</x:v>
      </x:c>
      <x:c r="C372" s="28" t="n">
        <x:v>7</x:v>
      </x:c>
      <x:c r="D372" s="28" t="n">
        <x:v>6</x:v>
      </x:c>
      <x:c r="E372" s="39" t="n">
        <x:f>(C372-D372)/C372*100</x:f>
        <x:v>14.285714285714285</x:v>
      </x:c>
      <x:c r="F372" s="28" t="str">
        <x:f>IF(C372=D372,"YES","NO")</x:f>
        <x:v>NO</x:v>
      </x:c>
      <x:c r="G372" s="28" t="str">
        <x:v>Optimal</x:v>
      </x:c>
      <x:c r="H372" s="59" t="n">
        <x:v>0.91</x:v>
      </x:c>
    </x:row>
    <x:row r="373">
      <x:c r="A373" s="27" t="str">
        <x:v>bpps_d1000n50m5w10_100s10_200f1_seed0</x:v>
      </x:c>
      <x:c r="B373" s="28" t="n">
        <x:v>50</x:v>
      </x:c>
      <x:c r="C373" s="28" t="n">
        <x:v>109</x:v>
      </x:c>
      <x:c r="D373" s="28" t="n">
        <x:v>95</x:v>
      </x:c>
      <x:c r="E373" s="39" t="n">
        <x:f>(C373-D373)/C373*100</x:f>
        <x:v>12.844036697247708</x:v>
      </x:c>
      <x:c r="F373" s="28" t="str">
        <x:f>IF(C373=D373,"YES","NO")</x:f>
        <x:v>NO</x:v>
      </x:c>
      <x:c r="G373" s="28" t="str">
        <x:v>Optimal</x:v>
      </x:c>
      <x:c r="H373" s="59" t="n">
        <x:v>35.98</x:v>
      </x:c>
    </x:row>
    <x:row r="374">
      <x:c r="A374" s="27" t="str">
        <x:v>bpps_d1000n50m5w10_300s100_200f0_seed0</x:v>
      </x:c>
      <x:c r="B374" s="28" t="n">
        <x:v>50</x:v>
      </x:c>
      <x:c r="C374" s="28" t="n">
        <x:v>13</x:v>
      </x:c>
      <x:c r="D374" s="28" t="n">
        <x:v>11</x:v>
      </x:c>
      <x:c r="E374" s="39" t="n">
        <x:f>(C374-D374)/C374*100</x:f>
        <x:v>15.384615384615385</x:v>
      </x:c>
      <x:c r="F374" s="28" t="str">
        <x:f>IF(C374=D374,"YES","NO")</x:f>
        <x:v>NO</x:v>
      </x:c>
      <x:c r="G374" s="28" t="str">
        <x:v>Optimal</x:v>
      </x:c>
      <x:c r="H374" s="59" t="n">
        <x:v>0.79</x:v>
      </x:c>
    </x:row>
    <x:row r="375">
      <x:c r="A375" s="27" t="str">
        <x:v>bpps_d1000n50m5w10_300s100_200f1_seed0</x:v>
      </x:c>
      <x:c r="B375" s="28" t="n">
        <x:v>50</x:v>
      </x:c>
      <x:c r="C375" s="28" t="n">
        <x:v>171</x:v>
      </x:c>
      <x:c r="D375" s="28" t="n">
        <x:v>161</x:v>
      </x:c>
      <x:c r="E375" s="39" t="n">
        <x:f>(C375-D375)/C375*100</x:f>
        <x:v>5.847953216374268</x:v>
      </x:c>
      <x:c r="F375" s="28" t="str">
        <x:f>IF(C375=D375,"YES","NO")</x:f>
        <x:v>NO</x:v>
      </x:c>
      <x:c r="G375" s="28" t="str">
        <x:v>Optimal</x:v>
      </x:c>
      <x:c r="H375" s="59" t="n">
        <x:v>0.62</x:v>
      </x:c>
    </x:row>
    <x:row r="376">
      <x:c r="A376" s="27" t="str">
        <x:v>bpps_d1000n50m5w10_300s10_100f0_seed0</x:v>
      </x:c>
      <x:c r="B376" s="28" t="n">
        <x:v>50</x:v>
      </x:c>
      <x:c r="C376" s="28" t="n">
        <x:v>10</x:v>
      </x:c>
      <x:c r="D376" s="28" t="n">
        <x:v>10</x:v>
      </x:c>
      <x:c r="E376" s="39" t="n">
        <x:f>(C376-D376)/C376*100</x:f>
        <x:v>0</x:v>
      </x:c>
      <x:c r="F376" s="28" t="str">
        <x:f>IF(C376=D376,"YES","NO")</x:f>
        <x:v>YES</x:v>
      </x:c>
      <x:c r="G376" s="28" t="str">
        <x:v>Optimal</x:v>
      </x:c>
      <x:c r="H376" s="59" t="n">
        <x:v>2.92</x:v>
      </x:c>
    </x:row>
    <x:row r="377">
      <x:c r="A377" s="27" t="str">
        <x:v>bpps_d1000n50m5w10_300s10_100f1_seed0</x:v>
      </x:c>
      <x:c r="B377" s="28" t="n">
        <x:v>50</x:v>
      </x:c>
      <x:c r="C377" s="28" t="n">
        <x:v>146</x:v>
      </x:c>
      <x:c r="D377" s="28" t="n">
        <x:v>145</x:v>
      </x:c>
      <x:c r="E377" s="39" t="n">
        <x:f>(C377-D377)/C377*100</x:f>
        <x:v>0.684931506849315</x:v>
      </x:c>
      <x:c r="F377" s="28" t="str">
        <x:f>IF(C377=D377,"YES","NO")</x:f>
        <x:v>NO</x:v>
      </x:c>
      <x:c r="G377" s="28" t="str">
        <x:v>Optimal</x:v>
      </x:c>
      <x:c r="H377" s="59" t="n">
        <x:v>1.08</x:v>
      </x:c>
    </x:row>
    <x:row r="378">
      <x:c r="A378" s="27" t="str">
        <x:v>bpps_d1000n50m5w10_300s10_200f0_seed0</x:v>
      </x:c>
      <x:c r="B378" s="28" t="n">
        <x:v>50</x:v>
      </x:c>
      <x:c r="C378" s="28" t="n">
        <x:v>12</x:v>
      </x:c>
      <x:c r="D378" s="28" t="n">
        <x:v>11</x:v>
      </x:c>
      <x:c r="E378" s="39" t="n">
        <x:f>(C378-D378)/C378*100</x:f>
        <x:v>8.333333333333332</x:v>
      </x:c>
      <x:c r="F378" s="28" t="str">
        <x:f>IF(C378=D378,"YES","NO")</x:f>
        <x:v>NO</x:v>
      </x:c>
      <x:c r="G378" s="28" t="str">
        <x:v>Optimal</x:v>
      </x:c>
      <x:c r="H378" s="59" t="n">
        <x:v>1.36</x:v>
      </x:c>
    </x:row>
    <x:row r="379">
      <x:c r="A379" s="27" t="str">
        <x:v>bpps_d1000n50m5w10_300s10_200f1_seed0</x:v>
      </x:c>
      <x:c r="B379" s="28" t="n">
        <x:v>50</x:v>
      </x:c>
      <x:c r="C379" s="28" t="n">
        <x:v>158</x:v>
      </x:c>
      <x:c r="D379" s="28" t="n">
        <x:v>148</x:v>
      </x:c>
      <x:c r="E379" s="39" t="n">
        <x:f>(C379-D379)/C379*100</x:f>
        <x:v>6.329113924050633</x:v>
      </x:c>
      <x:c r="F379" s="28" t="str">
        <x:f>IF(C379=D379,"YES","NO")</x:f>
        <x:v>NO</x:v>
      </x:c>
      <x:c r="G379" s="28" t="str">
        <x:v>Optimal</x:v>
      </x:c>
      <x:c r="H379" s="59" t="n">
        <x:v>9.93</x:v>
      </x:c>
    </x:row>
    <x:row r="380">
      <x:c r="A380" s="27" t="str">
        <x:v>bpps_d1000n50m5w200_300s100_200f0_seed0</x:v>
      </x:c>
      <x:c r="B380" s="28" t="n">
        <x:v>50</x:v>
      </x:c>
      <x:c r="C380" s="28" t="n">
        <x:v>18</x:v>
      </x:c>
      <x:c r="D380" s="28" t="n">
        <x:v>16</x:v>
      </x:c>
      <x:c r="E380" s="39" t="n">
        <x:f>(C380-D380)/C380*100</x:f>
        <x:v>11.11111111111111</x:v>
      </x:c>
      <x:c r="F380" s="28" t="str">
        <x:f>IF(C380=D380,"YES","NO")</x:f>
        <x:v>NO</x:v>
      </x:c>
      <x:c r="G380" s="28" t="str">
        <x:v>Optimal</x:v>
      </x:c>
      <x:c r="H380" s="59" t="n">
        <x:v>3.06</x:v>
      </x:c>
    </x:row>
    <x:row r="381">
      <x:c r="A381" s="27" t="str">
        <x:v>bpps_d1000n50m5w200_300s100_200f1_seed0</x:v>
      </x:c>
      <x:c r="B381" s="28" t="n">
        <x:v>50</x:v>
      </x:c>
      <x:c r="C381" s="28" t="n">
        <x:v>227</x:v>
      </x:c>
      <x:c r="D381" s="28" t="n">
        <x:v>217</x:v>
      </x:c>
      <x:c r="E381" s="39" t="n">
        <x:f>(C381-D381)/C381*100</x:f>
        <x:v>4.405286343612335</x:v>
      </x:c>
      <x:c r="F381" s="28" t="str">
        <x:f>IF(C381=D381,"YES","NO")</x:f>
        <x:v>NO</x:v>
      </x:c>
      <x:c r="G381" s="28" t="str">
        <x:v>Optimal</x:v>
      </x:c>
      <x:c r="H381" s="59" t="n">
        <x:v>2.14</x:v>
      </x:c>
    </x:row>
    <x:row r="382">
      <x:c r="A382" s="27" t="str">
        <x:v>bpps_d1000n50m5w200_300s10_100f0_seed0</x:v>
      </x:c>
      <x:c r="B382" s="28" t="n">
        <x:v>50</x:v>
      </x:c>
      <x:c r="C382" s="28" t="n">
        <x:v>15</x:v>
      </x:c>
      <x:c r="D382" s="28" t="n">
        <x:v>14</x:v>
      </x:c>
      <x:c r="E382" s="39" t="n">
        <x:f>(C382-D382)/C382*100</x:f>
        <x:v>6.666666666666667</x:v>
      </x:c>
      <x:c r="F382" s="28" t="str">
        <x:f>IF(C382=D382,"YES","NO")</x:f>
        <x:v>NO</x:v>
      </x:c>
      <x:c r="G382" s="28" t="str">
        <x:v>Optimal</x:v>
      </x:c>
      <x:c r="H382" s="59" t="n">
        <x:v>1.79</x:v>
      </x:c>
    </x:row>
    <x:row r="383">
      <x:c r="A383" s="27" t="str">
        <x:v>bpps_d1000n50m5w200_300s10_100f1_seed0</x:v>
      </x:c>
      <x:c r="B383" s="28" t="n">
        <x:v>50</x:v>
      </x:c>
      <x:c r="C383" s="28" t="n">
        <x:v>214</x:v>
      </x:c>
      <x:c r="D383" s="28" t="n">
        <x:v>204</x:v>
      </x:c>
      <x:c r="E383" s="39" t="n">
        <x:f>(C383-D383)/C383*100</x:f>
        <x:v>4.672897196261682</x:v>
      </x:c>
      <x:c r="F383" s="28" t="str">
        <x:f>IF(C383=D383,"YES","NO")</x:f>
        <x:v>NO</x:v>
      </x:c>
      <x:c r="G383" s="28" t="str">
        <x:v>Optimal</x:v>
      </x:c>
      <x:c r="H383" s="59" t="n">
        <x:v>499.64</x:v>
      </x:c>
    </x:row>
    <x:row r="384">
      <x:c r="A384" s="27" t="str">
        <x:v>bpps_d1000n50m5w200_300s10_200f0_seed0</x:v>
      </x:c>
      <x:c r="B384" s="28" t="n">
        <x:v>50</x:v>
      </x:c>
      <x:c r="C384" s="28" t="n">
        <x:v>16</x:v>
      </x:c>
      <x:c r="D384" s="28" t="n">
        <x:v>15</x:v>
      </x:c>
      <x:c r="E384" s="39" t="n">
        <x:f>(C384-D384)/C384*100</x:f>
        <x:v>6.25</x:v>
      </x:c>
      <x:c r="F384" s="28" t="str">
        <x:f>IF(C384=D384,"YES","NO")</x:f>
        <x:v>NO</x:v>
      </x:c>
      <x:c r="G384" s="28" t="str">
        <x:v>Optimal</x:v>
      </x:c>
      <x:c r="H384" s="59" t="n">
        <x:v>600.73</x:v>
      </x:c>
    </x:row>
    <x:row r="385">
      <x:c r="A385" s="27" t="str">
        <x:v>bpps_d1000n50m5w200_300s10_200f1_seed0</x:v>
      </x:c>
      <x:c r="B385" s="28" t="n">
        <x:v>50</x:v>
      </x:c>
      <x:c r="C385" s="28" t="n">
        <x:v>227</x:v>
      </x:c>
      <x:c r="D385" s="28" t="n">
        <x:v>214</x:v>
      </x:c>
      <x:c r="E385" s="39" t="n">
        <x:f>(C385-D385)/C385*100</x:f>
        <x:v>5.726872246696035</x:v>
      </x:c>
      <x:c r="F385" s="28" t="str">
        <x:f>IF(C385=D385,"YES","NO")</x:f>
        <x:v>NO</x:v>
      </x:c>
      <x:c r="G385" s="28" t="str">
        <x:v>Optimal</x:v>
      </x:c>
      <x:c r="H385" s="59" t="n">
        <x:v>1.63</x:v>
      </x:c>
    </x:row>
    <x:row r="386">
      <x:c r="A386" s="27" t="str">
        <x:v>bpps_d200n100m10w20_40s20_40f0_seed0</x:v>
      </x:c>
      <x:c r="B386" s="28" t="n">
        <x:v>100</x:v>
      </x:c>
      <x:c r="C386" s="28" t="n">
        <x:v>22</x:v>
      </x:c>
      <x:c r="D386" s="28" t="n">
        <x:v>19</x:v>
      </x:c>
      <x:c r="E386" s="39" t="n">
        <x:f>(C386-D386)/C386*100</x:f>
        <x:v>13.636363636363635</x:v>
      </x:c>
      <x:c r="F386" s="28" t="str">
        <x:f>IF(C386=D386,"YES","NO")</x:f>
        <x:v>NO</x:v>
      </x:c>
      <x:c r="G386" s="28" t="str">
        <x:v>Optimal</x:v>
      </x:c>
      <x:c r="H386" s="59" t="n">
        <x:v>216.22</x:v>
      </x:c>
    </x:row>
    <x:row r="387">
      <x:c r="A387" s="27" t="str">
        <x:v>bpps_d200n100m10w20_40s20_40f1_seed0</x:v>
      </x:c>
      <x:c r="B387" s="28" t="n">
        <x:v>100</x:v>
      </x:c>
      <x:c r="C387" s="28" t="n">
        <x:v>304</x:v>
      </x:c>
      <x:c r="D387" s="28" t="n">
        <x:v>276</x:v>
      </x:c>
      <x:c r="E387" s="39" t="n">
        <x:f>(C387-D387)/C387*100</x:f>
        <x:v>9.210526315789473</x:v>
      </x:c>
      <x:c r="F387" s="28" t="str">
        <x:f>IF(C387=D387,"YES","NO")</x:f>
        <x:v>NO</x:v>
      </x:c>
      <x:c r="G387" s="28" t="str">
        <x:v>Optimal</x:v>
      </x:c>
      <x:c r="H387" s="59" t="n">
        <x:v>1.9</x:v>
      </x:c>
    </x:row>
    <x:row r="388">
      <x:c r="A388" s="27" t="str">
        <x:v>bpps_d200n100m10w20_40s2_20f0_seed0</x:v>
      </x:c>
      <x:c r="B388" s="28" t="n">
        <x:v>100</x:v>
      </x:c>
      <x:c r="C388" s="28" t="n">
        <x:v>18</x:v>
      </x:c>
      <x:c r="D388" s="28" t="n">
        <x:v>17</x:v>
      </x:c>
      <x:c r="E388" s="39" t="n">
        <x:f>(C388-D388)/C388*100</x:f>
        <x:v>5.555555555555555</x:v>
      </x:c>
      <x:c r="F388" s="28" t="str">
        <x:f>IF(C388=D388,"YES","NO")</x:f>
        <x:v>NO</x:v>
      </x:c>
      <x:c r="G388" s="28" t="str">
        <x:v>Optimal</x:v>
      </x:c>
      <x:c r="H388" s="59" t="n">
        <x:v>1.89</x:v>
      </x:c>
    </x:row>
    <x:row r="389">
      <x:c r="A389" s="27" t="str">
        <x:v>bpps_d200n100m10w20_40s2_20f1_seed0</x:v>
      </x:c>
      <x:c r="B389" s="28" t="n">
        <x:v>100</x:v>
      </x:c>
      <x:c r="C389" s="28" t="n">
        <x:v>273</x:v>
      </x:c>
      <x:c r="D389" s="28" t="n">
        <x:v>259</x:v>
      </x:c>
      <x:c r="E389" s="39" t="n">
        <x:f>(C389-D389)/C389*100</x:f>
        <x:v>5.128205128205128</x:v>
      </x:c>
      <x:c r="F389" s="28" t="str">
        <x:f>IF(C389=D389,"YES","NO")</x:f>
        <x:v>NO</x:v>
      </x:c>
      <x:c r="G389" s="28" t="str">
        <x:v>Optimal</x:v>
      </x:c>
      <x:c r="H389" s="59" t="n">
        <x:v>314.19</x:v>
      </x:c>
    </x:row>
    <x:row r="390">
      <x:c r="A390" s="27" t="str">
        <x:v>bpps_d200n100m10w20_40s2_40f0_seed0</x:v>
      </x:c>
      <x:c r="B390" s="28" t="n">
        <x:v>100</x:v>
      </x:c>
      <x:c r="C390" s="28" t="n">
        <x:v>20</x:v>
      </x:c>
      <x:c r="D390" s="28" t="n">
        <x:v>18</x:v>
      </x:c>
      <x:c r="E390" s="39" t="n">
        <x:f>(C390-D390)/C390*100</x:f>
        <x:v>10</x:v>
      </x:c>
      <x:c r="F390" s="28" t="str">
        <x:f>IF(C390=D390,"YES","NO")</x:f>
        <x:v>NO</x:v>
      </x:c>
      <x:c r="G390" s="28" t="str">
        <x:v>Optimal</x:v>
      </x:c>
      <x:c r="H390" s="59" t="n">
        <x:v>18.57</x:v>
      </x:c>
    </x:row>
    <x:row r="391">
      <x:c r="A391" s="27" t="str">
        <x:v>bpps_d200n100m10w20_40s2_40f1_seed0</x:v>
      </x:c>
      <x:c r="B391" s="28" t="n">
        <x:v>100</x:v>
      </x:c>
      <x:c r="C391" s="28" t="n">
        <x:v>294</x:v>
      </x:c>
      <x:c r="D391" s="28" t="n">
        <x:v>274</x:v>
      </x:c>
      <x:c r="E391" s="39" t="n">
        <x:f>(C391-D391)/C391*100</x:f>
        <x:v>6.802721088435375</x:v>
      </x:c>
      <x:c r="F391" s="28" t="str">
        <x:f>IF(C391=D391,"YES","NO")</x:f>
        <x:v>NO</x:v>
      </x:c>
      <x:c r="G391" s="28" t="str">
        <x:v>Optimal</x:v>
      </x:c>
      <x:c r="H391" s="59" t="n">
        <x:v>3.6</x:v>
      </x:c>
    </x:row>
    <x:row r="392">
      <x:c r="A392" s="27" t="str">
        <x:v>bpps_d200n100m10w2_20s20_40f0_seed0</x:v>
      </x:c>
      <x:c r="B392" s="28" t="n">
        <x:v>100</x:v>
      </x:c>
      <x:c r="C392" s="28" t="n">
        <x:v>13</x:v>
      </x:c>
      <x:c r="D392" s="28" t="n">
        <x:v>10</x:v>
      </x:c>
      <x:c r="E392" s="39" t="n">
        <x:f>(C392-D392)/C392*100</x:f>
        <x:v>23.076923076923077</x:v>
      </x:c>
      <x:c r="F392" s="28" t="str">
        <x:f>IF(C392=D392,"YES","NO")</x:f>
        <x:v>NO</x:v>
      </x:c>
      <x:c r="G392" s="28" t="str">
        <x:v>Optimal</x:v>
      </x:c>
      <x:c r="H392" s="59" t="n">
        <x:v>3.03</x:v>
      </x:c>
    </x:row>
    <x:row r="393">
      <x:c r="A393" s="27" t="str">
        <x:v>bpps_d200n100m10w2_20s20_40f1_seed0</x:v>
      </x:c>
      <x:c r="B393" s="28" t="n">
        <x:v>100</x:v>
      </x:c>
      <x:c r="C393" s="28" t="n">
        <x:v>220</x:v>
      </x:c>
      <x:c r="D393" s="28" t="n">
        <x:v>184</x:v>
      </x:c>
      <x:c r="E393" s="39" t="n">
        <x:f>(C393-D393)/C393*100</x:f>
        <x:v>16.363636363636363</x:v>
      </x:c>
      <x:c r="F393" s="28" t="str">
        <x:f>IF(C393=D393,"YES","NO")</x:f>
        <x:v>NO</x:v>
      </x:c>
      <x:c r="G393" s="28" t="str">
        <x:v>Optimal</x:v>
      </x:c>
      <x:c r="H393" s="59" t="n">
        <x:v>4.07</x:v>
      </x:c>
    </x:row>
    <x:row r="394">
      <x:c r="A394" s="27" t="str">
        <x:v>bpps_d200n100m10w2_20s2_20f0_seed0</x:v>
      </x:c>
      <x:c r="B394" s="28" t="n">
        <x:v>100</x:v>
      </x:c>
      <x:c r="C394" s="28" t="n">
        <x:v>10</x:v>
      </x:c>
      <x:c r="D394" s="28" t="n">
        <x:v>8</x:v>
      </x:c>
      <x:c r="E394" s="39" t="n">
        <x:f>(C394-D394)/C394*100</x:f>
        <x:v>20</x:v>
      </x:c>
      <x:c r="F394" s="28" t="str">
        <x:f>IF(C394=D394,"YES","NO")</x:f>
        <x:v>NO</x:v>
      </x:c>
      <x:c r="G394" s="28" t="str">
        <x:v>Optimal</x:v>
      </x:c>
      <x:c r="H394" s="59" t="n">
        <x:v>18.84</x:v>
      </x:c>
    </x:row>
    <x:row r="395">
      <x:c r="A395" s="27" t="str">
        <x:v>bpps_d200n100m10w2_20s2_20f1_seed0</x:v>
      </x:c>
      <x:c r="B395" s="28" t="n">
        <x:v>100</x:v>
      </x:c>
      <x:c r="C395" s="28" t="n">
        <x:v>206</x:v>
      </x:c>
      <x:c r="D395" s="28" t="n">
        <x:v>164</x:v>
      </x:c>
      <x:c r="E395" s="39" t="n">
        <x:f>(C395-D395)/C395*100</x:f>
        <x:v>20.388349514563107</x:v>
      </x:c>
      <x:c r="F395" s="28" t="str">
        <x:f>IF(C395=D395,"YES","NO")</x:f>
        <x:v>NO</x:v>
      </x:c>
      <x:c r="G395" s="28" t="str">
        <x:v>Optimal</x:v>
      </x:c>
      <x:c r="H395" s="59" t="n">
        <x:v>302.92</x:v>
      </x:c>
    </x:row>
    <x:row r="396">
      <x:c r="A396" s="27" t="str">
        <x:v>bpps_d200n100m10w2_20s2_40f0_seed0</x:v>
      </x:c>
      <x:c r="B396" s="28" t="n">
        <x:v>100</x:v>
      </x:c>
      <x:c r="C396" s="28" t="n">
        <x:v>11</x:v>
      </x:c>
      <x:c r="D396" s="28" t="n">
        <x:v>9</x:v>
      </x:c>
      <x:c r="E396" s="39" t="n">
        <x:f>(C396-D396)/C396*100</x:f>
        <x:v>18.181818181818183</x:v>
      </x:c>
      <x:c r="F396" s="28" t="str">
        <x:f>IF(C396=D396,"YES","NO")</x:f>
        <x:v>NO</x:v>
      </x:c>
      <x:c r="G396" s="28" t="str">
        <x:v>Optimal</x:v>
      </x:c>
      <x:c r="H396" s="59" t="n">
        <x:v>1.23</x:v>
      </x:c>
    </x:row>
    <x:row r="397">
      <x:c r="A397" s="27" t="str">
        <x:v>bpps_d200n100m10w2_20s2_40f1_seed0</x:v>
      </x:c>
      <x:c r="B397" s="28" t="n">
        <x:v>100</x:v>
      </x:c>
      <x:c r="C397" s="28" t="n">
        <x:v>220</x:v>
      </x:c>
      <x:c r="D397" s="28" t="n">
        <x:v>181</x:v>
      </x:c>
      <x:c r="E397" s="39" t="n">
        <x:f>(C397-D397)/C397*100</x:f>
        <x:v>17.727272727272727</x:v>
      </x:c>
      <x:c r="F397" s="28" t="str">
        <x:f>IF(C397=D397,"YES","NO")</x:f>
        <x:v>NO</x:v>
      </x:c>
      <x:c r="G397" s="28" t="str">
        <x:v>Optimal</x:v>
      </x:c>
      <x:c r="H397" s="59" t="n">
        <x:v>300.79</x:v>
      </x:c>
    </x:row>
    <x:row r="398">
      <x:c r="A398" s="27" t="str">
        <x:v>bpps_d200n100m10w2_60s20_40f0_seed0</x:v>
      </x:c>
      <x:c r="B398" s="28" t="n">
        <x:v>100</x:v>
      </x:c>
      <x:c r="C398" s="28" t="n">
        <x:v>23</x:v>
      </x:c>
      <x:c r="D398" s="28" t="n">
        <x:v>21</x:v>
      </x:c>
      <x:c r="E398" s="39" t="n">
        <x:f>(C398-D398)/C398*100</x:f>
        <x:v>8.695652173913043</x:v>
      </x:c>
      <x:c r="F398" s="28" t="str">
        <x:f>IF(C398=D398,"YES","NO")</x:f>
        <x:v>NO</x:v>
      </x:c>
      <x:c r="G398" s="28" t="str">
        <x:v>Optimal</x:v>
      </x:c>
      <x:c r="H398" s="59" t="n">
        <x:v>2.13</x:v>
      </x:c>
    </x:row>
    <x:row r="399">
      <x:c r="A399" s="27" t="str">
        <x:v>bpps_d200n100m10w2_60s20_40f1_seed0</x:v>
      </x:c>
      <x:c r="B399" s="28" t="n">
        <x:v>100</x:v>
      </x:c>
      <x:c r="C399" s="28" t="n">
        <x:v>322</x:v>
      </x:c>
      <x:c r="D399" s="28" t="n">
        <x:v>298</x:v>
      </x:c>
      <x:c r="E399" s="39" t="n">
        <x:f>(C399-D399)/C399*100</x:f>
        <x:v>7.453416149068323</x:v>
      </x:c>
      <x:c r="F399" s="28" t="str">
        <x:f>IF(C399=D399,"YES","NO")</x:f>
        <x:v>NO</x:v>
      </x:c>
      <x:c r="G399" s="28" t="str">
        <x:v>Optimal</x:v>
      </x:c>
      <x:c r="H399" s="59" t="n">
        <x:v>13.11</x:v>
      </x:c>
    </x:row>
    <x:row r="400">
      <x:c r="A400" s="27" t="str">
        <x:v>bpps_d200n100m10w2_60s2_20f0_seed0</x:v>
      </x:c>
      <x:c r="B400" s="28" t="n">
        <x:v>100</x:v>
      </x:c>
      <x:c r="C400" s="28" t="n">
        <x:v>19</x:v>
      </x:c>
      <x:c r="D400" s="28" t="n">
        <x:v>19</x:v>
      </x:c>
      <x:c r="E400" s="39" t="n">
        <x:f>(C400-D400)/C400*100</x:f>
        <x:v>0</x:v>
      </x:c>
      <x:c r="F400" s="28" t="str">
        <x:f>IF(C400=D400,"YES","NO")</x:f>
        <x:v>YES</x:v>
      </x:c>
      <x:c r="G400" s="28" t="str">
        <x:v>Optimal</x:v>
      </x:c>
      <x:c r="H400" s="59" t="n">
        <x:v>1.3</x:v>
      </x:c>
    </x:row>
    <x:row r="401">
      <x:c r="A401" s="27" t="str">
        <x:v>bpps_d200n100m10w2_60s2_20f1_seed0</x:v>
      </x:c>
      <x:c r="B401" s="28" t="n">
        <x:v>100</x:v>
      </x:c>
      <x:c r="C401" s="28" t="n">
        <x:v>295</x:v>
      </x:c>
      <x:c r="D401" s="28" t="n">
        <x:v>287</x:v>
      </x:c>
      <x:c r="E401" s="39" t="n">
        <x:f>(C401-D401)/C401*100</x:f>
        <x:v>2.711864406779661</x:v>
      </x:c>
      <x:c r="F401" s="28" t="str">
        <x:f>IF(C401=D401,"YES","NO")</x:f>
        <x:v>NO</x:v>
      </x:c>
      <x:c r="G401" s="28" t="str">
        <x:v>Optimal</x:v>
      </x:c>
      <x:c r="H401" s="59" t="n">
        <x:v>2.2</x:v>
      </x:c>
    </x:row>
    <x:row r="402">
      <x:c r="A402" s="27" t="str">
        <x:v>bpps_d200n100m10w2_60s2_40f0_seed0</x:v>
      </x:c>
      <x:c r="B402" s="28" t="n">
        <x:v>100</x:v>
      </x:c>
      <x:c r="C402" s="28" t="n">
        <x:v>22</x:v>
      </x:c>
      <x:c r="D402" s="28" t="n">
        <x:v>20</x:v>
      </x:c>
      <x:c r="E402" s="39" t="n">
        <x:f>(C402-D402)/C402*100</x:f>
        <x:v>9.090909090909092</x:v>
      </x:c>
      <x:c r="F402" s="28" t="str">
        <x:f>IF(C402=D402,"YES","NO")</x:f>
        <x:v>NO</x:v>
      </x:c>
      <x:c r="G402" s="28" t="str">
        <x:v>Optimal</x:v>
      </x:c>
      <x:c r="H402" s="59" t="n">
        <x:v>4.27</x:v>
      </x:c>
    </x:row>
    <x:row r="403">
      <x:c r="A403" s="27" t="str">
        <x:v>bpps_d200n100m10w2_60s2_40f1_seed0</x:v>
      </x:c>
      <x:c r="B403" s="28" t="n">
        <x:v>100</x:v>
      </x:c>
      <x:c r="C403" s="28" t="n">
        <x:v>302</x:v>
      </x:c>
      <x:c r="D403" s="28" t="n">
        <x:v>292</x:v>
      </x:c>
      <x:c r="E403" s="39" t="n">
        <x:f>(C403-D403)/C403*100</x:f>
        <x:v>3.3112582781456954</x:v>
      </x:c>
      <x:c r="F403" s="28" t="str">
        <x:f>IF(C403=D403,"YES","NO")</x:f>
        <x:v>NO</x:v>
      </x:c>
      <x:c r="G403" s="28" t="str">
        <x:v>Optimal</x:v>
      </x:c>
      <x:c r="H403" s="59" t="n">
        <x:v>33.86</x:v>
      </x:c>
    </x:row>
    <x:row r="404">
      <x:c r="A404" s="27" t="str">
        <x:v>bpps_d200n100m10w40_60s20_40f0_seed0</x:v>
      </x:c>
      <x:c r="B404" s="28" t="n">
        <x:v>100</x:v>
      </x:c>
      <x:c r="C404" s="28" t="n">
        <x:v>34</x:v>
      </x:c>
      <x:c r="D404" s="28" t="n">
        <x:v>31</x:v>
      </x:c>
      <x:c r="E404" s="39" t="n">
        <x:f>(C404-D404)/C404*100</x:f>
        <x:v>8.823529411764707</x:v>
      </x:c>
      <x:c r="F404" s="28" t="str">
        <x:f>IF(C404=D404,"YES","NO")</x:f>
        <x:v>NO</x:v>
      </x:c>
      <x:c r="G404" s="28" t="str">
        <x:v>Optimal</x:v>
      </x:c>
      <x:c r="H404" s="59" t="n">
        <x:v>16.83</x:v>
      </x:c>
    </x:row>
    <x:row r="405">
      <x:c r="A405" s="27" t="str">
        <x:v>bpps_d200n100m10w40_60s20_40f1_seed0</x:v>
      </x:c>
      <x:c r="B405" s="28" t="n">
        <x:v>100</x:v>
      </x:c>
      <x:c r="C405" s="28" t="n">
        <x:v>457</x:v>
      </x:c>
      <x:c r="D405" s="28" t="n">
        <x:v>422</x:v>
      </x:c>
      <x:c r="E405" s="39" t="n">
        <x:f>(C405-D405)/C405*100</x:f>
        <x:v>7.658643326039387</x:v>
      </x:c>
      <x:c r="F405" s="28" t="str">
        <x:f>IF(C405=D405,"YES","NO")</x:f>
        <x:v>NO</x:v>
      </x:c>
      <x:c r="G405" s="28" t="str">
        <x:v>Optimal</x:v>
      </x:c>
      <x:c r="H405" s="59" t="n">
        <x:v>105.3</x:v>
      </x:c>
    </x:row>
    <x:row r="406">
      <x:c r="A406" s="27" t="str">
        <x:v>bpps_d200n100m10w40_60s2_20f0_seed0</x:v>
      </x:c>
      <x:c r="B406" s="28" t="n">
        <x:v>100</x:v>
      </x:c>
      <x:c r="C406" s="28" t="n">
        <x:v>30</x:v>
      </x:c>
      <x:c r="D406" s="28" t="n">
        <x:v>27</x:v>
      </x:c>
      <x:c r="E406" s="39" t="n">
        <x:f>(C406-D406)/C406*100</x:f>
        <x:v>10</x:v>
      </x:c>
      <x:c r="F406" s="28" t="str">
        <x:f>IF(C406=D406,"YES","NO")</x:f>
        <x:v>NO</x:v>
      </x:c>
      <x:c r="G406" s="28" t="str">
        <x:v>Optimal</x:v>
      </x:c>
      <x:c r="H406" s="59" t="n">
        <x:v>6.21</x:v>
      </x:c>
    </x:row>
    <x:row r="407">
      <x:c r="A407" s="27" t="str">
        <x:v>bpps_d200n100m10w40_60s2_20f1_seed0</x:v>
      </x:c>
      <x:c r="B407" s="28" t="n">
        <x:v>100</x:v>
      </x:c>
      <x:c r="C407" s="28" t="n">
        <x:v>414</x:v>
      </x:c>
      <x:c r="D407" s="28" t="n">
        <x:v>381</x:v>
      </x:c>
      <x:c r="E407" s="39" t="n">
        <x:f>(C407-D407)/C407*100</x:f>
        <x:v>7.971014492753622</x:v>
      </x:c>
      <x:c r="F407" s="28" t="str">
        <x:f>IF(C407=D407,"YES","NO")</x:f>
        <x:v>NO</x:v>
      </x:c>
      <x:c r="G407" s="28" t="str">
        <x:v>Optimal</x:v>
      </x:c>
      <x:c r="H407" s="59" t="n">
        <x:v>8.2</x:v>
      </x:c>
    </x:row>
    <x:row r="408">
      <x:c r="A408" s="27" t="str">
        <x:v>bpps_d200n100m10w40_60s2_40f0_seed0</x:v>
      </x:c>
      <x:c r="B408" s="28" t="n">
        <x:v>100</x:v>
      </x:c>
      <x:c r="C408" s="28" t="n">
        <x:v>32</x:v>
      </x:c>
      <x:c r="D408" s="28" t="n">
        <x:v>29</x:v>
      </x:c>
      <x:c r="E408" s="39" t="n">
        <x:f>(C408-D408)/C408*100</x:f>
        <x:v>9.375</x:v>
      </x:c>
      <x:c r="F408" s="28" t="str">
        <x:f>IF(C408=D408,"YES","NO")</x:f>
        <x:v>NO</x:v>
      </x:c>
      <x:c r="G408" s="28" t="str">
        <x:v>Optimal</x:v>
      </x:c>
      <x:c r="H408" s="59" t="n">
        <x:v>98.29</x:v>
      </x:c>
    </x:row>
    <x:row r="409">
      <x:c r="A409" s="27" t="str">
        <x:v>bpps_d200n100m10w40_60s2_40f1_seed0</x:v>
      </x:c>
      <x:c r="B409" s="28" t="n">
        <x:v>100</x:v>
      </x:c>
      <x:c r="C409" s="28" t="n">
        <x:v>433</x:v>
      </x:c>
      <x:c r="D409" s="28" t="n">
        <x:v>408</x:v>
      </x:c>
      <x:c r="E409" s="39" t="n">
        <x:f>(C409-D409)/C409*100</x:f>
        <x:v>5.773672055427252</x:v>
      </x:c>
      <x:c r="F409" s="28" t="str">
        <x:f>IF(C409=D409,"YES","NO")</x:f>
        <x:v>NO</x:v>
      </x:c>
      <x:c r="G409" s="28" t="str">
        <x:v>Optimal</x:v>
      </x:c>
      <x:c r="H409" s="59" t="n">
        <x:v>600.46</x:v>
      </x:c>
    </x:row>
    <x:row r="410">
      <x:c r="A410" s="27" t="str">
        <x:v>bpps_d200n100m5w20_40s20_40f0_seed0</x:v>
      </x:c>
      <x:c r="B410" s="28" t="n">
        <x:v>100</x:v>
      </x:c>
      <x:c r="C410" s="28" t="n">
        <x:v>21</x:v>
      </x:c>
      <x:c r="D410" s="28" t="n">
        <x:v>19</x:v>
      </x:c>
      <x:c r="E410" s="39" t="n">
        <x:f>(C410-D410)/C410*100</x:f>
        <x:v>9.523809523809524</x:v>
      </x:c>
      <x:c r="F410" s="28" t="str">
        <x:f>IF(C410=D410,"YES","NO")</x:f>
        <x:v>NO</x:v>
      </x:c>
      <x:c r="G410" s="28" t="str">
        <x:v>Optimal</x:v>
      </x:c>
      <x:c r="H410" s="59" t="n">
        <x:v>3.94</x:v>
      </x:c>
    </x:row>
    <x:row r="411">
      <x:c r="A411" s="27" t="str">
        <x:v>bpps_d200n100m5w20_40s20_40f1_seed0</x:v>
      </x:c>
      <x:c r="B411" s="28" t="n">
        <x:v>100</x:v>
      </x:c>
      <x:c r="C411" s="28" t="n">
        <x:v>263</x:v>
      </x:c>
      <x:c r="D411" s="28" t="n">
        <x:v>250</x:v>
      </x:c>
      <x:c r="E411" s="39" t="n">
        <x:f>(C411-D411)/C411*100</x:f>
        <x:v>4.942965779467681</x:v>
      </x:c>
      <x:c r="F411" s="28" t="str">
        <x:f>IF(C411=D411,"YES","NO")</x:f>
        <x:v>NO</x:v>
      </x:c>
      <x:c r="G411" s="28" t="str">
        <x:v>Optimal</x:v>
      </x:c>
      <x:c r="H411" s="59" t="n">
        <x:v>4.06</x:v>
      </x:c>
    </x:row>
    <x:row r="412">
      <x:c r="A412" s="27" t="str">
        <x:v>bpps_d200n100m5w20_40s2_20f0_seed0</x:v>
      </x:c>
      <x:c r="B412" s="28" t="n">
        <x:v>100</x:v>
      </x:c>
      <x:c r="C412" s="28" t="n">
        <x:v>18</x:v>
      </x:c>
      <x:c r="D412" s="28" t="n">
        <x:v>17</x:v>
      </x:c>
      <x:c r="E412" s="39" t="n">
        <x:f>(C412-D412)/C412*100</x:f>
        <x:v>5.555555555555555</x:v>
      </x:c>
      <x:c r="F412" s="28" t="str">
        <x:f>IF(C412=D412,"YES","NO")</x:f>
        <x:v>NO</x:v>
      </x:c>
      <x:c r="G412" s="28" t="str">
        <x:v>Optimal</x:v>
      </x:c>
      <x:c r="H412" s="59" t="n">
        <x:v>2.58</x:v>
      </x:c>
    </x:row>
    <x:row r="413">
      <x:c r="A413" s="27" t="str">
        <x:v>bpps_d200n100m5w20_40s2_20f1_seed0</x:v>
      </x:c>
      <x:c r="B413" s="28" t="n">
        <x:v>100</x:v>
      </x:c>
      <x:c r="C413" s="28" t="n">
        <x:v>235</x:v>
      </x:c>
      <x:c r="D413" s="28" t="n">
        <x:v>221</x:v>
      </x:c>
      <x:c r="E413" s="39" t="n">
        <x:f>(C413-D413)/C413*100</x:f>
        <x:v>5.957446808510639</x:v>
      </x:c>
      <x:c r="F413" s="28" t="str">
        <x:f>IF(C413=D413,"YES","NO")</x:f>
        <x:v>NO</x:v>
      </x:c>
      <x:c r="G413" s="28" t="str">
        <x:v>Optimal</x:v>
      </x:c>
      <x:c r="H413" s="59" t="n">
        <x:v>435.78</x:v>
      </x:c>
    </x:row>
    <x:row r="414">
      <x:c r="A414" s="27" t="str">
        <x:v>bpps_d200n100m5w20_40s2_40f0_seed0</x:v>
      </x:c>
      <x:c r="B414" s="28" t="n">
        <x:v>100</x:v>
      </x:c>
      <x:c r="C414" s="28" t="n">
        <x:v>20</x:v>
      </x:c>
      <x:c r="D414" s="28" t="n">
        <x:v>18</x:v>
      </x:c>
      <x:c r="E414" s="39" t="n">
        <x:f>(C414-D414)/C414*100</x:f>
        <x:v>10</x:v>
      </x:c>
      <x:c r="F414" s="28" t="str">
        <x:f>IF(C414=D414,"YES","NO")</x:f>
        <x:v>NO</x:v>
      </x:c>
      <x:c r="G414" s="28" t="str">
        <x:v>Optimal</x:v>
      </x:c>
      <x:c r="H414" s="59" t="n">
        <x:v>14.29</x:v>
      </x:c>
    </x:row>
    <x:row r="415">
      <x:c r="A415" s="27" t="str">
        <x:v>bpps_d200n100m5w20_40s2_40f1_seed0</x:v>
      </x:c>
      <x:c r="B415" s="28" t="n">
        <x:v>100</x:v>
      </x:c>
      <x:c r="C415" s="28" t="n">
        <x:v>253</x:v>
      </x:c>
      <x:c r="D415" s="28" t="n">
        <x:v>240</x:v>
      </x:c>
      <x:c r="E415" s="39" t="n">
        <x:f>(C415-D415)/C415*100</x:f>
        <x:v>5.138339920948617</x:v>
      </x:c>
      <x:c r="F415" s="28" t="str">
        <x:f>IF(C415=D415,"YES","NO")</x:f>
        <x:v>NO</x:v>
      </x:c>
      <x:c r="G415" s="28" t="str">
        <x:v>Optimal</x:v>
      </x:c>
      <x:c r="H415" s="59" t="n">
        <x:v>17.5</x:v>
      </x:c>
    </x:row>
    <x:row r="416">
      <x:c r="A416" s="27" t="str">
        <x:v>bpps_d200n100m5w2_20s20_40f0_seed0</x:v>
      </x:c>
      <x:c r="B416" s="28" t="n">
        <x:v>100</x:v>
      </x:c>
      <x:c r="C416" s="28" t="n">
        <x:v>11</x:v>
      </x:c>
      <x:c r="D416" s="28" t="n">
        <x:v>8</x:v>
      </x:c>
      <x:c r="E416" s="39" t="n">
        <x:f>(C416-D416)/C416*100</x:f>
        <x:v>27.27272727272727</x:v>
      </x:c>
      <x:c r="F416" s="28" t="str">
        <x:f>IF(C416=D416,"YES","NO")</x:f>
        <x:v>NO</x:v>
      </x:c>
      <x:c r="G416" s="28" t="str">
        <x:v>Optimal</x:v>
      </x:c>
      <x:c r="H416" s="59" t="n">
        <x:v>16.19</x:v>
      </x:c>
    </x:row>
    <x:row r="417">
      <x:c r="A417" s="27" t="str">
        <x:v>bpps_d200n100m5w2_20s20_40f1_seed0</x:v>
      </x:c>
      <x:c r="B417" s="28" t="n">
        <x:v>100</x:v>
      </x:c>
      <x:c r="C417" s="28" t="n">
        <x:v>181</x:v>
      </x:c>
      <x:c r="D417" s="28" t="n">
        <x:v>149</x:v>
      </x:c>
      <x:c r="E417" s="39" t="n">
        <x:f>(C417-D417)/C417*100</x:f>
        <x:v>17.67955801104972</x:v>
      </x:c>
      <x:c r="F417" s="28" t="str">
        <x:f>IF(C417=D417,"YES","NO")</x:f>
        <x:v>NO</x:v>
      </x:c>
      <x:c r="G417" s="28" t="str">
        <x:v>Optimal</x:v>
      </x:c>
      <x:c r="H417" s="59" t="n">
        <x:v>2.4</x:v>
      </x:c>
    </x:row>
    <x:row r="418">
      <x:c r="A418" s="27" t="str">
        <x:v>bpps_d200n100m5w2_20s2_20f0_seed0</x:v>
      </x:c>
      <x:c r="B418" s="28" t="n">
        <x:v>100</x:v>
      </x:c>
      <x:c r="C418" s="28" t="n">
        <x:v>9</x:v>
      </x:c>
      <x:c r="D418" s="28" t="n">
        <x:v>7</x:v>
      </x:c>
      <x:c r="E418" s="39" t="n">
        <x:f>(C418-D418)/C418*100</x:f>
        <x:v>22.22222222222222</x:v>
      </x:c>
      <x:c r="F418" s="28" t="str">
        <x:f>IF(C418=D418,"YES","NO")</x:f>
        <x:v>NO</x:v>
      </x:c>
      <x:c r="G418" s="28" t="str">
        <x:v>Optimal</x:v>
      </x:c>
      <x:c r="H418" s="59" t="n">
        <x:v>4.86</x:v>
      </x:c>
    </x:row>
    <x:row r="419">
      <x:c r="A419" s="27" t="str">
        <x:v>bpps_d200n100m5w2_20s2_20f1_seed0</x:v>
      </x:c>
      <x:c r="B419" s="28" t="n">
        <x:v>100</x:v>
      </x:c>
      <x:c r="C419" s="28" t="n">
        <x:v>177</x:v>
      </x:c>
      <x:c r="D419" s="28" t="n">
        <x:v>134</x:v>
      </x:c>
      <x:c r="E419" s="39" t="n">
        <x:f>(C419-D419)/C419*100</x:f>
        <x:v>24.293785310734464</x:v>
      </x:c>
      <x:c r="F419" s="28" t="str">
        <x:f>IF(C419=D419,"YES","NO")</x:f>
        <x:v>NO</x:v>
      </x:c>
      <x:c r="G419" s="28" t="str">
        <x:v>Optimal</x:v>
      </x:c>
      <x:c r="H419" s="59" t="n">
        <x:v>158.38</x:v>
      </x:c>
    </x:row>
    <x:row r="420">
      <x:c r="A420" s="27" t="str">
        <x:v>bpps_d200n100m5w2_20s2_40f0_seed0</x:v>
      </x:c>
      <x:c r="B420" s="28" t="n">
        <x:v>100</x:v>
      </x:c>
      <x:c r="C420" s="28" t="n">
        <x:v>10</x:v>
      </x:c>
      <x:c r="D420" s="28" t="n">
        <x:v>8</x:v>
      </x:c>
      <x:c r="E420" s="39" t="n">
        <x:f>(C420-D420)/C420*100</x:f>
        <x:v>20</x:v>
      </x:c>
      <x:c r="F420" s="28" t="str">
        <x:f>IF(C420=D420,"YES","NO")</x:f>
        <x:v>NO</x:v>
      </x:c>
      <x:c r="G420" s="28" t="str">
        <x:v>Optimal</x:v>
      </x:c>
      <x:c r="H420" s="59" t="n">
        <x:v>300.47</x:v>
      </x:c>
    </x:row>
    <x:row r="421">
      <x:c r="A421" s="27" t="str">
        <x:v>bpps_d200n100m5w2_20s2_40f1_seed0</x:v>
      </x:c>
      <x:c r="B421" s="28" t="n">
        <x:v>100</x:v>
      </x:c>
      <x:c r="C421" s="28" t="n">
        <x:v>172</x:v>
      </x:c>
      <x:c r="D421" s="28" t="n">
        <x:v>131</x:v>
      </x:c>
      <x:c r="E421" s="39" t="n">
        <x:f>(C421-D421)/C421*100</x:f>
        <x:v>23.837209302325583</x:v>
      </x:c>
      <x:c r="F421" s="28" t="str">
        <x:f>IF(C421=D421,"YES","NO")</x:f>
        <x:v>NO</x:v>
      </x:c>
      <x:c r="G421" s="28" t="str">
        <x:v>Optimal</x:v>
      </x:c>
      <x:c r="H421" s="59" t="n">
        <x:v>2.94</x:v>
      </x:c>
    </x:row>
    <x:row r="422">
      <x:c r="A422" s="27" t="str">
        <x:v>bpps_d200n100m5w2_60s20_40f0_seed0</x:v>
      </x:c>
      <x:c r="B422" s="28" t="n">
        <x:v>100</x:v>
      </x:c>
      <x:c r="C422" s="28" t="n">
        <x:v>22</x:v>
      </x:c>
      <x:c r="D422" s="28" t="n">
        <x:v>21</x:v>
      </x:c>
      <x:c r="E422" s="39" t="n">
        <x:f>(C422-D422)/C422*100</x:f>
        <x:v>4.545454545454546</x:v>
      </x:c>
      <x:c r="F422" s="28" t="str">
        <x:f>IF(C422=D422,"YES","NO")</x:f>
        <x:v>NO</x:v>
      </x:c>
      <x:c r="G422" s="28" t="str">
        <x:v>Optimal</x:v>
      </x:c>
      <x:c r="H422" s="59" t="n">
        <x:v>2.85</x:v>
      </x:c>
    </x:row>
    <x:row r="423">
      <x:c r="A423" s="27" t="str">
        <x:v>bpps_d200n100m5w2_60s20_40f1_seed0</x:v>
      </x:c>
      <x:c r="B423" s="28" t="n">
        <x:v>100</x:v>
      </x:c>
      <x:c r="C423" s="28" t="n">
        <x:v>288</x:v>
      </x:c>
      <x:c r="D423" s="28" t="n">
        <x:v>278</x:v>
      </x:c>
      <x:c r="E423" s="39" t="n">
        <x:f>(C423-D423)/C423*100</x:f>
        <x:v>3.4722222222222223</x:v>
      </x:c>
      <x:c r="F423" s="28" t="str">
        <x:f>IF(C423=D423,"YES","NO")</x:f>
        <x:v>NO</x:v>
      </x:c>
      <x:c r="G423" s="28" t="str">
        <x:v>Optimal</x:v>
      </x:c>
      <x:c r="H423" s="59" t="n">
        <x:v>52.67</x:v>
      </x:c>
    </x:row>
    <x:row r="424">
      <x:c r="A424" s="27" t="str">
        <x:v>bpps_d200n100m5w2_60s2_20f0_seed0</x:v>
      </x:c>
      <x:c r="B424" s="28" t="n">
        <x:v>100</x:v>
      </x:c>
      <x:c r="C424" s="28" t="n">
        <x:v>19</x:v>
      </x:c>
      <x:c r="D424" s="28" t="n">
        <x:v>18</x:v>
      </x:c>
      <x:c r="E424" s="39" t="n">
        <x:f>(C424-D424)/C424*100</x:f>
        <x:v>5.263157894736842</x:v>
      </x:c>
      <x:c r="F424" s="28" t="str">
        <x:f>IF(C424=D424,"YES","NO")</x:f>
        <x:v>NO</x:v>
      </x:c>
      <x:c r="G424" s="28" t="str">
        <x:v>Optimal</x:v>
      </x:c>
      <x:c r="H424" s="59" t="n">
        <x:v>9.93</x:v>
      </x:c>
    </x:row>
    <x:row r="425">
      <x:c r="A425" s="27" t="str">
        <x:v>bpps_d200n100m5w2_60s2_20f1_seed0</x:v>
      </x:c>
      <x:c r="B425" s="28" t="n">
        <x:v>100</x:v>
      </x:c>
      <x:c r="C425" s="28" t="n">
        <x:v>264</x:v>
      </x:c>
      <x:c r="D425" s="28" t="n">
        <x:v>250</x:v>
      </x:c>
      <x:c r="E425" s="39" t="n">
        <x:f>(C425-D425)/C425*100</x:f>
        <x:v>5.303030303030303</x:v>
      </x:c>
      <x:c r="F425" s="28" t="str">
        <x:f>IF(C425=D425,"YES","NO")</x:f>
        <x:v>NO</x:v>
      </x:c>
      <x:c r="G425" s="28" t="str">
        <x:v>Optimal</x:v>
      </x:c>
      <x:c r="H425" s="59" t="n">
        <x:v>18.01</x:v>
      </x:c>
    </x:row>
    <x:row r="426">
      <x:c r="A426" s="27" t="str">
        <x:v>bpps_d200n100m5w2_60s2_40f0_seed0</x:v>
      </x:c>
      <x:c r="B426" s="28" t="n">
        <x:v>100</x:v>
      </x:c>
      <x:c r="C426" s="28" t="n">
        <x:v>20</x:v>
      </x:c>
      <x:c r="D426" s="28" t="n">
        <x:v>19</x:v>
      </x:c>
      <x:c r="E426" s="39" t="n">
        <x:f>(C426-D426)/C426*100</x:f>
        <x:v>5</x:v>
      </x:c>
      <x:c r="F426" s="28" t="str">
        <x:f>IF(C426=D426,"YES","NO")</x:f>
        <x:v>NO</x:v>
      </x:c>
      <x:c r="G426" s="28" t="str">
        <x:v>Optimal</x:v>
      </x:c>
      <x:c r="H426" s="59" t="n">
        <x:v>2.04</x:v>
      </x:c>
    </x:row>
    <x:row r="427">
      <x:c r="A427" s="27" t="str">
        <x:v>bpps_d200n100m5w2_60s2_40f1_seed0</x:v>
      </x:c>
      <x:c r="B427" s="28" t="n">
        <x:v>100</x:v>
      </x:c>
      <x:c r="C427" s="28" t="n">
        <x:v>275</x:v>
      </x:c>
      <x:c r="D427" s="28" t="n">
        <x:v>274</x:v>
      </x:c>
      <x:c r="E427" s="39" t="n">
        <x:f>(C427-D427)/C427*100</x:f>
        <x:v>0.36363636363636365</x:v>
      </x:c>
      <x:c r="F427" s="28" t="str">
        <x:f>IF(C427=D427,"YES","NO")</x:f>
        <x:v>NO</x:v>
      </x:c>
      <x:c r="G427" s="28" t="str">
        <x:v>Optimal</x:v>
      </x:c>
      <x:c r="H427" s="59" t="n">
        <x:v>4.46</x:v>
      </x:c>
    </x:row>
    <x:row r="428">
      <x:c r="A428" s="27" t="str">
        <x:v>bpps_d200n100m5w40_60s20_40f0_seed0</x:v>
      </x:c>
      <x:c r="B428" s="28" t="n">
        <x:v>100</x:v>
      </x:c>
      <x:c r="C428" s="28" t="n">
        <x:v>34</x:v>
      </x:c>
      <x:c r="D428" s="28" t="n">
        <x:v>31</x:v>
      </x:c>
      <x:c r="E428" s="39" t="n">
        <x:f>(C428-D428)/C428*100</x:f>
        <x:v>8.823529411764707</x:v>
      </x:c>
      <x:c r="F428" s="28" t="str">
        <x:f>IF(C428=D428,"YES","NO")</x:f>
        <x:v>NO</x:v>
      </x:c>
      <x:c r="G428" s="28" t="str">
        <x:v>Optimal</x:v>
      </x:c>
      <x:c r="H428" s="59" t="n">
        <x:v>14.81</x:v>
      </x:c>
    </x:row>
    <x:row r="429">
      <x:c r="A429" s="27" t="str">
        <x:v>bpps_d200n100m5w40_60s20_40f1_seed0</x:v>
      </x:c>
      <x:c r="B429" s="28" t="n">
        <x:v>100</x:v>
      </x:c>
      <x:c r="C429" s="28" t="n">
        <x:v>420</x:v>
      </x:c>
      <x:c r="D429" s="28" t="n">
        <x:v>410</x:v>
      </x:c>
      <x:c r="E429" s="39" t="n">
        <x:f>(C429-D429)/C429*100</x:f>
        <x:v>2.380952380952381</x:v>
      </x:c>
      <x:c r="F429" s="28" t="str">
        <x:f>IF(C429=D429,"YES","NO")</x:f>
        <x:v>NO</x:v>
      </x:c>
      <x:c r="G429" s="28" t="str">
        <x:v>Optimal</x:v>
      </x:c>
      <x:c r="H429" s="59" t="n">
        <x:v>601.04</x:v>
      </x:c>
    </x:row>
    <x:row r="430">
      <x:c r="A430" s="27" t="str">
        <x:v>bpps_d200n100m5w40_60s2_20f0_seed0</x:v>
      </x:c>
      <x:c r="B430" s="28" t="n">
        <x:v>100</x:v>
      </x:c>
      <x:c r="C430" s="28" t="n">
        <x:v>31</x:v>
      </x:c>
      <x:c r="D430" s="28" t="n">
        <x:v>28</x:v>
      </x:c>
      <x:c r="E430" s="39" t="n">
        <x:f>(C430-D430)/C430*100</x:f>
        <x:v>9.67741935483871</x:v>
      </x:c>
      <x:c r="F430" s="28" t="str">
        <x:f>IF(C430=D430,"YES","NO")</x:f>
        <x:v>NO</x:v>
      </x:c>
      <x:c r="G430" s="28" t="str">
        <x:v>Optimal</x:v>
      </x:c>
      <x:c r="H430" s="59" t="n">
        <x:v>600.65</x:v>
      </x:c>
    </x:row>
    <x:row r="431">
      <x:c r="A431" s="27" t="str">
        <x:v>bpps_d200n100m5w40_60s2_20f1_seed0</x:v>
      </x:c>
      <x:c r="B431" s="28" t="n">
        <x:v>100</x:v>
      </x:c>
      <x:c r="C431" s="28" t="n">
        <x:v>384</x:v>
      </x:c>
      <x:c r="D431" s="28" t="n">
        <x:v>370</x:v>
      </x:c>
      <x:c r="E431" s="39" t="n">
        <x:f>(C431-D431)/C431*100</x:f>
        <x:v>3.6458333333333335</x:v>
      </x:c>
      <x:c r="F431" s="28" t="str">
        <x:f>IF(C431=D431,"YES","NO")</x:f>
        <x:v>NO</x:v>
      </x:c>
      <x:c r="G431" s="28" t="str">
        <x:v>Optimal</x:v>
      </x:c>
      <x:c r="H431" s="59" t="n">
        <x:v>1.46</x:v>
      </x:c>
    </x:row>
    <x:row r="432">
      <x:c r="A432" s="27" t="str">
        <x:v>bpps_d200n100m5w40_60s2_40f0_seed0</x:v>
      </x:c>
      <x:c r="B432" s="28" t="n">
        <x:v>100</x:v>
      </x:c>
      <x:c r="C432" s="28" t="n">
        <x:v>32</x:v>
      </x:c>
      <x:c r="D432" s="28" t="n">
        <x:v>29</x:v>
      </x:c>
      <x:c r="E432" s="39" t="n">
        <x:f>(C432-D432)/C432*100</x:f>
        <x:v>9.375</x:v>
      </x:c>
      <x:c r="F432" s="28" t="str">
        <x:f>IF(C432=D432,"YES","NO")</x:f>
        <x:v>NO</x:v>
      </x:c>
      <x:c r="G432" s="28" t="str">
        <x:v>Optimal</x:v>
      </x:c>
      <x:c r="H432" s="59" t="n">
        <x:v>141.21</x:v>
      </x:c>
    </x:row>
    <x:row r="433">
      <x:c r="A433" s="27" t="str">
        <x:v>bpps_d200n100m5w40_60s2_40f1_seed0</x:v>
      </x:c>
      <x:c r="B433" s="28" t="n">
        <x:v>100</x:v>
      </x:c>
      <x:c r="C433" s="28" t="n">
        <x:v>410</x:v>
      </x:c>
      <x:c r="D433" s="28" t="n">
        <x:v>395</x:v>
      </x:c>
      <x:c r="E433" s="39" t="n">
        <x:f>(C433-D433)/C433*100</x:f>
        <x:v>3.6585365853658534</x:v>
      </x:c>
      <x:c r="F433" s="28" t="str">
        <x:f>IF(C433=D433,"YES","NO")</x:f>
        <x:v>NO</x:v>
      </x:c>
      <x:c r="G433" s="28" t="str">
        <x:v>Optimal</x:v>
      </x:c>
      <x:c r="H433" s="59" t="n">
        <x:v>8.56</x:v>
      </x:c>
    </x:row>
    <x:row r="434">
      <x:c r="A434" s="27" t="str">
        <x:v>bpps_d200n200m10w20_40s20_40f0_seed0</x:v>
      </x:c>
      <x:c r="B434" s="28" t="n">
        <x:v>200</x:v>
      </x:c>
      <x:c r="C434" s="28" t="n">
        <x:v>40</x:v>
      </x:c>
      <x:c r="D434" s="28" t="n">
        <x:v>36</x:v>
      </x:c>
      <x:c r="E434" s="39" t="n">
        <x:f>(C434-D434)/C434*100</x:f>
        <x:v>10</x:v>
      </x:c>
      <x:c r="F434" s="28" t="str">
        <x:f>IF(C434=D434,"YES","NO")</x:f>
        <x:v>NO</x:v>
      </x:c>
      <x:c r="G434" s="28" t="str">
        <x:v>Optimal</x:v>
      </x:c>
      <x:c r="H434" s="59" t="n">
        <x:v>132.93</x:v>
      </x:c>
    </x:row>
    <x:row r="435">
      <x:c r="A435" s="27" t="str">
        <x:v>bpps_d200n200m10w20_40s20_40f1_seed0</x:v>
      </x:c>
      <x:c r="B435" s="28" t="n">
        <x:v>200</x:v>
      </x:c>
      <x:c r="C435" s="28" t="n">
        <x:v>537</x:v>
      </x:c>
      <x:c r="D435" s="28" t="n">
        <x:v>503</x:v>
      </x:c>
      <x:c r="E435" s="39" t="n">
        <x:f>(C435-D435)/C435*100</x:f>
        <x:v>6.33147113594041</x:v>
      </x:c>
      <x:c r="F435" s="28" t="str">
        <x:f>IF(C435=D435,"YES","NO")</x:f>
        <x:v>NO</x:v>
      </x:c>
      <x:c r="G435" s="28" t="str">
        <x:v>Optimal</x:v>
      </x:c>
      <x:c r="H435" s="59" t="n">
        <x:v>17.37</x:v>
      </x:c>
    </x:row>
    <x:row r="436">
      <x:c r="A436" s="27" t="str">
        <x:v>bpps_d200n200m10w20_40s2_20f0_seed0</x:v>
      </x:c>
      <x:c r="B436" s="28" t="n">
        <x:v>200</x:v>
      </x:c>
      <x:c r="C436" s="28" t="n">
        <x:v>35</x:v>
      </x:c>
      <x:c r="D436" s="28" t="n">
        <x:v>32</x:v>
      </x:c>
      <x:c r="E436" s="39" t="n">
        <x:f>(C436-D436)/C436*100</x:f>
        <x:v>8.571428571428571</x:v>
      </x:c>
      <x:c r="F436" s="28" t="str">
        <x:f>IF(C436=D436,"YES","NO")</x:f>
        <x:v>NO</x:v>
      </x:c>
      <x:c r="G436" s="28" t="str">
        <x:v>Optimal</x:v>
      </x:c>
      <x:c r="H436" s="59" t="n">
        <x:v>156.73</x:v>
      </x:c>
    </x:row>
    <x:row r="437">
      <x:c r="A437" s="27" t="str">
        <x:v>bpps_d200n200m10w20_40s2_20f1_seed0</x:v>
      </x:c>
      <x:c r="B437" s="28" t="n">
        <x:v>200</x:v>
      </x:c>
      <x:c r="C437" s="28" t="n">
        <x:v>473</x:v>
      </x:c>
      <x:c r="D437" s="28" t="n">
        <x:v>450</x:v>
      </x:c>
      <x:c r="E437" s="39" t="n">
        <x:f>(C437-D437)/C437*100</x:f>
        <x:v>4.862579281183932</x:v>
      </x:c>
      <x:c r="F437" s="28" t="str">
        <x:f>IF(C437=D437,"YES","NO")</x:f>
        <x:v>NO</x:v>
      </x:c>
      <x:c r="G437" s="28" t="str">
        <x:v>Optimal</x:v>
      </x:c>
      <x:c r="H437" s="59" t="n">
        <x:v>9.29</x:v>
      </x:c>
    </x:row>
    <x:row r="438">
      <x:c r="A438" s="27" t="str">
        <x:v>bpps_d200n200m10w20_40s2_40f0_seed0</x:v>
      </x:c>
      <x:c r="B438" s="28" t="n">
        <x:v>200</x:v>
      </x:c>
      <x:c r="C438" s="28" t="n">
        <x:v>37</x:v>
      </x:c>
      <x:c r="D438" s="28" t="n">
        <x:v>34</x:v>
      </x:c>
      <x:c r="E438" s="39" t="n">
        <x:f>(C438-D438)/C438*100</x:f>
        <x:v>8.108108108108109</x:v>
      </x:c>
      <x:c r="F438" s="28" t="str">
        <x:f>IF(C438=D438,"YES","NO")</x:f>
        <x:v>NO</x:v>
      </x:c>
      <x:c r="G438" s="28" t="str">
        <x:v>Optimal</x:v>
      </x:c>
      <x:c r="H438" s="59" t="n">
        <x:v>93.86</x:v>
      </x:c>
    </x:row>
    <x:row r="439">
      <x:c r="A439" s="27" t="str">
        <x:v>bpps_d200n200m10w20_40s2_40f1_seed0</x:v>
      </x:c>
      <x:c r="B439" s="28" t="n">
        <x:v>200</x:v>
      </x:c>
      <x:c r="C439" s="28" t="n">
        <x:v>500</x:v>
      </x:c>
      <x:c r="D439" s="28" t="n">
        <x:v>479</x:v>
      </x:c>
      <x:c r="E439" s="39" t="n">
        <x:f>(C439-D439)/C439*100</x:f>
        <x:v>4.2</x:v>
      </x:c>
      <x:c r="F439" s="28" t="str">
        <x:f>IF(C439=D439,"YES","NO")</x:f>
        <x:v>NO</x:v>
      </x:c>
      <x:c r="G439" s="28" t="str">
        <x:v>Optimal</x:v>
      </x:c>
      <x:c r="H439" s="59" t="n">
        <x:v>63.61</x:v>
      </x:c>
    </x:row>
    <x:row r="440">
      <x:c r="A440" s="27" t="str">
        <x:v>bpps_d200n200m10w2_20s20_40f0_seed0</x:v>
      </x:c>
      <x:c r="B440" s="28" t="n">
        <x:v>200</x:v>
      </x:c>
      <x:c r="C440" s="28" t="n">
        <x:v>21</x:v>
      </x:c>
      <x:c r="D440" s="28" t="n">
        <x:v>16</x:v>
      </x:c>
      <x:c r="E440" s="39" t="n">
        <x:f>(C440-D440)/C440*100</x:f>
        <x:v>23.809523809523807</x:v>
      </x:c>
      <x:c r="F440" s="28" t="str">
        <x:f>IF(C440=D440,"YES","NO")</x:f>
        <x:v>NO</x:v>
      </x:c>
      <x:c r="G440" s="28" t="str">
        <x:v>Optimal</x:v>
      </x:c>
      <x:c r="H440" s="59" t="n">
        <x:v>24.3</x:v>
      </x:c>
    </x:row>
    <x:row r="441">
      <x:c r="A441" s="27" t="str">
        <x:v>bpps_d200n200m10w2_20s20_40f1_seed0</x:v>
      </x:c>
      <x:c r="B441" s="28" t="n">
        <x:v>200</x:v>
      </x:c>
      <x:c r="C441" s="28" t="n">
        <x:v>337</x:v>
      </x:c>
      <x:c r="D441" s="28" t="n">
        <x:v>269</x:v>
      </x:c>
      <x:c r="E441" s="39" t="n">
        <x:f>(C441-D441)/C441*100</x:f>
        <x:v>20.178041543026705</x:v>
      </x:c>
      <x:c r="F441" s="28" t="str">
        <x:f>IF(C441=D441,"YES","NO")</x:f>
        <x:v>NO</x:v>
      </x:c>
      <x:c r="G441" s="28" t="str">
        <x:v>Optimal</x:v>
      </x:c>
      <x:c r="H441" s="59" t="n">
        <x:v>14.29</x:v>
      </x:c>
    </x:row>
    <x:row r="442">
      <x:c r="A442" s="27" t="str">
        <x:v>bpps_d200n200m10w2_20s2_20f0_seed0</x:v>
      </x:c>
      <x:c r="B442" s="28" t="n">
        <x:v>200</x:v>
      </x:c>
      <x:c r="C442" s="28" t="n">
        <x:v>17</x:v>
      </x:c>
      <x:c r="D442" s="28" t="n">
        <x:v>13</x:v>
      </x:c>
      <x:c r="E442" s="39" t="n">
        <x:f>(C442-D442)/C442*100</x:f>
        <x:v>23.52941176470588</x:v>
      </x:c>
      <x:c r="F442" s="28" t="str">
        <x:f>IF(C442=D442,"YES","NO")</x:f>
        <x:v>NO</x:v>
      </x:c>
      <x:c r="G442" s="28" t="str">
        <x:v>Optimal</x:v>
      </x:c>
      <x:c r="H442" s="59" t="n">
        <x:v>39.35</x:v>
      </x:c>
    </x:row>
    <x:row r="443">
      <x:c r="A443" s="27" t="str">
        <x:v>bpps_d200n200m10w2_20s2_20f1_seed0</x:v>
      </x:c>
      <x:c r="B443" s="28" t="n">
        <x:v>200</x:v>
      </x:c>
      <x:c r="C443" s="28" t="n">
        <x:v>335</x:v>
      </x:c>
      <x:c r="D443" s="28" t="n">
        <x:v>243</x:v>
      </x:c>
      <x:c r="E443" s="39" t="n">
        <x:f>(C443-D443)/C443*100</x:f>
        <x:v>27.46268656716418</x:v>
      </x:c>
      <x:c r="F443" s="28" t="str">
        <x:f>IF(C443=D443,"YES","NO")</x:f>
        <x:v>NO</x:v>
      </x:c>
      <x:c r="G443" s="28" t="str">
        <x:v>Optimal</x:v>
      </x:c>
      <x:c r="H443" s="59" t="n">
        <x:v>58.09</x:v>
      </x:c>
    </x:row>
    <x:row r="444">
      <x:c r="A444" s="27" t="str">
        <x:v>bpps_d200n200m10w2_20s2_40f0_seed0</x:v>
      </x:c>
      <x:c r="B444" s="28" t="n">
        <x:v>200</x:v>
      </x:c>
      <x:c r="C444" s="28" t="n">
        <x:v>19</x:v>
      </x:c>
      <x:c r="D444" s="28" t="n">
        <x:v>14</x:v>
      </x:c>
      <x:c r="E444" s="39" t="n">
        <x:f>(C444-D444)/C444*100</x:f>
        <x:v>26.31578947368421</x:v>
      </x:c>
      <x:c r="F444" s="28" t="str">
        <x:f>IF(C444=D444,"YES","NO")</x:f>
        <x:v>NO</x:v>
      </x:c>
      <x:c r="G444" s="28" t="str">
        <x:v>Optimal</x:v>
      </x:c>
      <x:c r="H444" s="59" t="n">
        <x:v>47.68</x:v>
      </x:c>
    </x:row>
    <x:row r="445">
      <x:c r="A445" s="27" t="str">
        <x:v>bpps_d200n200m10w2_20s2_40f1_seed0</x:v>
      </x:c>
      <x:c r="B445" s="28" t="n">
        <x:v>200</x:v>
      </x:c>
      <x:c r="C445" s="28" t="n">
        <x:v>354</x:v>
      </x:c>
      <x:c r="D445" s="28" t="n">
        <x:v>276</x:v>
      </x:c>
      <x:c r="E445" s="39" t="n">
        <x:f>(C445-D445)/C445*100</x:f>
        <x:v>22.033898305084744</x:v>
      </x:c>
      <x:c r="F445" s="28" t="str">
        <x:f>IF(C445=D445,"YES","NO")</x:f>
        <x:v>NO</x:v>
      </x:c>
      <x:c r="G445" s="28" t="str">
        <x:v>Optimal</x:v>
      </x:c>
      <x:c r="H445" s="59" t="n">
        <x:v>25.4</x:v>
      </x:c>
    </x:row>
    <x:row r="446">
      <x:c r="A446" s="27" t="str">
        <x:v>bpps_d200n200m10w2_60s20_40f0_seed0</x:v>
      </x:c>
      <x:c r="B446" s="28" t="n">
        <x:v>200</x:v>
      </x:c>
      <x:c r="C446" s="28" t="n">
        <x:v>42</x:v>
      </x:c>
      <x:c r="D446" s="28" t="n">
        <x:v>40</x:v>
      </x:c>
      <x:c r="E446" s="39" t="n">
        <x:f>(C446-D446)/C446*100</x:f>
        <x:v>4.761904761904762</x:v>
      </x:c>
      <x:c r="F446" s="28" t="str">
        <x:f>IF(C446=D446,"YES","NO")</x:f>
        <x:v>NO</x:v>
      </x:c>
      <x:c r="G446" s="28" t="str">
        <x:v>Optimal</x:v>
      </x:c>
      <x:c r="H446" s="59" t="n">
        <x:v>304.54</x:v>
      </x:c>
    </x:row>
    <x:row r="447">
      <x:c r="A447" s="27" t="str">
        <x:v>bpps_d200n200m10w2_60s20_40f1_seed0</x:v>
      </x:c>
      <x:c r="B447" s="28" t="n">
        <x:v>200</x:v>
      </x:c>
      <x:c r="C447" s="28" t="n">
        <x:v>549</x:v>
      </x:c>
      <x:c r="D447" s="28" t="n">
        <x:v>539</x:v>
      </x:c>
      <x:c r="E447" s="39" t="n">
        <x:f>(C447-D447)/C447*100</x:f>
        <x:v>1.8214936247723135</x:v>
      </x:c>
      <x:c r="F447" s="28" t="str">
        <x:f>IF(C447=D447,"YES","NO")</x:f>
        <x:v>NO</x:v>
      </x:c>
      <x:c r="G447" s="28" t="str">
        <x:v>Optimal</x:v>
      </x:c>
      <x:c r="H447" s="59" t="n">
        <x:v>8.38</x:v>
      </x:c>
    </x:row>
    <x:row r="448">
      <x:c r="A448" s="27" t="str">
        <x:v>bpps_d200n200m10w2_60s2_20f0_seed0</x:v>
      </x:c>
      <x:c r="B448" s="28" t="n">
        <x:v>200</x:v>
      </x:c>
      <x:c r="C448" s="28" t="n">
        <x:v>36</x:v>
      </x:c>
      <x:c r="D448" s="28" t="n">
        <x:v>35</x:v>
      </x:c>
      <x:c r="E448" s="39" t="n">
        <x:f>(C448-D448)/C448*100</x:f>
        <x:v>2.7777777777777777</x:v>
      </x:c>
      <x:c r="F448" s="28" t="str">
        <x:f>IF(C448=D448,"YES","NO")</x:f>
        <x:v>NO</x:v>
      </x:c>
      <x:c r="G448" s="28" t="str">
        <x:v>Optimal</x:v>
      </x:c>
      <x:c r="H448" s="59" t="n">
        <x:v>37.09</x:v>
      </x:c>
    </x:row>
    <x:row r="449">
      <x:c r="A449" s="27" t="str">
        <x:v>bpps_d200n200m10w2_60s2_20f1_seed0</x:v>
      </x:c>
      <x:c r="B449" s="28" t="n">
        <x:v>200</x:v>
      </x:c>
      <x:c r="C449" s="28" t="n">
        <x:v>525</x:v>
      </x:c>
      <x:c r="D449" s="28" t="n">
        <x:v>492</x:v>
      </x:c>
      <x:c r="E449" s="39" t="n">
        <x:f>(C449-D449)/C449*100</x:f>
        <x:v>6.2857142857142865</x:v>
      </x:c>
      <x:c r="F449" s="28" t="str">
        <x:f>IF(C449=D449,"YES","NO")</x:f>
        <x:v>NO</x:v>
      </x:c>
      <x:c r="G449" s="28" t="str">
        <x:v>Optimal</x:v>
      </x:c>
      <x:c r="H449" s="59" t="n">
        <x:v>303.1</x:v>
      </x:c>
    </x:row>
    <x:row r="450">
      <x:c r="A450" s="27" t="str">
        <x:v>bpps_d200n200m10w2_60s2_40f0_seed0</x:v>
      </x:c>
      <x:c r="B450" s="28" t="n">
        <x:v>200</x:v>
      </x:c>
      <x:c r="C450" s="28" t="n">
        <x:v>39</x:v>
      </x:c>
      <x:c r="D450" s="28" t="n">
        <x:v>37</x:v>
      </x:c>
      <x:c r="E450" s="39" t="n">
        <x:f>(C450-D450)/C450*100</x:f>
        <x:v>5.128205128205128</x:v>
      </x:c>
      <x:c r="F450" s="28" t="str">
        <x:f>IF(C450=D450,"YES","NO")</x:f>
        <x:v>NO</x:v>
      </x:c>
      <x:c r="G450" s="28" t="str">
        <x:v>Optimal</x:v>
      </x:c>
      <x:c r="H450" s="59" t="n">
        <x:v>299.25</x:v>
      </x:c>
    </x:row>
    <x:row r="451">
      <x:c r="A451" s="27" t="str">
        <x:v>bpps_d200n200m10w2_60s2_40f1_seed0</x:v>
      </x:c>
      <x:c r="B451" s="28" t="n">
        <x:v>200</x:v>
      </x:c>
      <x:c r="C451" s="28" t="n">
        <x:v>541</x:v>
      </x:c>
      <x:c r="D451" s="28" t="n">
        <x:v>515</x:v>
      </x:c>
      <x:c r="E451" s="39" t="n">
        <x:f>(C451-D451)/C451*100</x:f>
        <x:v>4.805914972273567</x:v>
      </x:c>
      <x:c r="F451" s="28" t="str">
        <x:f>IF(C451=D451,"YES","NO")</x:f>
        <x:v>NO</x:v>
      </x:c>
      <x:c r="G451" s="28" t="str">
        <x:v>Optimal</x:v>
      </x:c>
      <x:c r="H451" s="59" t="n">
        <x:v>58.83</x:v>
      </x:c>
    </x:row>
    <x:row r="452">
      <x:c r="A452" s="27" t="str">
        <x:v>bpps_d200n200m10w40_60s20_40f0_seed0</x:v>
      </x:c>
      <x:c r="B452" s="28" t="n">
        <x:v>200</x:v>
      </x:c>
      <x:c r="C452" s="28" t="n">
        <x:v>65</x:v>
      </x:c>
      <x:c r="D452" s="28" t="n">
        <x:v>59</x:v>
      </x:c>
      <x:c r="E452" s="39" t="n">
        <x:f>(C452-D452)/C452*100</x:f>
        <x:v>9.230769230769232</x:v>
      </x:c>
      <x:c r="F452" s="28" t="str">
        <x:f>IF(C452=D452,"YES","NO")</x:f>
        <x:v>NO</x:v>
      </x:c>
      <x:c r="G452" s="28" t="str">
        <x:v>Optimal</x:v>
      </x:c>
      <x:c r="H452" s="59" t="n">
        <x:v>112.81</x:v>
      </x:c>
    </x:row>
    <x:row r="453">
      <x:c r="A453" s="27" t="str">
        <x:v>bpps_d200n200m10w40_60s20_40f1_seed0</x:v>
      </x:c>
      <x:c r="B453" s="28" t="n">
        <x:v>200</x:v>
      </x:c>
      <x:c r="C453" s="28" t="n">
        <x:v>870</x:v>
      </x:c>
      <x:c r="D453" s="28" t="n">
        <x:v>831</x:v>
      </x:c>
      <x:c r="E453" s="39" t="n">
        <x:f>(C453-D453)/C453*100</x:f>
        <x:v>4.482758620689655</x:v>
      </x:c>
      <x:c r="F453" s="28" t="str">
        <x:f>IF(C453=D453,"YES","NO")</x:f>
        <x:v>NO</x:v>
      </x:c>
      <x:c r="G453" s="28" t="str">
        <x:v>Optimal</x:v>
      </x:c>
      <x:c r="H453" s="59" t="n">
        <x:v>334.7</x:v>
      </x:c>
    </x:row>
    <x:row r="454">
      <x:c r="A454" s="27" t="str">
        <x:v>bpps_d200n200m10w40_60s2_20f0_seed0</x:v>
      </x:c>
      <x:c r="B454" s="28" t="n">
        <x:v>200</x:v>
      </x:c>
      <x:c r="C454" s="28" t="n">
        <x:v>59</x:v>
      </x:c>
      <x:c r="D454" s="28" t="n">
        <x:v>54</x:v>
      </x:c>
      <x:c r="E454" s="39" t="n">
        <x:f>(C454-D454)/C454*100</x:f>
        <x:v>8.47457627118644</x:v>
      </x:c>
      <x:c r="F454" s="28" t="str">
        <x:f>IF(C454=D454,"YES","NO")</x:f>
        <x:v>NO</x:v>
      </x:c>
      <x:c r="G454" s="28" t="str">
        <x:v>Optimal</x:v>
      </x:c>
      <x:c r="H454" s="59" t="n">
        <x:v>479.57</x:v>
      </x:c>
    </x:row>
    <x:row r="455">
      <x:c r="A455" s="27" t="str">
        <x:v>bpps_d200n200m10w40_60s2_20f1_seed0</x:v>
      </x:c>
      <x:c r="B455" s="28" t="n">
        <x:v>200</x:v>
      </x:c>
      <x:c r="C455" s="28" t="n">
        <x:v>776</x:v>
      </x:c>
      <x:c r="D455" s="28" t="n">
        <x:v>736</x:v>
      </x:c>
      <x:c r="E455" s="39" t="n">
        <x:f>(C455-D455)/C455*100</x:f>
        <x:v>5.154639175257731</x:v>
      </x:c>
      <x:c r="F455" s="28" t="str">
        <x:f>IF(C455=D455,"YES","NO")</x:f>
        <x:v>NO</x:v>
      </x:c>
      <x:c r="G455" s="28" t="str">
        <x:v>Optimal</x:v>
      </x:c>
      <x:c r="H455" s="59" t="n">
        <x:v>306.04</x:v>
      </x:c>
    </x:row>
    <x:row r="456">
      <x:c r="A456" s="27" t="str">
        <x:v>bpps_d200n200m10w40_60s2_40f0_seed0</x:v>
      </x:c>
      <x:c r="B456" s="28" t="n">
        <x:v>200</x:v>
      </x:c>
      <x:c r="C456" s="28" t="n">
        <x:v>62</x:v>
      </x:c>
      <x:c r="D456" s="28" t="n">
        <x:v>58</x:v>
      </x:c>
      <x:c r="E456" s="39" t="n">
        <x:f>(C456-D456)/C456*100</x:f>
        <x:v>6.451612903225806</x:v>
      </x:c>
      <x:c r="F456" s="28" t="str">
        <x:f>IF(C456=D456,"YES","NO")</x:f>
        <x:v>NO</x:v>
      </x:c>
      <x:c r="G456" s="28" t="str">
        <x:v>Optimal</x:v>
      </x:c>
      <x:c r="H456" s="59" t="n">
        <x:v>600.64</x:v>
      </x:c>
    </x:row>
    <x:row r="457">
      <x:c r="A457" s="27" t="str">
        <x:v>bpps_d200n200m10w40_60s2_40f1_seed0</x:v>
      </x:c>
      <x:c r="B457" s="28" t="n">
        <x:v>200</x:v>
      </x:c>
      <x:c r="C457" s="28" t="n">
        <x:v>818</x:v>
      </x:c>
      <x:c r="D457" s="28" t="n">
        <x:v>783</x:v>
      </x:c>
      <x:c r="E457" s="39" t="n">
        <x:f>(C457-D457)/C457*100</x:f>
        <x:v>4.278728606356968</x:v>
      </x:c>
      <x:c r="F457" s="28" t="str">
        <x:f>IF(C457=D457,"YES","NO")</x:f>
        <x:v>NO</x:v>
      </x:c>
      <x:c r="G457" s="28" t="str">
        <x:v>Optimal</x:v>
      </x:c>
      <x:c r="H457" s="59" t="n">
        <x:v>280.81</x:v>
      </x:c>
    </x:row>
    <x:row r="458">
      <x:c r="A458" s="27" t="str">
        <x:v>bpps_d200n200m5w20_40s20_40f0_seed0</x:v>
      </x:c>
      <x:c r="B458" s="28" t="n">
        <x:v>200</x:v>
      </x:c>
      <x:c r="C458" s="28" t="n">
        <x:v>38</x:v>
      </x:c>
      <x:c r="D458" s="28" t="n">
        <x:v>35</x:v>
      </x:c>
      <x:c r="E458" s="39" t="n">
        <x:f>(C458-D458)/C458*100</x:f>
        <x:v>7.894736842105263</x:v>
      </x:c>
      <x:c r="F458" s="28" t="str">
        <x:f>IF(C458=D458,"YES","NO")</x:f>
        <x:v>NO</x:v>
      </x:c>
      <x:c r="G458" s="28" t="str">
        <x:v>Optimal</x:v>
      </x:c>
      <x:c r="H458" s="59" t="n">
        <x:v>108.23</x:v>
      </x:c>
    </x:row>
    <x:row r="459">
      <x:c r="A459" s="27" t="str">
        <x:v>bpps_d200n200m5w20_40s20_40f1_seed0</x:v>
      </x:c>
      <x:c r="B459" s="28" t="n">
        <x:v>200</x:v>
      </x:c>
      <x:c r="C459" s="28" t="n">
        <x:v>495</x:v>
      </x:c>
      <x:c r="D459" s="28" t="n">
        <x:v>485</x:v>
      </x:c>
      <x:c r="E459" s="39" t="n">
        <x:f>(C459-D459)/C459*100</x:f>
        <x:v>2.0202020202020203</x:v>
      </x:c>
      <x:c r="F459" s="28" t="str">
        <x:f>IF(C459=D459,"YES","NO")</x:f>
        <x:v>NO</x:v>
      </x:c>
      <x:c r="G459" s="28" t="str">
        <x:v>Optimal</x:v>
      </x:c>
      <x:c r="H459" s="59" t="n">
        <x:v>38.51</x:v>
      </x:c>
    </x:row>
    <x:row r="460">
      <x:c r="A460" s="27" t="str">
        <x:v>bpps_d200n200m5w20_40s2_20f0_seed0</x:v>
      </x:c>
      <x:c r="B460" s="28" t="n">
        <x:v>200</x:v>
      </x:c>
      <x:c r="C460" s="28" t="n">
        <x:v>33</x:v>
      </x:c>
      <x:c r="D460" s="28" t="n">
        <x:v>32</x:v>
      </x:c>
      <x:c r="E460" s="39" t="n">
        <x:f>(C460-D460)/C460*100</x:f>
        <x:v>3.0303030303030303</x:v>
      </x:c>
      <x:c r="F460" s="28" t="str">
        <x:f>IF(C460=D460,"YES","NO")</x:f>
        <x:v>NO</x:v>
      </x:c>
      <x:c r="G460" s="28" t="str">
        <x:v>Optimal</x:v>
      </x:c>
      <x:c r="H460" s="59" t="n">
        <x:v>12.79</x:v>
      </x:c>
    </x:row>
    <x:row r="461">
      <x:c r="A461" s="27" t="str">
        <x:v>bpps_d200n200m5w20_40s2_20f1_seed0</x:v>
      </x:c>
      <x:c r="B461" s="28" t="n">
        <x:v>200</x:v>
      </x:c>
      <x:c r="C461" s="28" t="n">
        <x:v>456</x:v>
      </x:c>
      <x:c r="D461" s="28" t="n">
        <x:v>436</x:v>
      </x:c>
      <x:c r="E461" s="39" t="n">
        <x:f>(C461-D461)/C461*100</x:f>
        <x:v>4.385964912280701</x:v>
      </x:c>
      <x:c r="F461" s="28" t="str">
        <x:f>IF(C461=D461,"YES","NO")</x:f>
        <x:v>NO</x:v>
      </x:c>
      <x:c r="G461" s="28" t="str">
        <x:v>Optimal</x:v>
      </x:c>
      <x:c r="H461" s="59" t="n">
        <x:v>249.73</x:v>
      </x:c>
    </x:row>
    <x:row r="462">
      <x:c r="A462" s="27" t="str">
        <x:v>bpps_d200n200m5w20_40s2_40f0_seed0</x:v>
      </x:c>
      <x:c r="B462" s="28" t="n">
        <x:v>200</x:v>
      </x:c>
      <x:c r="C462" s="28" t="n">
        <x:v>35</x:v>
      </x:c>
      <x:c r="D462" s="28" t="n">
        <x:v>34</x:v>
      </x:c>
      <x:c r="E462" s="39" t="n">
        <x:f>(C462-D462)/C462*100</x:f>
        <x:v>2.857142857142857</x:v>
      </x:c>
      <x:c r="F462" s="28" t="str">
        <x:f>IF(C462=D462,"YES","NO")</x:f>
        <x:v>NO</x:v>
      </x:c>
      <x:c r="G462" s="28" t="str">
        <x:v>Optimal</x:v>
      </x:c>
      <x:c r="H462" s="59" t="n">
        <x:v>329.24</x:v>
      </x:c>
    </x:row>
    <x:row r="463">
      <x:c r="A463" s="27" t="str">
        <x:v>bpps_d200n200m5w20_40s2_40f1_seed0</x:v>
      </x:c>
      <x:c r="B463" s="28" t="n">
        <x:v>200</x:v>
      </x:c>
      <x:c r="C463" s="28" t="n">
        <x:v>476</x:v>
      </x:c>
      <x:c r="D463" s="28" t="n">
        <x:v>475</x:v>
      </x:c>
      <x:c r="E463" s="39" t="n">
        <x:f>(C463-D463)/C463*100</x:f>
        <x:v>0.21008403361344538</x:v>
      </x:c>
      <x:c r="F463" s="28" t="str">
        <x:f>IF(C463=D463,"YES","NO")</x:f>
        <x:v>NO</x:v>
      </x:c>
      <x:c r="G463" s="28" t="str">
        <x:v>Optimal</x:v>
      </x:c>
      <x:c r="H463" s="59" t="n">
        <x:v>11.52</x:v>
      </x:c>
    </x:row>
    <x:row r="464">
      <x:c r="A464" s="27" t="str">
        <x:v>bpps_d200n200m5w2_20s20_40f0_seed0</x:v>
      </x:c>
      <x:c r="B464" s="28" t="n">
        <x:v>200</x:v>
      </x:c>
      <x:c r="C464" s="28" t="n">
        <x:v>18</x:v>
      </x:c>
      <x:c r="D464" s="28" t="n">
        <x:v>14</x:v>
      </x:c>
      <x:c r="E464" s="39" t="n">
        <x:f>(C464-D464)/C464*100</x:f>
        <x:v>22.22222222222222</x:v>
      </x:c>
      <x:c r="F464" s="28" t="str">
        <x:f>IF(C464=D464,"YES","NO")</x:f>
        <x:v>NO</x:v>
      </x:c>
      <x:c r="G464" s="28" t="str">
        <x:v>Optimal</x:v>
      </x:c>
      <x:c r="H464" s="59" t="n">
        <x:v>16.16</x:v>
      </x:c>
    </x:row>
    <x:row r="465">
      <x:c r="A465" s="27" t="str">
        <x:v>bpps_d200n200m5w2_20s20_40f1_seed0</x:v>
      </x:c>
      <x:c r="B465" s="28" t="n">
        <x:v>200</x:v>
      </x:c>
      <x:c r="C465" s="28" t="n">
        <x:v>287</x:v>
      </x:c>
      <x:c r="D465" s="28" t="n">
        <x:v>203</x:v>
      </x:c>
      <x:c r="E465" s="39" t="n">
        <x:f>(C465-D465)/C465*100</x:f>
        <x:v>29.268292682926827</x:v>
      </x:c>
      <x:c r="F465" s="28" t="str">
        <x:f>IF(C465=D465,"YES","NO")</x:f>
        <x:v>NO</x:v>
      </x:c>
      <x:c r="G465" s="28" t="str">
        <x:v>Optimal</x:v>
      </x:c>
      <x:c r="H465" s="59" t="n">
        <x:v>32.37</x:v>
      </x:c>
    </x:row>
    <x:row r="466">
      <x:c r="A466" s="27" t="str">
        <x:v>bpps_d200n200m5w2_20s2_20f0_seed0</x:v>
      </x:c>
      <x:c r="B466" s="28" t="n">
        <x:v>200</x:v>
      </x:c>
      <x:c r="C466" s="28" t="n">
        <x:v>16</x:v>
      </x:c>
      <x:c r="D466" s="28" t="n">
        <x:v>12</x:v>
      </x:c>
      <x:c r="E466" s="39" t="n">
        <x:f>(C466-D466)/C466*100</x:f>
        <x:v>25</x:v>
      </x:c>
      <x:c r="F466" s="28" t="str">
        <x:f>IF(C466=D466,"YES","NO")</x:f>
        <x:v>NO</x:v>
      </x:c>
      <x:c r="G466" s="28" t="str">
        <x:v>Optimal</x:v>
      </x:c>
      <x:c r="H466" s="59" t="n">
        <x:v>20.31</x:v>
      </x:c>
    </x:row>
    <x:row r="467">
      <x:c r="A467" s="27" t="str">
        <x:v>bpps_d200n200m5w2_20s2_20f1_seed0</x:v>
      </x:c>
      <x:c r="B467" s="28" t="n">
        <x:v>200</x:v>
      </x:c>
      <x:c r="C467" s="28" t="n">
        <x:v>273</x:v>
      </x:c>
      <x:c r="D467" s="28" t="n">
        <x:v>202</x:v>
      </x:c>
      <x:c r="E467" s="39" t="n">
        <x:f>(C467-D467)/C467*100</x:f>
        <x:v>26.00732600732601</x:v>
      </x:c>
      <x:c r="F467" s="28" t="str">
        <x:f>IF(C467=D467,"YES","NO")</x:f>
        <x:v>NO</x:v>
      </x:c>
      <x:c r="G467" s="28" t="str">
        <x:v>Optimal</x:v>
      </x:c>
      <x:c r="H467" s="59" t="n">
        <x:v>46.08</x:v>
      </x:c>
    </x:row>
    <x:row r="468">
      <x:c r="A468" s="27" t="str">
        <x:v>bpps_d200n200m5w2_20s2_40f0_seed0</x:v>
      </x:c>
      <x:c r="B468" s="28" t="n">
        <x:v>200</x:v>
      </x:c>
      <x:c r="C468" s="28" t="n">
        <x:v>18</x:v>
      </x:c>
      <x:c r="D468" s="28" t="n">
        <x:v>13</x:v>
      </x:c>
      <x:c r="E468" s="39" t="n">
        <x:f>(C468-D468)/C468*100</x:f>
        <x:v>27.77777777777778</x:v>
      </x:c>
      <x:c r="F468" s="28" t="str">
        <x:f>IF(C468=D468,"YES","NO")</x:f>
        <x:v>NO</x:v>
      </x:c>
      <x:c r="G468" s="28" t="str">
        <x:v>Optimal</x:v>
      </x:c>
      <x:c r="H468" s="59" t="n">
        <x:v>12.4</x:v>
      </x:c>
    </x:row>
    <x:row r="469">
      <x:c r="A469" s="27" t="str">
        <x:v>bpps_d200n200m5w2_20s2_40f1_seed0</x:v>
      </x:c>
      <x:c r="B469" s="28" t="n">
        <x:v>200</x:v>
      </x:c>
      <x:c r="C469" s="28" t="n">
        <x:v>279</x:v>
      </x:c>
      <x:c r="D469" s="28" t="n">
        <x:v>204</x:v>
      </x:c>
      <x:c r="E469" s="39" t="n">
        <x:f>(C469-D469)/C469*100</x:f>
        <x:v>26.881720430107524</x:v>
      </x:c>
      <x:c r="F469" s="28" t="str">
        <x:f>IF(C469=D469,"YES","NO")</x:f>
        <x:v>NO</x:v>
      </x:c>
      <x:c r="G469" s="28" t="str">
        <x:v>Optimal</x:v>
      </x:c>
      <x:c r="H469" s="59" t="n">
        <x:v>13.64</x:v>
      </x:c>
    </x:row>
    <x:row r="470">
      <x:c r="A470" s="27" t="str">
        <x:v>bpps_d200n200m5w2_60s20_40f0_seed0</x:v>
      </x:c>
      <x:c r="B470" s="28" t="n">
        <x:v>200</x:v>
      </x:c>
      <x:c r="C470" s="28" t="n">
        <x:v>40</x:v>
      </x:c>
      <x:c r="D470" s="28" t="n">
        <x:v>39</x:v>
      </x:c>
      <x:c r="E470" s="39" t="n">
        <x:f>(C470-D470)/C470*100</x:f>
        <x:v>2.5</x:v>
      </x:c>
      <x:c r="F470" s="28" t="str">
        <x:f>IF(C470=D470,"YES","NO")</x:f>
        <x:v>NO</x:v>
      </x:c>
      <x:c r="G470" s="28" t="str">
        <x:v>Optimal</x:v>
      </x:c>
      <x:c r="H470" s="59" t="n">
        <x:v>377.62</x:v>
      </x:c>
    </x:row>
    <x:row r="471">
      <x:c r="A471" s="27" t="str">
        <x:v>bpps_d200n200m5w2_60s20_40f1_seed0</x:v>
      </x:c>
      <x:c r="B471" s="28" t="n">
        <x:v>200</x:v>
      </x:c>
      <x:c r="C471" s="28" t="n">
        <x:v>531</x:v>
      </x:c>
      <x:c r="D471" s="28" t="n">
        <x:v>531</x:v>
      </x:c>
      <x:c r="E471" s="39" t="n">
        <x:f>(C471-D471)/C471*100</x:f>
        <x:v>0</x:v>
      </x:c>
      <x:c r="F471" s="28" t="str">
        <x:f>IF(C471=D471,"YES","NO")</x:f>
        <x:v>YES</x:v>
      </x:c>
      <x:c r="G471" s="28" t="str">
        <x:v>Optimal</x:v>
      </x:c>
      <x:c r="H471" s="59" t="n">
        <x:v>22.72</x:v>
      </x:c>
    </x:row>
    <x:row r="472">
      <x:c r="A472" s="27" t="str">
        <x:v>bpps_d200n200m5w2_60s2_20f0_seed0</x:v>
      </x:c>
      <x:c r="B472" s="28" t="n">
        <x:v>200</x:v>
      </x:c>
      <x:c r="C472" s="28" t="n">
        <x:v>35</x:v>
      </x:c>
      <x:c r="D472" s="28" t="n">
        <x:v>34</x:v>
      </x:c>
      <x:c r="E472" s="39" t="n">
        <x:f>(C472-D472)/C472*100</x:f>
        <x:v>2.857142857142857</x:v>
      </x:c>
      <x:c r="F472" s="28" t="str">
        <x:f>IF(C472=D472,"YES","NO")</x:f>
        <x:v>NO</x:v>
      </x:c>
      <x:c r="G472" s="28" t="str">
        <x:v>Optimal</x:v>
      </x:c>
      <x:c r="H472" s="59" t="n">
        <x:v>28.74</x:v>
      </x:c>
    </x:row>
    <x:row r="473">
      <x:c r="A473" s="27" t="str">
        <x:v>bpps_d200n200m5w2_60s2_20f1_seed0</x:v>
      </x:c>
      <x:c r="B473" s="28" t="n">
        <x:v>200</x:v>
      </x:c>
      <x:c r="C473" s="28" t="n">
        <x:v>482</x:v>
      </x:c>
      <x:c r="D473" s="28" t="n">
        <x:v>474</x:v>
      </x:c>
      <x:c r="E473" s="39" t="n">
        <x:f>(C473-D473)/C473*100</x:f>
        <x:v>1.6597510373443984</x:v>
      </x:c>
      <x:c r="F473" s="28" t="str">
        <x:f>IF(C473=D473,"YES","NO")</x:f>
        <x:v>NO</x:v>
      </x:c>
      <x:c r="G473" s="28" t="str">
        <x:v>Optimal</x:v>
      </x:c>
      <x:c r="H473" s="59" t="n">
        <x:v>20</x:v>
      </x:c>
    </x:row>
    <x:row r="474">
      <x:c r="A474" s="27" t="str">
        <x:v>bpps_d200n200m5w2_60s2_40f0_seed0</x:v>
      </x:c>
      <x:c r="B474" s="28" t="n">
        <x:v>200</x:v>
      </x:c>
      <x:c r="C474" s="28" t="n">
        <x:v>37</x:v>
      </x:c>
      <x:c r="D474" s="28" t="n">
        <x:v>35</x:v>
      </x:c>
      <x:c r="E474" s="39" t="n">
        <x:f>(C474-D474)/C474*100</x:f>
        <x:v>5.405405405405405</x:v>
      </x:c>
      <x:c r="F474" s="28" t="str">
        <x:f>IF(C474=D474,"YES","NO")</x:f>
        <x:v>NO</x:v>
      </x:c>
      <x:c r="G474" s="28" t="str">
        <x:v>Optimal</x:v>
      </x:c>
      <x:c r="H474" s="59" t="n">
        <x:v>28.49</x:v>
      </x:c>
    </x:row>
    <x:row r="475">
      <x:c r="A475" s="27" t="str">
        <x:v>bpps_d200n200m5w2_60s2_40f1_seed0</x:v>
      </x:c>
      <x:c r="B475" s="28" t="n">
        <x:v>200</x:v>
      </x:c>
      <x:c r="C475" s="28" t="n">
        <x:v>517</x:v>
      </x:c>
      <x:c r="D475" s="28" t="n">
        <x:v>500</x:v>
      </x:c>
      <x:c r="E475" s="39" t="n">
        <x:f>(C475-D475)/C475*100</x:f>
        <x:v>3.2882011605415857</x:v>
      </x:c>
      <x:c r="F475" s="28" t="str">
        <x:f>IF(C475=D475,"YES","NO")</x:f>
        <x:v>NO</x:v>
      </x:c>
      <x:c r="G475" s="28" t="str">
        <x:v>Optimal</x:v>
      </x:c>
      <x:c r="H475" s="59" t="n">
        <x:v>16.46</x:v>
      </x:c>
    </x:row>
    <x:row r="476">
      <x:c r="A476" s="27" t="str">
        <x:v>bpps_d200n200m5w40_60s20_40f0_seed0</x:v>
      </x:c>
      <x:c r="B476" s="28" t="n">
        <x:v>200</x:v>
      </x:c>
      <x:c r="C476" s="28" t="n">
        <x:v>64</x:v>
      </x:c>
      <x:c r="D476" s="28" t="n">
        <x:v>60</x:v>
      </x:c>
      <x:c r="E476" s="39" t="n">
        <x:f>(C476-D476)/C476*100</x:f>
        <x:v>6.25</x:v>
      </x:c>
      <x:c r="F476" s="28" t="str">
        <x:f>IF(C476=D476,"YES","NO")</x:f>
        <x:v>NO</x:v>
      </x:c>
      <x:c r="G476" s="28" t="str">
        <x:v>Optimal</x:v>
      </x:c>
      <x:c r="H476" s="59" t="n">
        <x:v>592.64</x:v>
      </x:c>
    </x:row>
    <x:row r="477">
      <x:c r="A477" s="27" t="str">
        <x:v>bpps_d200n200m5w40_60s20_40f1_seed0</x:v>
      </x:c>
      <x:c r="B477" s="28" t="n">
        <x:v>200</x:v>
      </x:c>
      <x:c r="C477" s="28" t="n">
        <x:v>859</x:v>
      </x:c>
      <x:c r="D477" s="28" t="n">
        <x:v>807</x:v>
      </x:c>
      <x:c r="E477" s="39" t="n">
        <x:f>(C477-D477)/C477*100</x:f>
        <x:v>6.053550640279394</x:v>
      </x:c>
      <x:c r="F477" s="28" t="str">
        <x:f>IF(C477=D477,"YES","NO")</x:f>
        <x:v>NO</x:v>
      </x:c>
      <x:c r="G477" s="28" t="str">
        <x:v>Optimal</x:v>
      </x:c>
      <x:c r="H477" s="59" t="n">
        <x:v>601.44</x:v>
      </x:c>
    </x:row>
    <x:row r="478">
      <x:c r="A478" s="27" t="str">
        <x:v>bpps_d200n200m5w40_60s2_20f0_seed0</x:v>
      </x:c>
      <x:c r="B478" s="28" t="n">
        <x:v>200</x:v>
      </x:c>
      <x:c r="C478" s="28" t="n">
        <x:v>58</x:v>
      </x:c>
      <x:c r="D478" s="28" t="n">
        <x:v>53</x:v>
      </x:c>
      <x:c r="E478" s="39" t="n">
        <x:f>(C478-D478)/C478*100</x:f>
        <x:v>8.620689655172415</x:v>
      </x:c>
      <x:c r="F478" s="28" t="str">
        <x:f>IF(C478=D478,"YES","NO")</x:f>
        <x:v>NO</x:v>
      </x:c>
      <x:c r="G478" s="28" t="str">
        <x:v>Optimal</x:v>
      </x:c>
      <x:c r="H478" s="59" t="n">
        <x:v>5.39</x:v>
      </x:c>
    </x:row>
    <x:row r="479">
      <x:c r="A479" s="27" t="str">
        <x:v>bpps_d200n200m5w40_60s2_20f1_seed0</x:v>
      </x:c>
      <x:c r="B479" s="28" t="n">
        <x:v>200</x:v>
      </x:c>
      <x:c r="C479" s="28" t="n">
        <x:v>754</x:v>
      </x:c>
      <x:c r="D479" s="28" t="n">
        <x:v>721</x:v>
      </x:c>
      <x:c r="E479" s="39" t="n">
        <x:f>(C479-D479)/C479*100</x:f>
        <x:v>4.376657824933687</x:v>
      </x:c>
      <x:c r="F479" s="28" t="str">
        <x:f>IF(C479=D479,"YES","NO")</x:f>
        <x:v>NO</x:v>
      </x:c>
      <x:c r="G479" s="28" t="str">
        <x:v>Optimal</x:v>
      </x:c>
      <x:c r="H479" s="59" t="n">
        <x:v>28.11</x:v>
      </x:c>
    </x:row>
    <x:row r="480">
      <x:c r="A480" s="27" t="str">
        <x:v>bpps_d200n200m5w40_60s2_40f0_seed0</x:v>
      </x:c>
      <x:c r="B480" s="28" t="n">
        <x:v>200</x:v>
      </x:c>
      <x:c r="C480" s="28" t="n">
        <x:v>60</x:v>
      </x:c>
      <x:c r="D480" s="28" t="n">
        <x:v>56</x:v>
      </x:c>
      <x:c r="E480" s="39" t="n">
        <x:f>(C480-D480)/C480*100</x:f>
        <x:v>6.666666666666667</x:v>
      </x:c>
      <x:c r="F480" s="28" t="str">
        <x:f>IF(C480=D480,"YES","NO")</x:f>
        <x:v>NO</x:v>
      </x:c>
      <x:c r="G480" s="28" t="str">
        <x:v>Optimal</x:v>
      </x:c>
      <x:c r="H480" s="59" t="n">
        <x:v>602.53</x:v>
      </x:c>
    </x:row>
    <x:row r="481">
      <x:c r="A481" s="27" t="str">
        <x:v>bpps_d200n200m5w40_60s2_40f1_seed0</x:v>
      </x:c>
      <x:c r="B481" s="28" t="n">
        <x:v>200</x:v>
      </x:c>
      <x:c r="C481" s="28" t="n">
        <x:v>822</x:v>
      </x:c>
      <x:c r="D481" s="28" t="n">
        <x:v>771</x:v>
      </x:c>
      <x:c r="E481" s="39" t="n">
        <x:f>(C481-D481)/C481*100</x:f>
        <x:v>6.204379562043796</x:v>
      </x:c>
      <x:c r="F481" s="28" t="str">
        <x:f>IF(C481=D481,"YES","NO")</x:f>
        <x:v>NO</x:v>
      </x:c>
      <x:c r="G481" s="28" t="str">
        <x:v>Optimal</x:v>
      </x:c>
      <x:c r="H481" s="59" t="n">
        <x:v>389.94</x:v>
      </x:c>
    </x:row>
    <x:row r="482">
      <x:c r="A482" s="27" t="str">
        <x:v>bpps_d200n25m10w20_40s20_40f0_seed0</x:v>
      </x:c>
      <x:c r="B482" s="28" t="n">
        <x:v>25</x:v>
      </x:c>
      <x:c r="C482" s="28" t="n">
        <x:v>6</x:v>
      </x:c>
      <x:c r="D482" s="28" t="n">
        <x:v>6</x:v>
      </x:c>
      <x:c r="E482" s="39" t="n">
        <x:f>(C482-D482)/C482*100</x:f>
        <x:v>0</x:v>
      </x:c>
      <x:c r="F482" s="28" t="str">
        <x:f>IF(C482=D482,"YES","NO")</x:f>
        <x:v>YES</x:v>
      </x:c>
      <x:c r="G482" s="28" t="str">
        <x:v>Optimal</x:v>
      </x:c>
      <x:c r="H482" s="59" t="n">
        <x:v>0.87</x:v>
      </x:c>
    </x:row>
    <x:row r="483">
      <x:c r="A483" s="27" t="str">
        <x:v>bpps_d200n25m10w20_40s20_40f1_seed0</x:v>
      </x:c>
      <x:c r="B483" s="28" t="n">
        <x:v>25</x:v>
      </x:c>
      <x:c r="C483" s="28" t="n">
        <x:v>115</x:v>
      </x:c>
      <x:c r="D483" s="28" t="n">
        <x:v>115</x:v>
      </x:c>
      <x:c r="E483" s="39" t="n">
        <x:f>(C483-D483)/C483*100</x:f>
        <x:v>0</x:v>
      </x:c>
      <x:c r="F483" s="28" t="str">
        <x:f>IF(C483=D483,"YES","NO")</x:f>
        <x:v>YES</x:v>
      </x:c>
      <x:c r="G483" s="28" t="str">
        <x:v>Optimal</x:v>
      </x:c>
      <x:c r="H483" s="59" t="n">
        <x:v>11.31</x:v>
      </x:c>
    </x:row>
    <x:row r="484">
      <x:c r="A484" s="27" t="str">
        <x:v>bpps_d200n25m10w20_40s2_20f0_seed0</x:v>
      </x:c>
      <x:c r="B484" s="28" t="n">
        <x:v>25</x:v>
      </x:c>
      <x:c r="C484" s="28" t="n">
        <x:v>5</x:v>
      </x:c>
      <x:c r="D484" s="28" t="n">
        <x:v>5</x:v>
      </x:c>
      <x:c r="E484" s="39" t="n">
        <x:f>(C484-D484)/C484*100</x:f>
        <x:v>0</x:v>
      </x:c>
      <x:c r="F484" s="28" t="str">
        <x:f>IF(C484=D484,"YES","NO")</x:f>
        <x:v>YES</x:v>
      </x:c>
      <x:c r="G484" s="28" t="str">
        <x:v>Optimal</x:v>
      </x:c>
      <x:c r="H484" s="59" t="n">
        <x:v>0.72</x:v>
      </x:c>
    </x:row>
    <x:row r="485">
      <x:c r="A485" s="27" t="str">
        <x:v>bpps_d200n25m10w20_40s2_20f1_seed0</x:v>
      </x:c>
      <x:c r="B485" s="28" t="n">
        <x:v>25</x:v>
      </x:c>
      <x:c r="C485" s="28" t="n">
        <x:v>97</x:v>
      </x:c>
      <x:c r="D485" s="28" t="n">
        <x:v>97</x:v>
      </x:c>
      <x:c r="E485" s="39" t="n">
        <x:f>(C485-D485)/C485*100</x:f>
        <x:v>0</x:v>
      </x:c>
      <x:c r="F485" s="28" t="str">
        <x:f>IF(C485=D485,"YES","NO")</x:f>
        <x:v>YES</x:v>
      </x:c>
      <x:c r="G485" s="28" t="str">
        <x:v>Optimal</x:v>
      </x:c>
      <x:c r="H485" s="59" t="n">
        <x:v>0.69</x:v>
      </x:c>
    </x:row>
    <x:row r="486">
      <x:c r="A486" s="27" t="str">
        <x:v>bpps_d200n25m10w20_40s2_40f0_seed0</x:v>
      </x:c>
      <x:c r="B486" s="28" t="n">
        <x:v>25</x:v>
      </x:c>
      <x:c r="C486" s="28" t="n">
        <x:v>6</x:v>
      </x:c>
      <x:c r="D486" s="28" t="n">
        <x:v>5</x:v>
      </x:c>
      <x:c r="E486" s="39" t="n">
        <x:f>(C486-D486)/C486*100</x:f>
        <x:v>16.666666666666664</x:v>
      </x:c>
      <x:c r="F486" s="28" t="str">
        <x:f>IF(C486=D486,"YES","NO")</x:f>
        <x:v>NO</x:v>
      </x:c>
      <x:c r="G486" s="28" t="str">
        <x:v>Optimal</x:v>
      </x:c>
      <x:c r="H486" s="59" t="n">
        <x:v>2.29</x:v>
      </x:c>
    </x:row>
    <x:row r="487">
      <x:c r="A487" s="27" t="str">
        <x:v>bpps_d200n25m10w20_40s2_40f1_seed0</x:v>
      </x:c>
      <x:c r="B487" s="28" t="n">
        <x:v>25</x:v>
      </x:c>
      <x:c r="C487" s="28" t="n">
        <x:v>101</x:v>
      </x:c>
      <x:c r="D487" s="28" t="n">
        <x:v>101</x:v>
      </x:c>
      <x:c r="E487" s="39" t="n">
        <x:f>(C487-D487)/C487*100</x:f>
        <x:v>0</x:v>
      </x:c>
      <x:c r="F487" s="28" t="str">
        <x:f>IF(C487=D487,"YES","NO")</x:f>
        <x:v>YES</x:v>
      </x:c>
      <x:c r="G487" s="28" t="str">
        <x:v>Optimal</x:v>
      </x:c>
      <x:c r="H487" s="59" t="n">
        <x:v>0.74</x:v>
      </x:c>
    </x:row>
    <x:row r="488">
      <x:c r="A488" s="27" t="str">
        <x:v>bpps_d200n25m10w2_20s20_40f0_seed0</x:v>
      </x:c>
      <x:c r="B488" s="28" t="n">
        <x:v>25</x:v>
      </x:c>
      <x:c r="C488" s="28" t="n">
        <x:v>5</x:v>
      </x:c>
      <x:c r="D488" s="28" t="n">
        <x:v>5</x:v>
      </x:c>
      <x:c r="E488" s="39" t="n">
        <x:f>(C488-D488)/C488*100</x:f>
        <x:v>0</x:v>
      </x:c>
      <x:c r="F488" s="28" t="str">
        <x:f>IF(C488=D488,"YES","NO")</x:f>
        <x:v>YES</x:v>
      </x:c>
      <x:c r="G488" s="28" t="str">
        <x:v>Optimal</x:v>
      </x:c>
      <x:c r="H488" s="59" t="n">
        <x:v>0.71</x:v>
      </x:c>
    </x:row>
    <x:row r="489">
      <x:c r="A489" s="27" t="str">
        <x:v>bpps_d200n25m10w2_20s20_40f1_seed0</x:v>
      </x:c>
      <x:c r="B489" s="28" t="n">
        <x:v>25</x:v>
      </x:c>
      <x:c r="C489" s="28" t="n">
        <x:v>80</x:v>
      </x:c>
      <x:c r="D489" s="28" t="n">
        <x:v>80</x:v>
      </x:c>
      <x:c r="E489" s="39" t="n">
        <x:f>(C489-D489)/C489*100</x:f>
        <x:v>0</x:v>
      </x:c>
      <x:c r="F489" s="28" t="str">
        <x:f>IF(C489=D489,"YES","NO")</x:f>
        <x:v>YES</x:v>
      </x:c>
      <x:c r="G489" s="28" t="str">
        <x:v>Optimal</x:v>
      </x:c>
      <x:c r="H489" s="59" t="n">
        <x:v>0.78</x:v>
      </x:c>
    </x:row>
    <x:row r="490">
      <x:c r="A490" s="27" t="str">
        <x:v>bpps_d200n25m10w2_20s2_20f0_seed0</x:v>
      </x:c>
      <x:c r="B490" s="28" t="n">
        <x:v>25</x:v>
      </x:c>
      <x:c r="C490" s="28" t="n">
        <x:v>4</x:v>
      </x:c>
      <x:c r="D490" s="28" t="n">
        <x:v>4</x:v>
      </x:c>
      <x:c r="E490" s="39" t="n">
        <x:f>(C490-D490)/C490*100</x:f>
        <x:v>0</x:v>
      </x:c>
      <x:c r="F490" s="28" t="str">
        <x:f>IF(C490=D490,"YES","NO")</x:f>
        <x:v>YES</x:v>
      </x:c>
      <x:c r="G490" s="28" t="str">
        <x:v>Optimal</x:v>
      </x:c>
      <x:c r="H490" s="59" t="n">
        <x:v>0.78</x:v>
      </x:c>
    </x:row>
    <x:row r="491">
      <x:c r="A491" s="27" t="str">
        <x:v>bpps_d200n25m10w2_20s2_20f1_seed0</x:v>
      </x:c>
      <x:c r="B491" s="28" t="n">
        <x:v>25</x:v>
      </x:c>
      <x:c r="C491" s="28" t="n">
        <x:v>74</x:v>
      </x:c>
      <x:c r="D491" s="28" t="n">
        <x:v>74</x:v>
      </x:c>
      <x:c r="E491" s="39" t="n">
        <x:f>(C491-D491)/C491*100</x:f>
        <x:v>0</x:v>
      </x:c>
      <x:c r="F491" s="28" t="str">
        <x:f>IF(C491=D491,"YES","NO")</x:f>
        <x:v>YES</x:v>
      </x:c>
      <x:c r="G491" s="28" t="str">
        <x:v>Optimal</x:v>
      </x:c>
      <x:c r="H491" s="59" t="n">
        <x:v>1.03</x:v>
      </x:c>
    </x:row>
    <x:row r="492">
      <x:c r="A492" s="27" t="str">
        <x:v>bpps_d200n25m10w2_20s2_40f0_seed0</x:v>
      </x:c>
      <x:c r="B492" s="28" t="n">
        <x:v>25</x:v>
      </x:c>
      <x:c r="C492" s="28" t="n">
        <x:v>4</x:v>
      </x:c>
      <x:c r="D492" s="28" t="n">
        <x:v>4</x:v>
      </x:c>
      <x:c r="E492" s="39" t="n">
        <x:f>(C492-D492)/C492*100</x:f>
        <x:v>0</x:v>
      </x:c>
      <x:c r="F492" s="28" t="str">
        <x:f>IF(C492=D492,"YES","NO")</x:f>
        <x:v>YES</x:v>
      </x:c>
      <x:c r="G492" s="28" t="str">
        <x:v>Optimal</x:v>
      </x:c>
      <x:c r="H492" s="59" t="n">
        <x:v>0.87</x:v>
      </x:c>
    </x:row>
    <x:row r="493">
      <x:c r="A493" s="27" t="str">
        <x:v>bpps_d200n25m10w2_20s2_40f1_seed0</x:v>
      </x:c>
      <x:c r="B493" s="28" t="n">
        <x:v>25</x:v>
      </x:c>
      <x:c r="C493" s="28" t="n">
        <x:v>80</x:v>
      </x:c>
      <x:c r="D493" s="28" t="n">
        <x:v>80</x:v>
      </x:c>
      <x:c r="E493" s="39" t="n">
        <x:f>(C493-D493)/C493*100</x:f>
        <x:v>0</x:v>
      </x:c>
      <x:c r="F493" s="28" t="str">
        <x:f>IF(C493=D493,"YES","NO")</x:f>
        <x:v>YES</x:v>
      </x:c>
      <x:c r="G493" s="28" t="str">
        <x:v>Optimal</x:v>
      </x:c>
      <x:c r="H493" s="59" t="n">
        <x:v>0.92</x:v>
      </x:c>
    </x:row>
    <x:row r="494">
      <x:c r="A494" s="27" t="str">
        <x:v>bpps_d200n25m10w2_60s20_40f0_seed0</x:v>
      </x:c>
      <x:c r="B494" s="28" t="n">
        <x:v>25</x:v>
      </x:c>
      <x:c r="C494" s="28" t="n">
        <x:v>7</x:v>
      </x:c>
      <x:c r="D494" s="28" t="n">
        <x:v>6</x:v>
      </x:c>
      <x:c r="E494" s="39" t="n">
        <x:f>(C494-D494)/C494*100</x:f>
        <x:v>14.285714285714285</x:v>
      </x:c>
      <x:c r="F494" s="28" t="str">
        <x:f>IF(C494=D494,"YES","NO")</x:f>
        <x:v>NO</x:v>
      </x:c>
      <x:c r="G494" s="28" t="str">
        <x:v>Optimal</x:v>
      </x:c>
      <x:c r="H494" s="59" t="n">
        <x:v>1.01</x:v>
      </x:c>
    </x:row>
    <x:row r="495">
      <x:c r="A495" s="27" t="str">
        <x:v>bpps_d200n25m10w2_60s20_40f1_seed0</x:v>
      </x:c>
      <x:c r="B495" s="28" t="n">
        <x:v>25</x:v>
      </x:c>
      <x:c r="C495" s="28" t="n">
        <x:v>114</x:v>
      </x:c>
      <x:c r="D495" s="28" t="n">
        <x:v>114</x:v>
      </x:c>
      <x:c r="E495" s="39" t="n">
        <x:f>(C495-D495)/C495*100</x:f>
        <x:v>0</x:v>
      </x:c>
      <x:c r="F495" s="28" t="str">
        <x:f>IF(C495=D495,"YES","NO")</x:f>
        <x:v>YES</x:v>
      </x:c>
      <x:c r="G495" s="28" t="str">
        <x:v>Optimal</x:v>
      </x:c>
      <x:c r="H495" s="59" t="n">
        <x:v>0.98</x:v>
      </x:c>
    </x:row>
    <x:row r="496">
      <x:c r="A496" s="27" t="str">
        <x:v>bpps_d200n25m10w2_60s2_20f0_seed0</x:v>
      </x:c>
      <x:c r="B496" s="28" t="n">
        <x:v>25</x:v>
      </x:c>
      <x:c r="C496" s="28" t="n">
        <x:v>5</x:v>
      </x:c>
      <x:c r="D496" s="28" t="n">
        <x:v>5</x:v>
      </x:c>
      <x:c r="E496" s="39" t="n">
        <x:f>(C496-D496)/C496*100</x:f>
        <x:v>0</x:v>
      </x:c>
      <x:c r="F496" s="28" t="str">
        <x:f>IF(C496=D496,"YES","NO")</x:f>
        <x:v>YES</x:v>
      </x:c>
      <x:c r="G496" s="28" t="str">
        <x:v>Optimal</x:v>
      </x:c>
      <x:c r="H496" s="59" t="n">
        <x:v>1.22</x:v>
      </x:c>
    </x:row>
    <x:row r="497">
      <x:c r="A497" s="27" t="str">
        <x:v>bpps_d200n25m10w2_60s2_20f1_seed0</x:v>
      </x:c>
      <x:c r="B497" s="28" t="n">
        <x:v>25</x:v>
      </x:c>
      <x:c r="C497" s="28" t="n">
        <x:v>104</x:v>
      </x:c>
      <x:c r="D497" s="28" t="n">
        <x:v>104</x:v>
      </x:c>
      <x:c r="E497" s="39" t="n">
        <x:f>(C497-D497)/C497*100</x:f>
        <x:v>0</x:v>
      </x:c>
      <x:c r="F497" s="28" t="str">
        <x:f>IF(C497=D497,"YES","NO")</x:f>
        <x:v>YES</x:v>
      </x:c>
      <x:c r="G497" s="28" t="str">
        <x:v>Optimal</x:v>
      </x:c>
      <x:c r="H497" s="59" t="n">
        <x:v>0.87</x:v>
      </x:c>
    </x:row>
    <x:row r="498">
      <x:c r="A498" s="27" t="str">
        <x:v>bpps_d200n25m10w2_60s2_40f0_seed0</x:v>
      </x:c>
      <x:c r="B498" s="28" t="n">
        <x:v>25</x:v>
      </x:c>
      <x:c r="C498" s="28" t="n">
        <x:v>6</x:v>
      </x:c>
      <x:c r="D498" s="28" t="n">
        <x:v>6</x:v>
      </x:c>
      <x:c r="E498" s="39" t="n">
        <x:f>(C498-D498)/C498*100</x:f>
        <x:v>0</x:v>
      </x:c>
      <x:c r="F498" s="28" t="str">
        <x:f>IF(C498=D498,"YES","NO")</x:f>
        <x:v>YES</x:v>
      </x:c>
      <x:c r="G498" s="28" t="str">
        <x:v>Optimal</x:v>
      </x:c>
      <x:c r="H498" s="59" t="n">
        <x:v>21.84</x:v>
      </x:c>
    </x:row>
    <x:row r="499">
      <x:c r="A499" s="27" t="str">
        <x:v>bpps_d200n25m10w2_60s2_40f1_seed0</x:v>
      </x:c>
      <x:c r="B499" s="28" t="n">
        <x:v>25</x:v>
      </x:c>
      <x:c r="C499" s="28" t="n">
        <x:v>110</x:v>
      </x:c>
      <x:c r="D499" s="28" t="n">
        <x:v>100</x:v>
      </x:c>
      <x:c r="E499" s="39" t="n">
        <x:f>(C499-D499)/C499*100</x:f>
        <x:v>9.090909090909092</x:v>
      </x:c>
      <x:c r="F499" s="28" t="str">
        <x:f>IF(C499=D499,"YES","NO")</x:f>
        <x:v>NO</x:v>
      </x:c>
      <x:c r="G499" s="28" t="str">
        <x:v>Optimal</x:v>
      </x:c>
      <x:c r="H499" s="59" t="n">
        <x:v>0.78</x:v>
      </x:c>
    </x:row>
    <x:row r="500">
      <x:c r="A500" s="27" t="str">
        <x:v>bpps_d200n25m10w40_60s20_40f0_seed0</x:v>
      </x:c>
      <x:c r="B500" s="28" t="n">
        <x:v>25</x:v>
      </x:c>
      <x:c r="C500" s="28" t="n">
        <x:v>9</x:v>
      </x:c>
      <x:c r="D500" s="28" t="n">
        <x:v>9</x:v>
      </x:c>
      <x:c r="E500" s="39" t="n">
        <x:f>(C500-D500)/C500*100</x:f>
        <x:v>0</x:v>
      </x:c>
      <x:c r="F500" s="28" t="str">
        <x:f>IF(C500=D500,"YES","NO")</x:f>
        <x:v>YES</x:v>
      </x:c>
      <x:c r="G500" s="28" t="str">
        <x:v>Optimal</x:v>
      </x:c>
      <x:c r="H500" s="59" t="n">
        <x:v>0.81</x:v>
      </x:c>
    </x:row>
    <x:row r="501">
      <x:c r="A501" s="27" t="str">
        <x:v>bpps_d200n25m10w40_60s20_40f1_seed0</x:v>
      </x:c>
      <x:c r="B501" s="28" t="n">
        <x:v>25</x:v>
      </x:c>
      <x:c r="C501" s="28" t="n">
        <x:v>141</x:v>
      </x:c>
      <x:c r="D501" s="28" t="n">
        <x:v>130</x:v>
      </x:c>
      <x:c r="E501" s="39" t="n">
        <x:f>(C501-D501)/C501*100</x:f>
        <x:v>7.801418439716312</x:v>
      </x:c>
      <x:c r="F501" s="28" t="str">
        <x:f>IF(C501=D501,"YES","NO")</x:f>
        <x:v>NO</x:v>
      </x:c>
      <x:c r="G501" s="28" t="str">
        <x:v>Optimal</x:v>
      </x:c>
      <x:c r="H501" s="59" t="n">
        <x:v>0.66</x:v>
      </x:c>
    </x:row>
    <x:row r="502">
      <x:c r="A502" s="27" t="str">
        <x:v>bpps_d200n25m10w40_60s2_20f0_seed0</x:v>
      </x:c>
      <x:c r="B502" s="28" t="n">
        <x:v>25</x:v>
      </x:c>
      <x:c r="C502" s="28" t="n">
        <x:v>8</x:v>
      </x:c>
      <x:c r="D502" s="28" t="n">
        <x:v>7</x:v>
      </x:c>
      <x:c r="E502" s="39" t="n">
        <x:f>(C502-D502)/C502*100</x:f>
        <x:v>12.5</x:v>
      </x:c>
      <x:c r="F502" s="28" t="str">
        <x:f>IF(C502=D502,"YES","NO")</x:f>
        <x:v>NO</x:v>
      </x:c>
      <x:c r="G502" s="28" t="str">
        <x:v>Optimal</x:v>
      </x:c>
      <x:c r="H502" s="59" t="n">
        <x:v>16.92</x:v>
      </x:c>
    </x:row>
    <x:row r="503">
      <x:c r="A503" s="27" t="str">
        <x:v>bpps_d200n25m10w40_60s2_20f1_seed0</x:v>
      </x:c>
      <x:c r="B503" s="28" t="n">
        <x:v>25</x:v>
      </x:c>
      <x:c r="C503" s="28" t="n">
        <x:v>122</x:v>
      </x:c>
      <x:c r="D503" s="28" t="n">
        <x:v>122</x:v>
      </x:c>
      <x:c r="E503" s="39" t="n">
        <x:f>(C503-D503)/C503*100</x:f>
        <x:v>0</x:v>
      </x:c>
      <x:c r="F503" s="28" t="str">
        <x:f>IF(C503=D503,"YES","NO")</x:f>
        <x:v>YES</x:v>
      </x:c>
      <x:c r="G503" s="28" t="str">
        <x:v>Optimal</x:v>
      </x:c>
      <x:c r="H503" s="59" t="n">
        <x:v>58.66</x:v>
      </x:c>
    </x:row>
    <x:row r="504">
      <x:c r="A504" s="27" t="str">
        <x:v>bpps_d200n25m10w40_60s2_40f0_seed0</x:v>
      </x:c>
      <x:c r="B504" s="28" t="n">
        <x:v>25</x:v>
      </x:c>
      <x:c r="C504" s="28" t="n">
        <x:v>8</x:v>
      </x:c>
      <x:c r="D504" s="28" t="n">
        <x:v>8</x:v>
      </x:c>
      <x:c r="E504" s="39" t="n">
        <x:f>(C504-D504)/C504*100</x:f>
        <x:v>0</x:v>
      </x:c>
      <x:c r="F504" s="28" t="str">
        <x:f>IF(C504=D504,"YES","NO")</x:f>
        <x:v>YES</x:v>
      </x:c>
      <x:c r="G504" s="28" t="str">
        <x:v>Optimal</x:v>
      </x:c>
      <x:c r="H504" s="59" t="n">
        <x:v>2.17</x:v>
      </x:c>
    </x:row>
    <x:row r="505">
      <x:c r="A505" s="27" t="str">
        <x:v>bpps_d200n25m10w40_60s2_40f1_seed0</x:v>
      </x:c>
      <x:c r="B505" s="28" t="n">
        <x:v>25</x:v>
      </x:c>
      <x:c r="C505" s="28" t="n">
        <x:v>123</x:v>
      </x:c>
      <x:c r="D505" s="28" t="n">
        <x:v>116</x:v>
      </x:c>
      <x:c r="E505" s="39" t="n">
        <x:f>(C505-D505)/C505*100</x:f>
        <x:v>5.691056910569105</x:v>
      </x:c>
      <x:c r="F505" s="28" t="str">
        <x:f>IF(C505=D505,"YES","NO")</x:f>
        <x:v>NO</x:v>
      </x:c>
      <x:c r="G505" s="28" t="str">
        <x:v>Optimal</x:v>
      </x:c>
      <x:c r="H505" s="59" t="n">
        <x:v>3.46</x:v>
      </x:c>
    </x:row>
    <x:row r="506">
      <x:c r="A506" s="27" t="str">
        <x:v>bpps_d200n25m5w20_40s20_40f0_seed0</x:v>
      </x:c>
      <x:c r="B506" s="28" t="n">
        <x:v>25</x:v>
      </x:c>
      <x:c r="C506" s="28" t="n">
        <x:v>6</x:v>
      </x:c>
      <x:c r="D506" s="28" t="n">
        <x:v>6</x:v>
      </x:c>
      <x:c r="E506" s="39" t="n">
        <x:f>(C506-D506)/C506*100</x:f>
        <x:v>0</x:v>
      </x:c>
      <x:c r="F506" s="28" t="str">
        <x:f>IF(C506=D506,"YES","NO")</x:f>
        <x:v>YES</x:v>
      </x:c>
      <x:c r="G506" s="28" t="str">
        <x:v>Optimal</x:v>
      </x:c>
      <x:c r="H506" s="59" t="n">
        <x:v>0.79</x:v>
      </x:c>
    </x:row>
    <x:row r="507">
      <x:c r="A507" s="27" t="str">
        <x:v>bpps_d200n25m5w20_40s20_40f1_seed0</x:v>
      </x:c>
      <x:c r="B507" s="28" t="n">
        <x:v>25</x:v>
      </x:c>
      <x:c r="C507" s="28" t="n">
        <x:v>94</x:v>
      </x:c>
      <x:c r="D507" s="28" t="n">
        <x:v>94</x:v>
      </x:c>
      <x:c r="E507" s="39" t="n">
        <x:f>(C507-D507)/C507*100</x:f>
        <x:v>0</x:v>
      </x:c>
      <x:c r="F507" s="28" t="str">
        <x:f>IF(C507=D507,"YES","NO")</x:f>
        <x:v>YES</x:v>
      </x:c>
      <x:c r="G507" s="28" t="str">
        <x:v>Optimal</x:v>
      </x:c>
      <x:c r="H507" s="59" t="n">
        <x:v>0.89</x:v>
      </x:c>
    </x:row>
    <x:row r="508">
      <x:c r="A508" s="27" t="str">
        <x:v>bpps_d200n25m5w20_40s2_20f0_seed0</x:v>
      </x:c>
      <x:c r="B508" s="28" t="n">
        <x:v>25</x:v>
      </x:c>
      <x:c r="C508" s="28" t="n">
        <x:v>5</x:v>
      </x:c>
      <x:c r="D508" s="28" t="n">
        <x:v>5</x:v>
      </x:c>
      <x:c r="E508" s="39" t="n">
        <x:f>(C508-D508)/C508*100</x:f>
        <x:v>0</x:v>
      </x:c>
      <x:c r="F508" s="28" t="str">
        <x:f>IF(C508=D508,"YES","NO")</x:f>
        <x:v>YES</x:v>
      </x:c>
      <x:c r="G508" s="28" t="str">
        <x:v>Optimal</x:v>
      </x:c>
      <x:c r="H508" s="59" t="n">
        <x:v>0.79</x:v>
      </x:c>
    </x:row>
    <x:row r="509">
      <x:c r="A509" s="27" t="str">
        <x:v>bpps_d200n25m5w20_40s2_20f1_seed0</x:v>
      </x:c>
      <x:c r="B509" s="28" t="n">
        <x:v>25</x:v>
      </x:c>
      <x:c r="C509" s="28" t="n">
        <x:v>87</x:v>
      </x:c>
      <x:c r="D509" s="28" t="n">
        <x:v>82</x:v>
      </x:c>
      <x:c r="E509" s="39" t="n">
        <x:f>(C509-D509)/C509*100</x:f>
        <x:v>5.747126436781609</x:v>
      </x:c>
      <x:c r="F509" s="28" t="str">
        <x:f>IF(C509=D509,"YES","NO")</x:f>
        <x:v>NO</x:v>
      </x:c>
      <x:c r="G509" s="28" t="str">
        <x:v>Optimal</x:v>
      </x:c>
      <x:c r="H509" s="59" t="n">
        <x:v>1.22</x:v>
      </x:c>
    </x:row>
    <x:row r="510">
      <x:c r="A510" s="27" t="str">
        <x:v>bpps_d200n25m5w20_40s2_40f0_seed0</x:v>
      </x:c>
      <x:c r="B510" s="28" t="n">
        <x:v>25</x:v>
      </x:c>
      <x:c r="C510" s="28" t="n">
        <x:v>6</x:v>
      </x:c>
      <x:c r="D510" s="28" t="n">
        <x:v>6</x:v>
      </x:c>
      <x:c r="E510" s="39" t="n">
        <x:f>(C510-D510)/C510*100</x:f>
        <x:v>0</x:v>
      </x:c>
      <x:c r="F510" s="28" t="str">
        <x:f>IF(C510=D510,"YES","NO")</x:f>
        <x:v>YES</x:v>
      </x:c>
      <x:c r="G510" s="28" t="str">
        <x:v>Optimal</x:v>
      </x:c>
      <x:c r="H510" s="59" t="n">
        <x:v>2.24</x:v>
      </x:c>
    </x:row>
    <x:row r="511">
      <x:c r="A511" s="27" t="str">
        <x:v>bpps_d200n25m5w20_40s2_40f1_seed0</x:v>
      </x:c>
      <x:c r="B511" s="28" t="n">
        <x:v>25</x:v>
      </x:c>
      <x:c r="C511" s="28" t="n">
        <x:v>99</x:v>
      </x:c>
      <x:c r="D511" s="28" t="n">
        <x:v>99</x:v>
      </x:c>
      <x:c r="E511" s="39" t="n">
        <x:f>(C511-D511)/C511*100</x:f>
        <x:v>0</x:v>
      </x:c>
      <x:c r="F511" s="28" t="str">
        <x:f>IF(C511=D511,"YES","NO")</x:f>
        <x:v>YES</x:v>
      </x:c>
      <x:c r="G511" s="28" t="str">
        <x:v>Optimal</x:v>
      </x:c>
      <x:c r="H511" s="59" t="n">
        <x:v>7.35</x:v>
      </x:c>
    </x:row>
    <x:row r="512">
      <x:c r="A512" s="27" t="str">
        <x:v>bpps_d200n25m5w2_20s20_40f0_seed0</x:v>
      </x:c>
      <x:c r="B512" s="28" t="n">
        <x:v>25</x:v>
      </x:c>
      <x:c r="C512" s="28" t="n">
        <x:v>4</x:v>
      </x:c>
      <x:c r="D512" s="28" t="n">
        <x:v>4</x:v>
      </x:c>
      <x:c r="E512" s="39" t="n">
        <x:f>(C512-D512)/C512*100</x:f>
        <x:v>0</x:v>
      </x:c>
      <x:c r="F512" s="28" t="str">
        <x:f>IF(C512=D512,"YES","NO")</x:f>
        <x:v>YES</x:v>
      </x:c>
      <x:c r="G512" s="28" t="str">
        <x:v>Optimal</x:v>
      </x:c>
      <x:c r="H512" s="59" t="n">
        <x:v>0.81</x:v>
      </x:c>
    </x:row>
    <x:row r="513">
      <x:c r="A513" s="27" t="str">
        <x:v>bpps_d200n25m5w2_20s20_40f1_seed0</x:v>
      </x:c>
      <x:c r="B513" s="28" t="n">
        <x:v>25</x:v>
      </x:c>
      <x:c r="C513" s="28" t="n">
        <x:v>74</x:v>
      </x:c>
      <x:c r="D513" s="28" t="n">
        <x:v>74</x:v>
      </x:c>
      <x:c r="E513" s="39" t="n">
        <x:f>(C513-D513)/C513*100</x:f>
        <x:v>0</x:v>
      </x:c>
      <x:c r="F513" s="28" t="str">
        <x:f>IF(C513=D513,"YES","NO")</x:f>
        <x:v>YES</x:v>
      </x:c>
      <x:c r="G513" s="28" t="str">
        <x:v>Optimal</x:v>
      </x:c>
      <x:c r="H513" s="59" t="n">
        <x:v>1.62</x:v>
      </x:c>
    </x:row>
    <x:row r="514">
      <x:c r="A514" s="27" t="str">
        <x:v>bpps_d200n25m5w2_20s2_20f0_seed0</x:v>
      </x:c>
      <x:c r="B514" s="28" t="n">
        <x:v>25</x:v>
      </x:c>
      <x:c r="C514" s="28" t="n">
        <x:v>4</x:v>
      </x:c>
      <x:c r="D514" s="28" t="n">
        <x:v>4</x:v>
      </x:c>
      <x:c r="E514" s="39" t="n">
        <x:f>(C514-D514)/C514*100</x:f>
        <x:v>0</x:v>
      </x:c>
      <x:c r="F514" s="28" t="str">
        <x:f>IF(C514=D514,"YES","NO")</x:f>
        <x:v>YES</x:v>
      </x:c>
      <x:c r="G514" s="28" t="str">
        <x:v>Optimal</x:v>
      </x:c>
      <x:c r="H514" s="59" t="n">
        <x:v>0.59</x:v>
      </x:c>
    </x:row>
    <x:row r="515">
      <x:c r="A515" s="27" t="str">
        <x:v>bpps_d200n25m5w2_20s2_20f1_seed0</x:v>
      </x:c>
      <x:c r="B515" s="28" t="n">
        <x:v>25</x:v>
      </x:c>
      <x:c r="C515" s="28" t="n">
        <x:v>79</x:v>
      </x:c>
      <x:c r="D515" s="28" t="n">
        <x:v>75</x:v>
      </x:c>
      <x:c r="E515" s="39" t="n">
        <x:f>(C515-D515)/C515*100</x:f>
        <x:v>5.063291139240507</x:v>
      </x:c>
      <x:c r="F515" s="28" t="str">
        <x:f>IF(C515=D515,"YES","NO")</x:f>
        <x:v>NO</x:v>
      </x:c>
      <x:c r="G515" s="28" t="str">
        <x:v>Optimal</x:v>
      </x:c>
      <x:c r="H515" s="59" t="n">
        <x:v>0.63</x:v>
      </x:c>
    </x:row>
    <x:row r="516">
      <x:c r="A516" s="27" t="str">
        <x:v>bpps_d200n25m5w2_20s2_40f0_seed0</x:v>
      </x:c>
      <x:c r="B516" s="28" t="n">
        <x:v>25</x:v>
      </x:c>
      <x:c r="C516" s="28" t="n">
        <x:v>4</x:v>
      </x:c>
      <x:c r="D516" s="28" t="n">
        <x:v>4</x:v>
      </x:c>
      <x:c r="E516" s="39" t="n">
        <x:f>(C516-D516)/C516*100</x:f>
        <x:v>0</x:v>
      </x:c>
      <x:c r="F516" s="28" t="str">
        <x:f>IF(C516=D516,"YES","NO")</x:f>
        <x:v>YES</x:v>
      </x:c>
      <x:c r="G516" s="28" t="str">
        <x:v>Optimal</x:v>
      </x:c>
      <x:c r="H516" s="59" t="n">
        <x:v>0.66</x:v>
      </x:c>
    </x:row>
    <x:row r="517">
      <x:c r="A517" s="27" t="str">
        <x:v>bpps_d200n25m5w2_20s2_40f1_seed0</x:v>
      </x:c>
      <x:c r="B517" s="28" t="n">
        <x:v>25</x:v>
      </x:c>
      <x:c r="C517" s="28" t="n">
        <x:v>75</x:v>
      </x:c>
      <x:c r="D517" s="28" t="n">
        <x:v>74</x:v>
      </x:c>
      <x:c r="E517" s="39" t="n">
        <x:f>(C517-D517)/C517*100</x:f>
        <x:v>1.3333333333333335</x:v>
      </x:c>
      <x:c r="F517" s="28" t="str">
        <x:f>IF(C517=D517,"YES","NO")</x:f>
        <x:v>NO</x:v>
      </x:c>
      <x:c r="G517" s="28" t="str">
        <x:v>Optimal</x:v>
      </x:c>
      <x:c r="H517" s="59" t="n">
        <x:v>1.59</x:v>
      </x:c>
    </x:row>
    <x:row r="518">
      <x:c r="A518" s="27" t="str">
        <x:v>bpps_d200n25m5w2_60s20_40f0_seed0</x:v>
      </x:c>
      <x:c r="B518" s="28" t="n">
        <x:v>25</x:v>
      </x:c>
      <x:c r="C518" s="28" t="n">
        <x:v>7</x:v>
      </x:c>
      <x:c r="D518" s="28" t="n">
        <x:v>7</x:v>
      </x:c>
      <x:c r="E518" s="39" t="n">
        <x:f>(C518-D518)/C518*100</x:f>
        <x:v>0</x:v>
      </x:c>
      <x:c r="F518" s="28" t="str">
        <x:f>IF(C518=D518,"YES","NO")</x:f>
        <x:v>YES</x:v>
      </x:c>
      <x:c r="G518" s="28" t="str">
        <x:v>Optimal</x:v>
      </x:c>
      <x:c r="H518" s="59" t="n">
        <x:v>0.71</x:v>
      </x:c>
    </x:row>
    <x:row r="519">
      <x:c r="A519" s="27" t="str">
        <x:v>bpps_d200n25m5w2_60s20_40f1_seed0</x:v>
      </x:c>
      <x:c r="B519" s="28" t="n">
        <x:v>25</x:v>
      </x:c>
      <x:c r="C519" s="28" t="n">
        <x:v>101</x:v>
      </x:c>
      <x:c r="D519" s="28" t="n">
        <x:v>101</x:v>
      </x:c>
      <x:c r="E519" s="39" t="n">
        <x:f>(C519-D519)/C519*100</x:f>
        <x:v>0</x:v>
      </x:c>
      <x:c r="F519" s="28" t="str">
        <x:f>IF(C519=D519,"YES","NO")</x:f>
        <x:v>YES</x:v>
      </x:c>
      <x:c r="G519" s="28" t="str">
        <x:v>Optimal</x:v>
      </x:c>
      <x:c r="H519" s="59" t="n">
        <x:v>5.16</x:v>
      </x:c>
    </x:row>
    <x:row r="520">
      <x:c r="A520" s="27" t="str">
        <x:v>bpps_d200n25m5w2_60s2_20f0_seed0</x:v>
      </x:c>
      <x:c r="B520" s="28" t="n">
        <x:v>25</x:v>
      </x:c>
      <x:c r="C520" s="28" t="n">
        <x:v>6</x:v>
      </x:c>
      <x:c r="D520" s="28" t="n">
        <x:v>6</x:v>
      </x:c>
      <x:c r="E520" s="39" t="n">
        <x:f>(C520-D520)/C520*100</x:f>
        <x:v>0</x:v>
      </x:c>
      <x:c r="F520" s="28" t="str">
        <x:f>IF(C520=D520,"YES","NO")</x:f>
        <x:v>YES</x:v>
      </x:c>
      <x:c r="G520" s="28" t="str">
        <x:v>Optimal</x:v>
      </x:c>
      <x:c r="H520" s="59" t="n">
        <x:v>1.17</x:v>
      </x:c>
    </x:row>
    <x:row r="521">
      <x:c r="A521" s="27" t="str">
        <x:v>bpps_d200n25m5w2_60s2_20f1_seed0</x:v>
      </x:c>
      <x:c r="B521" s="28" t="n">
        <x:v>25</x:v>
      </x:c>
      <x:c r="C521" s="28" t="n">
        <x:v>94</x:v>
      </x:c>
      <x:c r="D521" s="28" t="n">
        <x:v>94</x:v>
      </x:c>
      <x:c r="E521" s="39" t="n">
        <x:f>(C521-D521)/C521*100</x:f>
        <x:v>0</x:v>
      </x:c>
      <x:c r="F521" s="28" t="str">
        <x:f>IF(C521=D521,"YES","NO")</x:f>
        <x:v>YES</x:v>
      </x:c>
      <x:c r="G521" s="28" t="str">
        <x:v>Optimal</x:v>
      </x:c>
      <x:c r="H521" s="59" t="n">
        <x:v>1.06</x:v>
      </x:c>
    </x:row>
    <x:row r="522">
      <x:c r="A522" s="27" t="str">
        <x:v>bpps_d200n25m5w2_60s2_40f0_seed0</x:v>
      </x:c>
      <x:c r="B522" s="28" t="n">
        <x:v>25</x:v>
      </x:c>
      <x:c r="C522" s="28" t="n">
        <x:v>6</x:v>
      </x:c>
      <x:c r="D522" s="28" t="n">
        <x:v>6</x:v>
      </x:c>
      <x:c r="E522" s="39" t="n">
        <x:f>(C522-D522)/C522*100</x:f>
        <x:v>0</x:v>
      </x:c>
      <x:c r="F522" s="28" t="str">
        <x:f>IF(C522=D522,"YES","NO")</x:f>
        <x:v>YES</x:v>
      </x:c>
      <x:c r="G522" s="28" t="str">
        <x:v>Optimal</x:v>
      </x:c>
      <x:c r="H522" s="59" t="n">
        <x:v>1.12</x:v>
      </x:c>
    </x:row>
    <x:row r="523">
      <x:c r="A523" s="27" t="str">
        <x:v>bpps_d200n25m5w2_60s2_40f1_seed0</x:v>
      </x:c>
      <x:c r="B523" s="28" t="n">
        <x:v>25</x:v>
      </x:c>
      <x:c r="C523" s="28" t="n">
        <x:v>105</x:v>
      </x:c>
      <x:c r="D523" s="28" t="n">
        <x:v>96</x:v>
      </x:c>
      <x:c r="E523" s="39" t="n">
        <x:f>(C523-D523)/C523*100</x:f>
        <x:v>8.571428571428571</x:v>
      </x:c>
      <x:c r="F523" s="28" t="str">
        <x:f>IF(C523=D523,"YES","NO")</x:f>
        <x:v>NO</x:v>
      </x:c>
      <x:c r="G523" s="28" t="str">
        <x:v>Optimal</x:v>
      </x:c>
      <x:c r="H523" s="59" t="n">
        <x:v>3.52</x:v>
      </x:c>
    </x:row>
    <x:row r="524">
      <x:c r="A524" s="27" t="str">
        <x:v>bpps_d200n25m5w40_60s20_40f0_seed0</x:v>
      </x:c>
      <x:c r="B524" s="28" t="n">
        <x:v>25</x:v>
      </x:c>
      <x:c r="C524" s="28" t="n">
        <x:v>9</x:v>
      </x:c>
      <x:c r="D524" s="28" t="n">
        <x:v>8</x:v>
      </x:c>
      <x:c r="E524" s="39" t="n">
        <x:f>(C524-D524)/C524*100</x:f>
        <x:v>11.11111111111111</x:v>
      </x:c>
      <x:c r="F524" s="28" t="str">
        <x:f>IF(C524=D524,"YES","NO")</x:f>
        <x:v>NO</x:v>
      </x:c>
      <x:c r="G524" s="28" t="str">
        <x:v>Optimal</x:v>
      </x:c>
      <x:c r="H524" s="59" t="n">
        <x:v>2.09</x:v>
      </x:c>
    </x:row>
    <x:row r="525">
      <x:c r="A525" s="27" t="str">
        <x:v>bpps_d200n25m5w40_60s20_40f1_seed0</x:v>
      </x:c>
      <x:c r="B525" s="28" t="n">
        <x:v>25</x:v>
      </x:c>
      <x:c r="C525" s="28" t="n">
        <x:v>128</x:v>
      </x:c>
      <x:c r="D525" s="28" t="n">
        <x:v>128</x:v>
      </x:c>
      <x:c r="E525" s="39" t="n">
        <x:f>(C525-D525)/C525*100</x:f>
        <x:v>0</x:v>
      </x:c>
      <x:c r="F525" s="28" t="str">
        <x:f>IF(C525=D525,"YES","NO")</x:f>
        <x:v>YES</x:v>
      </x:c>
      <x:c r="G525" s="28" t="str">
        <x:v>Optimal</x:v>
      </x:c>
      <x:c r="H525" s="59" t="n">
        <x:v>0.79</x:v>
      </x:c>
    </x:row>
    <x:row r="526">
      <x:c r="A526" s="27" t="str">
        <x:v>bpps_d200n25m5w40_60s2_20f0_seed0</x:v>
      </x:c>
      <x:c r="B526" s="28" t="n">
        <x:v>25</x:v>
      </x:c>
      <x:c r="C526" s="28" t="n">
        <x:v>8</x:v>
      </x:c>
      <x:c r="D526" s="28" t="n">
        <x:v>7</x:v>
      </x:c>
      <x:c r="E526" s="39" t="n">
        <x:f>(C526-D526)/C526*100</x:f>
        <x:v>12.5</x:v>
      </x:c>
      <x:c r="F526" s="28" t="str">
        <x:f>IF(C526=D526,"YES","NO")</x:f>
        <x:v>NO</x:v>
      </x:c>
      <x:c r="G526" s="28" t="str">
        <x:v>Optimal</x:v>
      </x:c>
      <x:c r="H526" s="59" t="n">
        <x:v>6.68</x:v>
      </x:c>
    </x:row>
    <x:row r="527">
      <x:c r="A527" s="27" t="str">
        <x:v>bpps_d200n25m5w40_60s2_20f1_seed0</x:v>
      </x:c>
      <x:c r="B527" s="28" t="n">
        <x:v>25</x:v>
      </x:c>
      <x:c r="C527" s="28" t="n">
        <x:v>118</x:v>
      </x:c>
      <x:c r="D527" s="28" t="n">
        <x:v>114</x:v>
      </x:c>
      <x:c r="E527" s="39" t="n">
        <x:f>(C527-D527)/C527*100</x:f>
        <x:v>3.389830508474576</x:v>
      </x:c>
      <x:c r="F527" s="28" t="str">
        <x:f>IF(C527=D527,"YES","NO")</x:f>
        <x:v>NO</x:v>
      </x:c>
      <x:c r="G527" s="28" t="str">
        <x:v>Optimal</x:v>
      </x:c>
      <x:c r="H527" s="59" t="n">
        <x:v>2.35</x:v>
      </x:c>
    </x:row>
    <x:row r="528">
      <x:c r="A528" s="27" t="str">
        <x:v>bpps_d200n25m5w40_60s2_40f0_seed0</x:v>
      </x:c>
      <x:c r="B528" s="28" t="n">
        <x:v>25</x:v>
      </x:c>
      <x:c r="C528" s="28" t="n">
        <x:v>9</x:v>
      </x:c>
      <x:c r="D528" s="28" t="n">
        <x:v>8</x:v>
      </x:c>
      <x:c r="E528" s="39" t="n">
        <x:f>(C528-D528)/C528*100</x:f>
        <x:v>11.11111111111111</x:v>
      </x:c>
      <x:c r="F528" s="28" t="str">
        <x:f>IF(C528=D528,"YES","NO")</x:f>
        <x:v>NO</x:v>
      </x:c>
      <x:c r="G528" s="28" t="str">
        <x:v>Optimal</x:v>
      </x:c>
      <x:c r="H528" s="59" t="n">
        <x:v>0.77</x:v>
      </x:c>
    </x:row>
    <x:row r="529">
      <x:c r="A529" s="27" t="str">
        <x:v>bpps_d200n25m5w40_60s2_40f1_seed0</x:v>
      </x:c>
      <x:c r="B529" s="28" t="n">
        <x:v>25</x:v>
      </x:c>
      <x:c r="C529" s="28" t="n">
        <x:v>124</x:v>
      </x:c>
      <x:c r="D529" s="28" t="n">
        <x:v>114</x:v>
      </x:c>
      <x:c r="E529" s="39" t="n">
        <x:f>(C529-D529)/C529*100</x:f>
        <x:v>8.064516129032258</x:v>
      </x:c>
      <x:c r="F529" s="28" t="str">
        <x:f>IF(C529=D529,"YES","NO")</x:f>
        <x:v>NO</x:v>
      </x:c>
      <x:c r="G529" s="28" t="str">
        <x:v>Optimal</x:v>
      </x:c>
      <x:c r="H529" s="59" t="n">
        <x:v>0.88</x:v>
      </x:c>
    </x:row>
    <x:row r="530">
      <x:c r="A530" s="27" t="str">
        <x:v>bpps_d200n50m10w20_40s20_40f0_seed0</x:v>
      </x:c>
      <x:c r="B530" s="28" t="n">
        <x:v>50</x:v>
      </x:c>
      <x:c r="C530" s="28" t="n">
        <x:v>13</x:v>
      </x:c>
      <x:c r="D530" s="28" t="n">
        <x:v>11</x:v>
      </x:c>
      <x:c r="E530" s="39" t="n">
        <x:f>(C530-D530)/C530*100</x:f>
        <x:v>15.384615384615385</x:v>
      </x:c>
      <x:c r="F530" s="28" t="str">
        <x:f>IF(C530=D530,"YES","NO")</x:f>
        <x:v>NO</x:v>
      </x:c>
      <x:c r="G530" s="28" t="str">
        <x:v>Optimal</x:v>
      </x:c>
      <x:c r="H530" s="59" t="n">
        <x:v>1.72</x:v>
      </x:c>
    </x:row>
    <x:row r="531">
      <x:c r="A531" s="27" t="str">
        <x:v>bpps_d200n50m10w20_40s20_40f1_seed0</x:v>
      </x:c>
      <x:c r="B531" s="28" t="n">
        <x:v>50</x:v>
      </x:c>
      <x:c r="C531" s="28" t="n">
        <x:v>185</x:v>
      </x:c>
      <x:c r="D531" s="28" t="n">
        <x:v>172</x:v>
      </x:c>
      <x:c r="E531" s="39" t="n">
        <x:f>(C531-D531)/C531*100</x:f>
        <x:v>7.027027027027027</x:v>
      </x:c>
      <x:c r="F531" s="28" t="str">
        <x:f>IF(C531=D531,"YES","NO")</x:f>
        <x:v>NO</x:v>
      </x:c>
      <x:c r="G531" s="28" t="str">
        <x:v>Optimal</x:v>
      </x:c>
      <x:c r="H531" s="59" t="n">
        <x:v>1.43</x:v>
      </x:c>
    </x:row>
    <x:row r="532">
      <x:c r="A532" s="27" t="str">
        <x:v>bpps_d200n50m10w20_40s2_20f0_seed0</x:v>
      </x:c>
      <x:c r="B532" s="28" t="n">
        <x:v>50</x:v>
      </x:c>
      <x:c r="C532" s="28" t="n">
        <x:v>10</x:v>
      </x:c>
      <x:c r="D532" s="28" t="n">
        <x:v>9</x:v>
      </x:c>
      <x:c r="E532" s="39" t="n">
        <x:f>(C532-D532)/C532*100</x:f>
        <x:v>10</x:v>
      </x:c>
      <x:c r="F532" s="28" t="str">
        <x:f>IF(C532=D532,"YES","NO")</x:f>
        <x:v>NO</x:v>
      </x:c>
      <x:c r="G532" s="28" t="str">
        <x:v>Optimal</x:v>
      </x:c>
      <x:c r="H532" s="59" t="n">
        <x:v>9.75</x:v>
      </x:c>
    </x:row>
    <x:row r="533">
      <x:c r="A533" s="27" t="str">
        <x:v>bpps_d200n50m10w20_40s2_20f1_seed0</x:v>
      </x:c>
      <x:c r="B533" s="28" t="n">
        <x:v>50</x:v>
      </x:c>
      <x:c r="C533" s="28" t="n">
        <x:v>159</x:v>
      </x:c>
      <x:c r="D533" s="28" t="n">
        <x:v>158</x:v>
      </x:c>
      <x:c r="E533" s="39" t="n">
        <x:f>(C533-D533)/C533*100</x:f>
        <x:v>0.628930817610063</x:v>
      </x:c>
      <x:c r="F533" s="28" t="str">
        <x:f>IF(C533=D533,"YES","NO")</x:f>
        <x:v>NO</x:v>
      </x:c>
      <x:c r="G533" s="28" t="str">
        <x:v>Optimal</x:v>
      </x:c>
      <x:c r="H533" s="59" t="n">
        <x:v>1.34</x:v>
      </x:c>
    </x:row>
    <x:row r="534">
      <x:c r="A534" s="27" t="str">
        <x:v>bpps_d200n50m10w20_40s2_40f0_seed0</x:v>
      </x:c>
      <x:c r="B534" s="28" t="n">
        <x:v>50</x:v>
      </x:c>
      <x:c r="C534" s="28" t="n">
        <x:v>12</x:v>
      </x:c>
      <x:c r="D534" s="28" t="n">
        <x:v>11</x:v>
      </x:c>
      <x:c r="E534" s="39" t="n">
        <x:f>(C534-D534)/C534*100</x:f>
        <x:v>8.333333333333332</x:v>
      </x:c>
      <x:c r="F534" s="28" t="str">
        <x:f>IF(C534=D534,"YES","NO")</x:f>
        <x:v>NO</x:v>
      </x:c>
      <x:c r="G534" s="28" t="str">
        <x:v>Optimal</x:v>
      </x:c>
      <x:c r="H534" s="59" t="n">
        <x:v>2.79</x:v>
      </x:c>
    </x:row>
    <x:row r="535">
      <x:c r="A535" s="27" t="str">
        <x:v>bpps_d200n50m10w20_40s2_40f1_seed0</x:v>
      </x:c>
      <x:c r="B535" s="28" t="n">
        <x:v>50</x:v>
      </x:c>
      <x:c r="C535" s="28" t="n">
        <x:v>181</x:v>
      </x:c>
      <x:c r="D535" s="28" t="n">
        <x:v>171</x:v>
      </x:c>
      <x:c r="E535" s="39" t="n">
        <x:f>(C535-D535)/C535*100</x:f>
        <x:v>5.524861878453039</x:v>
      </x:c>
      <x:c r="F535" s="28" t="str">
        <x:f>IF(C535=D535,"YES","NO")</x:f>
        <x:v>NO</x:v>
      </x:c>
      <x:c r="G535" s="28" t="str">
        <x:v>Optimal</x:v>
      </x:c>
      <x:c r="H535" s="59" t="n">
        <x:v>3.66</x:v>
      </x:c>
    </x:row>
    <x:row r="536">
      <x:c r="A536" s="27" t="str">
        <x:v>bpps_d200n50m10w2_20s20_40f0_seed0</x:v>
      </x:c>
      <x:c r="B536" s="28" t="n">
        <x:v>50</x:v>
      </x:c>
      <x:c r="C536" s="28" t="n">
        <x:v>7</x:v>
      </x:c>
      <x:c r="D536" s="28" t="n">
        <x:v>6</x:v>
      </x:c>
      <x:c r="E536" s="39" t="n">
        <x:f>(C536-D536)/C536*100</x:f>
        <x:v>14.285714285714285</x:v>
      </x:c>
      <x:c r="F536" s="28" t="str">
        <x:f>IF(C536=D536,"YES","NO")</x:f>
        <x:v>NO</x:v>
      </x:c>
      <x:c r="G536" s="28" t="str">
        <x:v>Optimal</x:v>
      </x:c>
      <x:c r="H536" s="59" t="n">
        <x:v>19.45</x:v>
      </x:c>
    </x:row>
    <x:row r="537">
      <x:c r="A537" s="27" t="str">
        <x:v>bpps_d200n50m10w2_20s20_40f1_seed0</x:v>
      </x:c>
      <x:c r="B537" s="28" t="n">
        <x:v>50</x:v>
      </x:c>
      <x:c r="C537" s="28" t="n">
        <x:v>150</x:v>
      </x:c>
      <x:c r="D537" s="28" t="n">
        <x:v>138</x:v>
      </x:c>
      <x:c r="E537" s="39" t="n">
        <x:f>(C537-D537)/C537*100</x:f>
        <x:v>8</x:v>
      </x:c>
      <x:c r="F537" s="28" t="str">
        <x:f>IF(C537=D537,"YES","NO")</x:f>
        <x:v>NO</x:v>
      </x:c>
      <x:c r="G537" s="28" t="str">
        <x:v>Optimal</x:v>
      </x:c>
      <x:c r="H537" s="59" t="n">
        <x:v>1.86</x:v>
      </x:c>
    </x:row>
    <x:row r="538">
      <x:c r="A538" s="27" t="str">
        <x:v>bpps_d200n50m10w2_20s2_20f0_seed0</x:v>
      </x:c>
      <x:c r="B538" s="28" t="n">
        <x:v>50</x:v>
      </x:c>
      <x:c r="C538" s="28" t="n">
        <x:v>6</x:v>
      </x:c>
      <x:c r="D538" s="28" t="n">
        <x:v>5</x:v>
      </x:c>
      <x:c r="E538" s="39" t="n">
        <x:f>(C538-D538)/C538*100</x:f>
        <x:v>16.666666666666664</x:v>
      </x:c>
      <x:c r="F538" s="28" t="str">
        <x:f>IF(C538=D538,"YES","NO")</x:f>
        <x:v>NO</x:v>
      </x:c>
      <x:c r="G538" s="28" t="str">
        <x:v>Optimal</x:v>
      </x:c>
      <x:c r="H538" s="59" t="n">
        <x:v>1.1</x:v>
      </x:c>
    </x:row>
    <x:row r="539">
      <x:c r="A539" s="27" t="str">
        <x:v>bpps_d200n50m10w2_20s2_20f1_seed0</x:v>
      </x:c>
      <x:c r="B539" s="28" t="n">
        <x:v>50</x:v>
      </x:c>
      <x:c r="C539" s="28" t="n">
        <x:v>138</x:v>
      </x:c>
      <x:c r="D539" s="28" t="n">
        <x:v>125</x:v>
      </x:c>
      <x:c r="E539" s="39" t="n">
        <x:f>(C539-D539)/C539*100</x:f>
        <x:v>9.420289855072465</x:v>
      </x:c>
      <x:c r="F539" s="28" t="str">
        <x:f>IF(C539=D539,"YES","NO")</x:f>
        <x:v>NO</x:v>
      </x:c>
      <x:c r="G539" s="28" t="str">
        <x:v>Optimal</x:v>
      </x:c>
      <x:c r="H539" s="59" t="n">
        <x:v>8.07</x:v>
      </x:c>
    </x:row>
    <x:row r="540">
      <x:c r="A540" s="27" t="str">
        <x:v>bpps_d200n50m10w2_20s2_40f0_seed0</x:v>
      </x:c>
      <x:c r="B540" s="28" t="n">
        <x:v>50</x:v>
      </x:c>
      <x:c r="C540" s="28" t="n">
        <x:v>7</x:v>
      </x:c>
      <x:c r="D540" s="28" t="n">
        <x:v>6</x:v>
      </x:c>
      <x:c r="E540" s="39" t="n">
        <x:f>(C540-D540)/C540*100</x:f>
        <x:v>14.285714285714285</x:v>
      </x:c>
      <x:c r="F540" s="28" t="str">
        <x:f>IF(C540=D540,"YES","NO")</x:f>
        <x:v>NO</x:v>
      </x:c>
      <x:c r="G540" s="28" t="str">
        <x:v>Optimal</x:v>
      </x:c>
      <x:c r="H540" s="59" t="n">
        <x:v>0.87</x:v>
      </x:c>
    </x:row>
    <x:row r="541">
      <x:c r="A541" s="27" t="str">
        <x:v>bpps_d200n50m10w2_20s2_40f1_seed0</x:v>
      </x:c>
      <x:c r="B541" s="28" t="n">
        <x:v>50</x:v>
      </x:c>
      <x:c r="C541" s="28" t="n">
        <x:v>142</x:v>
      </x:c>
      <x:c r="D541" s="28" t="n">
        <x:v>125</x:v>
      </x:c>
      <x:c r="E541" s="39" t="n">
        <x:f>(C541-D541)/C541*100</x:f>
        <x:v>11.971830985915492</x:v>
      </x:c>
      <x:c r="F541" s="28" t="str">
        <x:f>IF(C541=D541,"YES","NO")</x:f>
        <x:v>NO</x:v>
      </x:c>
      <x:c r="G541" s="28" t="str">
        <x:v>Optimal</x:v>
      </x:c>
      <x:c r="H541" s="59" t="n">
        <x:v>13.01</x:v>
      </x:c>
    </x:row>
    <x:row r="542">
      <x:c r="A542" s="27" t="str">
        <x:v>bpps_d200n50m10w2_60s20_40f0_seed0</x:v>
      </x:c>
      <x:c r="B542" s="28" t="n">
        <x:v>50</x:v>
      </x:c>
      <x:c r="C542" s="28" t="n">
        <x:v>13</x:v>
      </x:c>
      <x:c r="D542" s="28" t="n">
        <x:v>12</x:v>
      </x:c>
      <x:c r="E542" s="39" t="n">
        <x:f>(C542-D542)/C542*100</x:f>
        <x:v>7.6923076923076925</x:v>
      </x:c>
      <x:c r="F542" s="28" t="str">
        <x:f>IF(C542=D542,"YES","NO")</x:f>
        <x:v>NO</x:v>
      </x:c>
      <x:c r="G542" s="28" t="str">
        <x:v>Optimal</x:v>
      </x:c>
      <x:c r="H542" s="59" t="n">
        <x:v>0.87</x:v>
      </x:c>
    </x:row>
    <x:row r="543">
      <x:c r="A543" s="27" t="str">
        <x:v>bpps_d200n50m10w2_60s20_40f1_seed0</x:v>
      </x:c>
      <x:c r="B543" s="28" t="n">
        <x:v>50</x:v>
      </x:c>
      <x:c r="C543" s="28" t="n">
        <x:v>190</x:v>
      </x:c>
      <x:c r="D543" s="28" t="n">
        <x:v>182</x:v>
      </x:c>
      <x:c r="E543" s="39" t="n">
        <x:f>(C543-D543)/C543*100</x:f>
        <x:v>4.2105263157894735</x:v>
      </x:c>
      <x:c r="F543" s="28" t="str">
        <x:f>IF(C543=D543,"YES","NO")</x:f>
        <x:v>NO</x:v>
      </x:c>
      <x:c r="G543" s="28" t="str">
        <x:v>Optimal</x:v>
      </x:c>
      <x:c r="H543" s="59" t="n">
        <x:v>1.01</x:v>
      </x:c>
    </x:row>
    <x:row r="544">
      <x:c r="A544" s="27" t="str">
        <x:v>bpps_d200n50m10w2_60s2_20f0_seed0</x:v>
      </x:c>
      <x:c r="B544" s="28" t="n">
        <x:v>50</x:v>
      </x:c>
      <x:c r="C544" s="28" t="n">
        <x:v>10</x:v>
      </x:c>
      <x:c r="D544" s="28" t="n">
        <x:v>10</x:v>
      </x:c>
      <x:c r="E544" s="39" t="n">
        <x:f>(C544-D544)/C544*100</x:f>
        <x:v>0</x:v>
      </x:c>
      <x:c r="F544" s="28" t="str">
        <x:f>IF(C544=D544,"YES","NO")</x:f>
        <x:v>YES</x:v>
      </x:c>
      <x:c r="G544" s="28" t="str">
        <x:v>Optimal</x:v>
      </x:c>
      <x:c r="H544" s="59" t="n">
        <x:v>4.43</x:v>
      </x:c>
    </x:row>
    <x:row r="545">
      <x:c r="A545" s="27" t="str">
        <x:v>bpps_d200n50m10w2_60s2_20f1_seed0</x:v>
      </x:c>
      <x:c r="B545" s="28" t="n">
        <x:v>50</x:v>
      </x:c>
      <x:c r="C545" s="28" t="n">
        <x:v>177</x:v>
      </x:c>
      <x:c r="D545" s="28" t="n">
        <x:v>169</x:v>
      </x:c>
      <x:c r="E545" s="39" t="n">
        <x:f>(C545-D545)/C545*100</x:f>
        <x:v>4.519774011299435</x:v>
      </x:c>
      <x:c r="F545" s="28" t="str">
        <x:f>IF(C545=D545,"YES","NO")</x:f>
        <x:v>NO</x:v>
      </x:c>
      <x:c r="G545" s="28" t="str">
        <x:v>Optimal</x:v>
      </x:c>
      <x:c r="H545" s="59" t="n">
        <x:v>2.33</x:v>
      </x:c>
    </x:row>
    <x:row r="546">
      <x:c r="A546" s="27" t="str">
        <x:v>bpps_d200n50m10w2_60s2_40f0_seed0</x:v>
      </x:c>
      <x:c r="B546" s="28" t="n">
        <x:v>50</x:v>
      </x:c>
      <x:c r="C546" s="28" t="n">
        <x:v>11</x:v>
      </x:c>
      <x:c r="D546" s="28" t="n">
        <x:v>10</x:v>
      </x:c>
      <x:c r="E546" s="39" t="n">
        <x:f>(C546-D546)/C546*100</x:f>
        <x:v>9.090909090909092</x:v>
      </x:c>
      <x:c r="F546" s="28" t="str">
        <x:f>IF(C546=D546,"YES","NO")</x:f>
        <x:v>NO</x:v>
      </x:c>
      <x:c r="G546" s="28" t="str">
        <x:v>Optimal</x:v>
      </x:c>
      <x:c r="H546" s="59" t="n">
        <x:v>13.16</x:v>
      </x:c>
    </x:row>
    <x:row r="547">
      <x:c r="A547" s="27" t="str">
        <x:v>bpps_d200n50m10w2_60s2_40f1_seed0</x:v>
      </x:c>
      <x:c r="B547" s="28" t="n">
        <x:v>50</x:v>
      </x:c>
      <x:c r="C547" s="28" t="n">
        <x:v>175</x:v>
      </x:c>
      <x:c r="D547" s="28" t="n">
        <x:v>175</x:v>
      </x:c>
      <x:c r="E547" s="39" t="n">
        <x:f>(C547-D547)/C547*100</x:f>
        <x:v>0</x:v>
      </x:c>
      <x:c r="F547" s="28" t="str">
        <x:f>IF(C547=D547,"YES","NO")</x:f>
        <x:v>YES</x:v>
      </x:c>
      <x:c r="G547" s="28" t="str">
        <x:v>Optimal</x:v>
      </x:c>
      <x:c r="H547" s="59" t="n">
        <x:v>1.25</x:v>
      </x:c>
    </x:row>
    <x:row r="548">
      <x:c r="A548" s="27" t="str">
        <x:v>bpps_d200n50m10w40_60s20_40f0_seed0</x:v>
      </x:c>
      <x:c r="B548" s="28" t="n">
        <x:v>50</x:v>
      </x:c>
      <x:c r="C548" s="28" t="n">
        <x:v>18</x:v>
      </x:c>
      <x:c r="D548" s="28" t="n">
        <x:v>17</x:v>
      </x:c>
      <x:c r="E548" s="39" t="n">
        <x:f>(C548-D548)/C548*100</x:f>
        <x:v>5.555555555555555</x:v>
      </x:c>
      <x:c r="F548" s="28" t="str">
        <x:f>IF(C548=D548,"YES","NO")</x:f>
        <x:v>NO</x:v>
      </x:c>
      <x:c r="G548" s="28" t="str">
        <x:v>Optimal</x:v>
      </x:c>
      <x:c r="H548" s="59" t="n">
        <x:v>2.43</x:v>
      </x:c>
    </x:row>
    <x:row r="549">
      <x:c r="A549" s="27" t="str">
        <x:v>bpps_d200n50m10w40_60s20_40f1_seed0</x:v>
      </x:c>
      <x:c r="B549" s="28" t="n">
        <x:v>50</x:v>
      </x:c>
      <x:c r="C549" s="28" t="n">
        <x:v>271</x:v>
      </x:c>
      <x:c r="D549" s="28" t="n">
        <x:v>251</x:v>
      </x:c>
      <x:c r="E549" s="39" t="n">
        <x:f>(C549-D549)/C549*100</x:f>
        <x:v>7.380073800738007</x:v>
      </x:c>
      <x:c r="F549" s="28" t="str">
        <x:f>IF(C549=D549,"YES","NO")</x:f>
        <x:v>NO</x:v>
      </x:c>
      <x:c r="G549" s="28" t="str">
        <x:v>Optimal</x:v>
      </x:c>
      <x:c r="H549" s="59" t="n">
        <x:v>2.28</x:v>
      </x:c>
    </x:row>
    <x:row r="550">
      <x:c r="A550" s="27" t="str">
        <x:v>bpps_d200n50m10w40_60s2_20f0_seed0</x:v>
      </x:c>
      <x:c r="B550" s="28" t="n">
        <x:v>50</x:v>
      </x:c>
      <x:c r="C550" s="28" t="n">
        <x:v>16</x:v>
      </x:c>
      <x:c r="D550" s="28" t="n">
        <x:v>14</x:v>
      </x:c>
      <x:c r="E550" s="39" t="n">
        <x:f>(C550-D550)/C550*100</x:f>
        <x:v>12.5</x:v>
      </x:c>
      <x:c r="F550" s="28" t="str">
        <x:f>IF(C550=D550,"YES","NO")</x:f>
        <x:v>NO</x:v>
      </x:c>
      <x:c r="G550" s="28" t="str">
        <x:v>Optimal</x:v>
      </x:c>
      <x:c r="H550" s="59" t="n">
        <x:v>228.26</x:v>
      </x:c>
    </x:row>
    <x:row r="551">
      <x:c r="A551" s="27" t="str">
        <x:v>bpps_d200n50m10w40_60s2_20f1_seed0</x:v>
      </x:c>
      <x:c r="B551" s="28" t="n">
        <x:v>50</x:v>
      </x:c>
      <x:c r="C551" s="28" t="n">
        <x:v>215</x:v>
      </x:c>
      <x:c r="D551" s="28" t="n">
        <x:v>201</x:v>
      </x:c>
      <x:c r="E551" s="39" t="n">
        <x:f>(C551-D551)/C551*100</x:f>
        <x:v>6.511627906976744</x:v>
      </x:c>
      <x:c r="F551" s="28" t="str">
        <x:f>IF(C551=D551,"YES","NO")</x:f>
        <x:v>NO</x:v>
      </x:c>
      <x:c r="G551" s="28" t="str">
        <x:v>Optimal</x:v>
      </x:c>
      <x:c r="H551" s="59" t="n">
        <x:v>33.02</x:v>
      </x:c>
    </x:row>
    <x:row r="552">
      <x:c r="A552" s="27" t="str">
        <x:v>bpps_d200n50m10w40_60s2_40f0_seed0</x:v>
      </x:c>
      <x:c r="B552" s="28" t="n">
        <x:v>50</x:v>
      </x:c>
      <x:c r="C552" s="28" t="n">
        <x:v>18</x:v>
      </x:c>
      <x:c r="D552" s="28" t="n">
        <x:v>16</x:v>
      </x:c>
      <x:c r="E552" s="39" t="n">
        <x:f>(C552-D552)/C552*100</x:f>
        <x:v>11.11111111111111</x:v>
      </x:c>
      <x:c r="F552" s="28" t="str">
        <x:f>IF(C552=D552,"YES","NO")</x:f>
        <x:v>NO</x:v>
      </x:c>
      <x:c r="G552" s="28" t="str">
        <x:v>Optimal</x:v>
      </x:c>
      <x:c r="H552" s="59" t="n">
        <x:v>1.73</x:v>
      </x:c>
    </x:row>
    <x:row r="553">
      <x:c r="A553" s="27" t="str">
        <x:v>bpps_d200n50m10w40_60s2_40f1_seed0</x:v>
      </x:c>
      <x:c r="B553" s="28" t="n">
        <x:v>50</x:v>
      </x:c>
      <x:c r="C553" s="28" t="n">
        <x:v>239</x:v>
      </x:c>
      <x:c r="D553" s="28" t="n">
        <x:v>214</x:v>
      </x:c>
      <x:c r="E553" s="39" t="n">
        <x:f>(C553-D553)/C553*100</x:f>
        <x:v>10.460251046025103</x:v>
      </x:c>
      <x:c r="F553" s="28" t="str">
        <x:f>IF(C553=D553,"YES","NO")</x:f>
        <x:v>NO</x:v>
      </x:c>
      <x:c r="G553" s="28" t="str">
        <x:v>Optimal</x:v>
      </x:c>
      <x:c r="H553" s="59" t="n">
        <x:v>1.83</x:v>
      </x:c>
    </x:row>
    <x:row r="554">
      <x:c r="A554" s="27" t="str">
        <x:v>bpps_d200n50m5w20_40s20_40f0_seed0</x:v>
      </x:c>
      <x:c r="B554" s="28" t="n">
        <x:v>50</x:v>
      </x:c>
      <x:c r="C554" s="28" t="n">
        <x:v>11</x:v>
      </x:c>
      <x:c r="D554" s="28" t="n">
        <x:v>10</x:v>
      </x:c>
      <x:c r="E554" s="39" t="n">
        <x:f>(C554-D554)/C554*100</x:f>
        <x:v>9.090909090909092</x:v>
      </x:c>
      <x:c r="F554" s="28" t="str">
        <x:f>IF(C554=D554,"YES","NO")</x:f>
        <x:v>NO</x:v>
      </x:c>
      <x:c r="G554" s="28" t="str">
        <x:v>Optimal</x:v>
      </x:c>
      <x:c r="H554" s="59" t="n">
        <x:v>2.36</x:v>
      </x:c>
    </x:row>
    <x:row r="555">
      <x:c r="A555" s="27" t="str">
        <x:v>bpps_d200n50m5w20_40s20_40f1_seed0</x:v>
      </x:c>
      <x:c r="B555" s="28" t="n">
        <x:v>50</x:v>
      </x:c>
      <x:c r="C555" s="28" t="n">
        <x:v>154</x:v>
      </x:c>
      <x:c r="D555" s="28" t="n">
        <x:v>140</x:v>
      </x:c>
      <x:c r="E555" s="39" t="n">
        <x:f>(C555-D555)/C555*100</x:f>
        <x:v>9.090909090909092</x:v>
      </x:c>
      <x:c r="F555" s="28" t="str">
        <x:f>IF(C555=D555,"YES","NO")</x:f>
        <x:v>NO</x:v>
      </x:c>
      <x:c r="G555" s="28" t="str">
        <x:v>Optimal</x:v>
      </x:c>
      <x:c r="H555" s="59" t="n">
        <x:v>4.22</x:v>
      </x:c>
    </x:row>
    <x:row r="556">
      <x:c r="A556" s="27" t="str">
        <x:v>bpps_d200n50m5w20_40s2_20f0_seed0</x:v>
      </x:c>
      <x:c r="B556" s="28" t="n">
        <x:v>50</x:v>
      </x:c>
      <x:c r="C556" s="28" t="n">
        <x:v>10</x:v>
      </x:c>
      <x:c r="D556" s="28" t="n">
        <x:v>9</x:v>
      </x:c>
      <x:c r="E556" s="39" t="n">
        <x:f>(C556-D556)/C556*100</x:f>
        <x:v>10</x:v>
      </x:c>
      <x:c r="F556" s="28" t="str">
        <x:f>IF(C556=D556,"YES","NO")</x:f>
        <x:v>NO</x:v>
      </x:c>
      <x:c r="G556" s="28" t="str">
        <x:v>Optimal</x:v>
      </x:c>
      <x:c r="H556" s="59" t="n">
        <x:v>1.74</x:v>
      </x:c>
    </x:row>
    <x:row r="557">
      <x:c r="A557" s="27" t="str">
        <x:v>bpps_d200n50m5w20_40s2_20f1_seed0</x:v>
      </x:c>
      <x:c r="B557" s="28" t="n">
        <x:v>50</x:v>
      </x:c>
      <x:c r="C557" s="28" t="n">
        <x:v>129</x:v>
      </x:c>
      <x:c r="D557" s="28" t="n">
        <x:v>124</x:v>
      </x:c>
      <x:c r="E557" s="39" t="n">
        <x:f>(C557-D557)/C557*100</x:f>
        <x:v>3.875968992248062</x:v>
      </x:c>
      <x:c r="F557" s="28" t="str">
        <x:f>IF(C557=D557,"YES","NO")</x:f>
        <x:v>NO</x:v>
      </x:c>
      <x:c r="G557" s="28" t="str">
        <x:v>Optimal</x:v>
      </x:c>
      <x:c r="H557" s="59" t="n">
        <x:v>1.88</x:v>
      </x:c>
    </x:row>
    <x:row r="558">
      <x:c r="A558" s="27" t="str">
        <x:v>bpps_d200n50m5w20_40s2_40f0_seed0</x:v>
      </x:c>
      <x:c r="B558" s="28" t="n">
        <x:v>50</x:v>
      </x:c>
      <x:c r="C558" s="28" t="n">
        <x:v>10</x:v>
      </x:c>
      <x:c r="D558" s="28" t="n">
        <x:v>10</x:v>
      </x:c>
      <x:c r="E558" s="39" t="n">
        <x:f>(C558-D558)/C558*100</x:f>
        <x:v>0</x:v>
      </x:c>
      <x:c r="F558" s="28" t="str">
        <x:f>IF(C558=D558,"YES","NO")</x:f>
        <x:v>YES</x:v>
      </x:c>
      <x:c r="G558" s="28" t="str">
        <x:v>Optimal</x:v>
      </x:c>
      <x:c r="H558" s="59" t="n">
        <x:v>5.09</x:v>
      </x:c>
    </x:row>
    <x:row r="559">
      <x:c r="A559" s="27" t="str">
        <x:v>bpps_d200n50m5w20_40s2_40f1_seed0</x:v>
      </x:c>
      <x:c r="B559" s="28" t="n">
        <x:v>50</x:v>
      </x:c>
      <x:c r="C559" s="28" t="n">
        <x:v>144</x:v>
      </x:c>
      <x:c r="D559" s="28" t="n">
        <x:v>144</x:v>
      </x:c>
      <x:c r="E559" s="39" t="n">
        <x:f>(C559-D559)/C559*100</x:f>
        <x:v>0</x:v>
      </x:c>
      <x:c r="F559" s="28" t="str">
        <x:f>IF(C559=D559,"YES","NO")</x:f>
        <x:v>YES</x:v>
      </x:c>
      <x:c r="G559" s="28" t="str">
        <x:v>Optimal</x:v>
      </x:c>
      <x:c r="H559" s="59" t="n">
        <x:v>4.58</x:v>
      </x:c>
    </x:row>
    <x:row r="560">
      <x:c r="A560" s="27" t="str">
        <x:v>bpps_d200n50m5w2_20s20_40f0_seed0</x:v>
      </x:c>
      <x:c r="B560" s="28" t="n">
        <x:v>50</x:v>
      </x:c>
      <x:c r="C560" s="28" t="n">
        <x:v>7</x:v>
      </x:c>
      <x:c r="D560" s="28" t="n">
        <x:v>6</x:v>
      </x:c>
      <x:c r="E560" s="39" t="n">
        <x:f>(C560-D560)/C560*100</x:f>
        <x:v>14.285714285714285</x:v>
      </x:c>
      <x:c r="F560" s="28" t="str">
        <x:f>IF(C560=D560,"YES","NO")</x:f>
        <x:v>NO</x:v>
      </x:c>
      <x:c r="G560" s="28" t="str">
        <x:v>Optimal</x:v>
      </x:c>
      <x:c r="H560" s="59" t="n">
        <x:v>1.4</x:v>
      </x:c>
    </x:row>
    <x:row r="561">
      <x:c r="A561" s="27" t="str">
        <x:v>bpps_d200n50m5w2_20s20_40f1_seed0</x:v>
      </x:c>
      <x:c r="B561" s="28" t="n">
        <x:v>50</x:v>
      </x:c>
      <x:c r="C561" s="28" t="n">
        <x:v>120</x:v>
      </x:c>
      <x:c r="D561" s="28" t="n">
        <x:v>105</x:v>
      </x:c>
      <x:c r="E561" s="39" t="n">
        <x:f>(C561-D561)/C561*100</x:f>
        <x:v>12.5</x:v>
      </x:c>
      <x:c r="F561" s="28" t="str">
        <x:f>IF(C561=D561,"YES","NO")</x:f>
        <x:v>NO</x:v>
      </x:c>
      <x:c r="G561" s="28" t="str">
        <x:v>Optimal</x:v>
      </x:c>
      <x:c r="H561" s="59" t="n">
        <x:v>1.61</x:v>
      </x:c>
    </x:row>
    <x:row r="562">
      <x:c r="A562" s="27" t="str">
        <x:v>bpps_d200n50m5w2_20s2_20f0_seed0</x:v>
      </x:c>
      <x:c r="B562" s="28" t="n">
        <x:v>50</x:v>
      </x:c>
      <x:c r="C562" s="28" t="n">
        <x:v>6</x:v>
      </x:c>
      <x:c r="D562" s="28" t="n">
        <x:v>5</x:v>
      </x:c>
      <x:c r="E562" s="39" t="n">
        <x:f>(C562-D562)/C562*100</x:f>
        <x:v>16.666666666666664</x:v>
      </x:c>
      <x:c r="F562" s="28" t="str">
        <x:f>IF(C562=D562,"YES","NO")</x:f>
        <x:v>NO</x:v>
      </x:c>
      <x:c r="G562" s="28" t="str">
        <x:v>Optimal</x:v>
      </x:c>
      <x:c r="H562" s="59" t="n">
        <x:v>1.33</x:v>
      </x:c>
    </x:row>
    <x:row r="563">
      <x:c r="A563" s="27" t="str">
        <x:v>bpps_d200n50m5w2_20s2_20f1_seed0</x:v>
      </x:c>
      <x:c r="B563" s="28" t="n">
        <x:v>50</x:v>
      </x:c>
      <x:c r="C563" s="28" t="n">
        <x:v>108</x:v>
      </x:c>
      <x:c r="D563" s="28" t="n">
        <x:v>94</x:v>
      </x:c>
      <x:c r="E563" s="39" t="n">
        <x:f>(C563-D563)/C563*100</x:f>
        <x:v>12.962962962962962</x:v>
      </x:c>
      <x:c r="F563" s="28" t="str">
        <x:f>IF(C563=D563,"YES","NO")</x:f>
        <x:v>NO</x:v>
      </x:c>
      <x:c r="G563" s="28" t="str">
        <x:v>Optimal</x:v>
      </x:c>
      <x:c r="H563" s="59" t="n">
        <x:v>18.43</x:v>
      </x:c>
    </x:row>
    <x:row r="564">
      <x:c r="A564" s="27" t="str">
        <x:v>bpps_d200n50m5w2_20s2_40f0_seed0</x:v>
      </x:c>
      <x:c r="B564" s="28" t="n">
        <x:v>50</x:v>
      </x:c>
      <x:c r="C564" s="28" t="n">
        <x:v>7</x:v>
      </x:c>
      <x:c r="D564" s="28" t="n">
        <x:v>6</x:v>
      </x:c>
      <x:c r="E564" s="39" t="n">
        <x:f>(C564-D564)/C564*100</x:f>
        <x:v>14.285714285714285</x:v>
      </x:c>
      <x:c r="F564" s="28" t="str">
        <x:f>IF(C564=D564,"YES","NO")</x:f>
        <x:v>NO</x:v>
      </x:c>
      <x:c r="G564" s="28" t="str">
        <x:v>Optimal</x:v>
      </x:c>
      <x:c r="H564" s="59" t="n">
        <x:v>9.08</x:v>
      </x:c>
    </x:row>
    <x:row r="565">
      <x:c r="A565" s="27" t="str">
        <x:v>bpps_d200n50m5w2_20s2_40f1_seed0</x:v>
      </x:c>
      <x:c r="B565" s="28" t="n">
        <x:v>50</x:v>
      </x:c>
      <x:c r="C565" s="28" t="n">
        <x:v>118</x:v>
      </x:c>
      <x:c r="D565" s="28" t="n">
        <x:v>106</x:v>
      </x:c>
      <x:c r="E565" s="39" t="n">
        <x:f>(C565-D565)/C565*100</x:f>
        <x:v>10.16949152542373</x:v>
      </x:c>
      <x:c r="F565" s="28" t="str">
        <x:f>IF(C565=D565,"YES","NO")</x:f>
        <x:v>NO</x:v>
      </x:c>
      <x:c r="G565" s="28" t="str">
        <x:v>Optimal</x:v>
      </x:c>
      <x:c r="H565" s="59" t="n">
        <x:v>19.47</x:v>
      </x:c>
    </x:row>
    <x:row r="566">
      <x:c r="A566" s="27" t="str">
        <x:v>bpps_d200n50m5w2_60s20_40f0_seed0</x:v>
      </x:c>
      <x:c r="B566" s="28" t="n">
        <x:v>50</x:v>
      </x:c>
      <x:c r="C566" s="28" t="n">
        <x:v>12</x:v>
      </x:c>
      <x:c r="D566" s="28" t="n">
        <x:v>11</x:v>
      </x:c>
      <x:c r="E566" s="39" t="n">
        <x:f>(C566-D566)/C566*100</x:f>
        <x:v>8.333333333333332</x:v>
      </x:c>
      <x:c r="F566" s="28" t="str">
        <x:f>IF(C566=D566,"YES","NO")</x:f>
        <x:v>NO</x:v>
      </x:c>
      <x:c r="G566" s="28" t="str">
        <x:v>Optimal</x:v>
      </x:c>
      <x:c r="H566" s="59" t="n">
        <x:v>1.45</x:v>
      </x:c>
    </x:row>
    <x:row r="567">
      <x:c r="A567" s="27" t="str">
        <x:v>bpps_d200n50m5w2_60s20_40f1_seed0</x:v>
      </x:c>
      <x:c r="B567" s="28" t="n">
        <x:v>50</x:v>
      </x:c>
      <x:c r="C567" s="28" t="n">
        <x:v>155</x:v>
      </x:c>
      <x:c r="D567" s="28" t="n">
        <x:v>154</x:v>
      </x:c>
      <x:c r="E567" s="39" t="n">
        <x:f>(C567-D567)/C567*100</x:f>
        <x:v>0.6451612903225806</x:v>
      </x:c>
      <x:c r="F567" s="28" t="str">
        <x:f>IF(C567=D567,"YES","NO")</x:f>
        <x:v>NO</x:v>
      </x:c>
      <x:c r="G567" s="28" t="str">
        <x:v>Optimal</x:v>
      </x:c>
      <x:c r="H567" s="59" t="n">
        <x:v>1.55</x:v>
      </x:c>
    </x:row>
    <x:row r="568">
      <x:c r="A568" s="27" t="str">
        <x:v>bpps_d200n50m5w2_60s2_20f0_seed0</x:v>
      </x:c>
      <x:c r="B568" s="28" t="n">
        <x:v>50</x:v>
      </x:c>
      <x:c r="C568" s="28" t="n">
        <x:v>10</x:v>
      </x:c>
      <x:c r="D568" s="28" t="n">
        <x:v>10</x:v>
      </x:c>
      <x:c r="E568" s="39" t="n">
        <x:f>(C568-D568)/C568*100</x:f>
        <x:v>0</x:v>
      </x:c>
      <x:c r="F568" s="28" t="str">
        <x:f>IF(C568=D568,"YES","NO")</x:f>
        <x:v>YES</x:v>
      </x:c>
      <x:c r="G568" s="28" t="str">
        <x:v>Optimal</x:v>
      </x:c>
      <x:c r="H568" s="59" t="n">
        <x:v>1.42</x:v>
      </x:c>
    </x:row>
    <x:row r="569">
      <x:c r="A569" s="27" t="str">
        <x:v>bpps_d200n50m5w2_60s2_20f1_seed0</x:v>
      </x:c>
      <x:c r="B569" s="28" t="n">
        <x:v>50</x:v>
      </x:c>
      <x:c r="C569" s="28" t="n">
        <x:v>149</x:v>
      </x:c>
      <x:c r="D569" s="28" t="n">
        <x:v>134</x:v>
      </x:c>
      <x:c r="E569" s="39" t="n">
        <x:f>(C569-D569)/C569*100</x:f>
        <x:v>10.06711409395973</x:v>
      </x:c>
      <x:c r="F569" s="28" t="str">
        <x:f>IF(C569=D569,"YES","NO")</x:f>
        <x:v>NO</x:v>
      </x:c>
      <x:c r="G569" s="28" t="str">
        <x:v>Optimal</x:v>
      </x:c>
      <x:c r="H569" s="59" t="n">
        <x:v>77.41</x:v>
      </x:c>
    </x:row>
    <x:row r="570">
      <x:c r="A570" s="27" t="str">
        <x:v>bpps_d200n50m5w2_60s2_40f0_seed0</x:v>
      </x:c>
      <x:c r="B570" s="28" t="n">
        <x:v>50</x:v>
      </x:c>
      <x:c r="C570" s="28" t="n">
        <x:v>11</x:v>
      </x:c>
      <x:c r="D570" s="28" t="n">
        <x:v>10</x:v>
      </x:c>
      <x:c r="E570" s="39" t="n">
        <x:f>(C570-D570)/C570*100</x:f>
        <x:v>9.090909090909092</x:v>
      </x:c>
      <x:c r="F570" s="28" t="str">
        <x:f>IF(C570=D570,"YES","NO")</x:f>
        <x:v>NO</x:v>
      </x:c>
      <x:c r="G570" s="28" t="str">
        <x:v>Optimal</x:v>
      </x:c>
      <x:c r="H570" s="59" t="n">
        <x:v>1.05</x:v>
      </x:c>
    </x:row>
    <x:row r="571">
      <x:c r="A571" s="27" t="str">
        <x:v>bpps_d200n50m5w2_60s2_40f1_seed0</x:v>
      </x:c>
      <x:c r="B571" s="28" t="n">
        <x:v>50</x:v>
      </x:c>
      <x:c r="C571" s="28" t="n">
        <x:v>149</x:v>
      </x:c>
      <x:c r="D571" s="28" t="n">
        <x:v>148</x:v>
      </x:c>
      <x:c r="E571" s="39" t="n">
        <x:f>(C571-D571)/C571*100</x:f>
        <x:v>0.6711409395973155</x:v>
      </x:c>
      <x:c r="F571" s="28" t="str">
        <x:f>IF(C571=D571,"YES","NO")</x:f>
        <x:v>NO</x:v>
      </x:c>
      <x:c r="G571" s="28" t="str">
        <x:v>Optimal</x:v>
      </x:c>
      <x:c r="H571" s="59" t="n">
        <x:v>0.96</x:v>
      </x:c>
    </x:row>
    <x:row r="572">
      <x:c r="A572" s="27" t="str">
        <x:v>bpps_d200n50m5w40_60s20_40f0_seed0</x:v>
      </x:c>
      <x:c r="B572" s="28" t="n">
        <x:v>50</x:v>
      </x:c>
      <x:c r="C572" s="28" t="n">
        <x:v>17</x:v>
      </x:c>
      <x:c r="D572" s="28" t="n">
        <x:v>16</x:v>
      </x:c>
      <x:c r="E572" s="39" t="n">
        <x:f>(C572-D572)/C572*100</x:f>
        <x:v>5.88235294117647</x:v>
      </x:c>
      <x:c r="F572" s="28" t="str">
        <x:f>IF(C572=D572,"YES","NO")</x:f>
        <x:v>NO</x:v>
      </x:c>
      <x:c r="G572" s="28" t="str">
        <x:v>Optimal</x:v>
      </x:c>
      <x:c r="H572" s="59" t="n">
        <x:v>1.85</x:v>
      </x:c>
    </x:row>
    <x:row r="573">
      <x:c r="A573" s="27" t="str">
        <x:v>bpps_d200n50m5w40_60s20_40f1_seed0</x:v>
      </x:c>
      <x:c r="B573" s="28" t="n">
        <x:v>50</x:v>
      </x:c>
      <x:c r="C573" s="28" t="n">
        <x:v>245</x:v>
      </x:c>
      <x:c r="D573" s="28" t="n">
        <x:v>221</x:v>
      </x:c>
      <x:c r="E573" s="39" t="n">
        <x:f>(C573-D573)/C573*100</x:f>
        <x:v>9.795918367346939</x:v>
      </x:c>
      <x:c r="F573" s="28" t="str">
        <x:f>IF(C573=D573,"YES","NO")</x:f>
        <x:v>NO</x:v>
      </x:c>
      <x:c r="G573" s="28" t="str">
        <x:v>Optimal</x:v>
      </x:c>
      <x:c r="H573" s="59" t="n">
        <x:v>2.02</x:v>
      </x:c>
    </x:row>
    <x:row r="574">
      <x:c r="A574" s="27" t="str">
        <x:v>bpps_d200n50m5w40_60s2_20f0_seed0</x:v>
      </x:c>
      <x:c r="B574" s="28" t="n">
        <x:v>50</x:v>
      </x:c>
      <x:c r="C574" s="28" t="n">
        <x:v>16</x:v>
      </x:c>
      <x:c r="D574" s="28" t="n">
        <x:v>14</x:v>
      </x:c>
      <x:c r="E574" s="39" t="n">
        <x:f>(C574-D574)/C574*100</x:f>
        <x:v>12.5</x:v>
      </x:c>
      <x:c r="F574" s="28" t="str">
        <x:f>IF(C574=D574,"YES","NO")</x:f>
        <x:v>NO</x:v>
      </x:c>
      <x:c r="G574" s="28" t="str">
        <x:v>Optimal</x:v>
      </x:c>
      <x:c r="H574" s="59" t="n">
        <x:v>15.2</x:v>
      </x:c>
    </x:row>
    <x:row r="575">
      <x:c r="A575" s="27" t="str">
        <x:v>bpps_d200n50m5w40_60s2_20f1_seed0</x:v>
      </x:c>
      <x:c r="B575" s="28" t="n">
        <x:v>50</x:v>
      </x:c>
      <x:c r="C575" s="28" t="n">
        <x:v>221</x:v>
      </x:c>
      <x:c r="D575" s="28" t="n">
        <x:v>211</x:v>
      </x:c>
      <x:c r="E575" s="39" t="n">
        <x:f>(C575-D575)/C575*100</x:f>
        <x:v>4.524886877828054</x:v>
      </x:c>
      <x:c r="F575" s="28" t="str">
        <x:f>IF(C575=D575,"YES","NO")</x:f>
        <x:v>NO</x:v>
      </x:c>
      <x:c r="G575" s="28" t="str">
        <x:v>Optimal</x:v>
      </x:c>
      <x:c r="H575" s="59" t="n">
        <x:v>1.35</x:v>
      </x:c>
    </x:row>
    <x:row r="576">
      <x:c r="A576" s="27" t="str">
        <x:v>bpps_d200n50m5w40_60s2_40f0_seed0</x:v>
      </x:c>
      <x:c r="B576" s="28" t="n">
        <x:v>50</x:v>
      </x:c>
      <x:c r="C576" s="28" t="n">
        <x:v>17</x:v>
      </x:c>
      <x:c r="D576" s="28" t="n">
        <x:v>15</x:v>
      </x:c>
      <x:c r="E576" s="39" t="n">
        <x:f>(C576-D576)/C576*100</x:f>
        <x:v>11.76470588235294</x:v>
      </x:c>
      <x:c r="F576" s="28" t="str">
        <x:f>IF(C576=D576,"YES","NO")</x:f>
        <x:v>NO</x:v>
      </x:c>
      <x:c r="G576" s="28" t="str">
        <x:v>Optimal</x:v>
      </x:c>
      <x:c r="H576" s="59" t="n">
        <x:v>296.83</x:v>
      </x:c>
    </x:row>
    <x:row r="577">
      <x:c r="A577" s="30" t="str">
        <x:v>bpps_d200n50m5w40_60s2_40f1_seed0</x:v>
      </x:c>
      <x:c r="B577" s="31" t="n">
        <x:v>50</x:v>
      </x:c>
      <x:c r="C577" s="31" t="n">
        <x:v>242</x:v>
      </x:c>
      <x:c r="D577" s="31" t="n">
        <x:v>221</x:v>
      </x:c>
      <x:c r="E577" s="40" t="n">
        <x:f>(C577-D577)/C577*100</x:f>
        <x:v>8.677685950413224</x:v>
      </x:c>
      <x:c r="F577" s="31" t="str">
        <x:f>IF(C577=D577,"YES","NO")</x:f>
        <x:v>NO</x:v>
      </x:c>
      <x:c r="G577" s="31" t="str">
        <x:v>Optimal</x:v>
      </x:c>
      <x:c r="H577" s="60" t="n">
        <x:v>2.79</x:v>
      </x:c>
    </x:row>
  </x:sheetData>
  <x:conditionalFormatting sqref="E2:E577">
    <x:cfRule type="colorScale" priority="1">
      <x:colorScale>
        <x:cfvo type="min"/>
        <x:cfvo type="percentile" val="50"/>
        <x:cfvo type="max"/>
        <x:color rgb="FFC6EFCE"/>
        <x:color rgb="FFFFEB9C"/>
        <x:color rgb="FFFFC7CE"/>
      </x:colorScale>
    </x:cfRule>
  </x:conditionalFormatting>
  <x:pageMargins left="0.7" right="0.7" top="0.75" bottom="0.75" header="0.3" footer="0.3"/>
</x:worksheet>
</file>