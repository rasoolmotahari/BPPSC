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mparison" sheetId="2" r:id="rId2"/>
    <sheet name="By_n_items" sheetId="3" r:id="rId3"/>
    <sheet name="Unmatched" sheetId="4" r:id="rId4"/>
    <sheet name="Calculation_Notes" sheetId="5" r:id="rId5"/>
  </sheets>
  <calcPr calcId="124519" fullCalcOnLoad="1"/>
</workbook>
</file>

<file path=xl/sharedStrings.xml><?xml version="1.0" encoding="utf-8"?>
<sst xmlns="http://schemas.openxmlformats.org/spreadsheetml/2006/main" count="1593" uniqueCount="574">
  <si>
    <t>Final comparison summary: MSIG vs adapted benchmark algorithms</t>
  </si>
  <si>
    <t>Total matched instances</t>
  </si>
  <si>
    <t>Unmatched instances</t>
  </si>
  <si>
    <t>Tie counting rule</t>
  </si>
  <si>
    <t>If two or more methods have the same best result for an instance, all tied methods are counted in #Best.</t>
  </si>
  <si>
    <t>Method</t>
  </si>
  <si>
    <t>Source file</t>
  </si>
  <si>
    <t>Source column</t>
  </si>
  <si>
    <t>Valid instances</t>
  </si>
  <si>
    <t>Average cost</t>
  </si>
  <si>
    <t>Avg gap to best</t>
  </si>
  <si>
    <t>Median gap</t>
  </si>
  <si>
    <t>Max gap</t>
  </si>
  <si>
    <t>#Best incl. ties</t>
  </si>
  <si>
    <t>#Strict best</t>
  </si>
  <si>
    <t>Best share incl. ties</t>
  </si>
  <si>
    <t>S-FFD</t>
  </si>
  <si>
    <t>Surrogate_FFD_all_results(5).xlsx</t>
  </si>
  <si>
    <t>Final Cost</t>
  </si>
  <si>
    <t>S-BFD</t>
  </si>
  <si>
    <t>Surrogate_BFD_all_results(4).xlsx</t>
  </si>
  <si>
    <t>S-WFD</t>
  </si>
  <si>
    <t>Surrogate_WFD_all_results(4).xlsx</t>
  </si>
  <si>
    <t>Best C-TP</t>
  </si>
  <si>
    <t>BPPSC_CTP_FFD_BFD_Summary(3).xlsx</t>
  </si>
  <si>
    <t>Best_objective</t>
  </si>
  <si>
    <t>MSIG</t>
  </si>
  <si>
    <t>summary_results_all_IG(5).xlsx</t>
  </si>
  <si>
    <t>IG Best Result</t>
  </si>
  <si>
    <t>Instance</t>
  </si>
  <si>
    <t>n_items</t>
  </si>
  <si>
    <t>S-FFD Cost</t>
  </si>
  <si>
    <t>S-BFD Cost</t>
  </si>
  <si>
    <t>S-WFD Cost</t>
  </si>
  <si>
    <t>Best C-TP Cost</t>
  </si>
  <si>
    <t>MSIG Cost</t>
  </si>
  <si>
    <t>Best Result</t>
  </si>
  <si>
    <t>Best Method(s)</t>
  </si>
  <si>
    <t>S-FFD Gap %</t>
  </si>
  <si>
    <t>S-BFD Gap %</t>
  </si>
  <si>
    <t>S-WFD Gap %</t>
  </si>
  <si>
    <t>Best C-TP Gap %</t>
  </si>
  <si>
    <t>MSIG Gap %</t>
  </si>
  <si>
    <t>S-FFD Best?</t>
  </si>
  <si>
    <t>S-BFD Best?</t>
  </si>
  <si>
    <t>S-WFD Best?</t>
  </si>
  <si>
    <t>Best C-TP Best?</t>
  </si>
  <si>
    <t>MSIG Best?</t>
  </si>
  <si>
    <t>Strict Best Method</t>
  </si>
  <si>
    <t>bpps_d10000n100m10w1500_3000s1000_2000f0_seed0</t>
  </si>
  <si>
    <t>Best C-TP, MSIG</t>
  </si>
  <si>
    <t>Tie</t>
  </si>
  <si>
    <t>bpps_d10000n100m10w1500_3000s1000_2000f0_seed1</t>
  </si>
  <si>
    <t>bpps_d10000n100m10w1500_3000s1000_2000f1_seed0</t>
  </si>
  <si>
    <t>bpps_d10000n100m10w1500_3000s1000_2000f1_seed1</t>
  </si>
  <si>
    <t>bpps_d10000n100m10w1500_3000s100_1000f0_seed0</t>
  </si>
  <si>
    <t>bpps_d10000n100m10w1500_3000s100_1000f0_seed1</t>
  </si>
  <si>
    <t>bpps_d10000n100m10w1500_3000s100_1000f1_seed0</t>
  </si>
  <si>
    <t>bpps_d10000n100m10w1500_3000s100_1000f1_seed1</t>
  </si>
  <si>
    <t>bpps_d10000n100m10w500_1500s1000_2000f0_seed0</t>
  </si>
  <si>
    <t>bpps_d10000n100m10w500_1500s1000_2000f0_seed1</t>
  </si>
  <si>
    <t>bpps_d10000n100m10w500_1500s1000_2000f1_seed0</t>
  </si>
  <si>
    <t>bpps_d10000n100m10w500_1500s1000_2000f1_seed1</t>
  </si>
  <si>
    <t>bpps_d10000n100m10w500_1500s100_1000f0_seed0</t>
  </si>
  <si>
    <t>bpps_d10000n100m10w500_1500s100_1000f0_seed1</t>
  </si>
  <si>
    <t>S-FFD, S-BFD, MSIG</t>
  </si>
  <si>
    <t>bpps_d10000n100m10w500_1500s100_1000f1_seed0</t>
  </si>
  <si>
    <t>bpps_d10000n100m10w500_1500s100_1000f1_seed1</t>
  </si>
  <si>
    <t>bpps_d10000n100m5w1500_3000s1000_2000f0_seed0</t>
  </si>
  <si>
    <t>bpps_d10000n100m5w1500_3000s1000_2000f0_seed1</t>
  </si>
  <si>
    <t>bpps_d10000n100m5w1500_3000s1000_2000f1_seed0</t>
  </si>
  <si>
    <t>bpps_d10000n100m5w1500_3000s1000_2000f1_seed1</t>
  </si>
  <si>
    <t>bpps_d10000n100m5w1500_3000s100_1000f0_seed0</t>
  </si>
  <si>
    <t>bpps_d10000n100m5w1500_3000s100_1000f0_seed1</t>
  </si>
  <si>
    <t>bpps_d10000n100m5w1500_3000s100_1000f1_seed0</t>
  </si>
  <si>
    <t>bpps_d10000n100m5w1500_3000s100_1000f1_seed1</t>
  </si>
  <si>
    <t>bpps_d10000n100m5w500_1500s1000_2000f0_seed0</t>
  </si>
  <si>
    <t>bpps_d10000n100m5w500_1500s1000_2000f0_seed1</t>
  </si>
  <si>
    <t>bpps_d10000n100m5w500_1500s1000_2000f1_seed0</t>
  </si>
  <si>
    <t>bpps_d10000n100m5w500_1500s1000_2000f1_seed1</t>
  </si>
  <si>
    <t>bpps_d10000n100m5w500_1500s100_1000f0_seed0</t>
  </si>
  <si>
    <t>bpps_d10000n100m5w500_1500s100_1000f0_seed1</t>
  </si>
  <si>
    <t>bpps_d10000n100m5w500_1500s100_1000f1_seed0</t>
  </si>
  <si>
    <t>bpps_d10000n100m5w500_1500s100_1000f1_seed1</t>
  </si>
  <si>
    <t>bpps_d10000n200m10w1500_3000s1000_2000f0_seed0</t>
  </si>
  <si>
    <t>bpps_d10000n200m10w1500_3000s1000_2000f0_seed1</t>
  </si>
  <si>
    <t>bpps_d10000n200m10w1500_3000s1000_2000f1_seed0</t>
  </si>
  <si>
    <t>bpps_d10000n200m10w1500_3000s1000_2000f1_seed1</t>
  </si>
  <si>
    <t>bpps_d10000n200m10w1500_3000s100_1000f0_seed0</t>
  </si>
  <si>
    <t>bpps_d10000n200m10w1500_3000s100_1000f0_seed1</t>
  </si>
  <si>
    <t>bpps_d10000n200m10w1500_3000s100_1000f1_seed0</t>
  </si>
  <si>
    <t>bpps_d10000n200m10w1500_3000s100_1000f1_seed1</t>
  </si>
  <si>
    <t>bpps_d10000n200m10w500_1500s1000_2000f0_seed0</t>
  </si>
  <si>
    <t>bpps_d10000n200m10w500_1500s1000_2000f0_seed1</t>
  </si>
  <si>
    <t>bpps_d10000n200m10w500_1500s1000_2000f1_seed0</t>
  </si>
  <si>
    <t>bpps_d10000n200m10w500_1500s1000_2000f1_seed1</t>
  </si>
  <si>
    <t>bpps_d10000n200m10w500_1500s100_1000f0_seed0</t>
  </si>
  <si>
    <t>S-BFD, MSIG</t>
  </si>
  <si>
    <t>bpps_d10000n200m10w500_1500s100_1000f0_seed1</t>
  </si>
  <si>
    <t>bpps_d10000n200m10w500_1500s100_1000f1_seed0</t>
  </si>
  <si>
    <t>bpps_d10000n200m10w500_1500s100_1000f1_seed1</t>
  </si>
  <si>
    <t>bpps_d10000n200m5w1500_3000s1000_2000f0_seed0</t>
  </si>
  <si>
    <t>bpps_d10000n200m5w1500_3000s1000_2000f0_seed1</t>
  </si>
  <si>
    <t>bpps_d10000n200m5w1500_3000s1000_2000f1_seed0</t>
  </si>
  <si>
    <t>bpps_d10000n200m5w1500_3000s1000_2000f1_seed1</t>
  </si>
  <si>
    <t>bpps_d10000n200m5w1500_3000s100_1000f0_seed0</t>
  </si>
  <si>
    <t>bpps_d10000n200m5w1500_3000s100_1000f0_seed1</t>
  </si>
  <si>
    <t>bpps_d10000n200m5w1500_3000s100_1000f1_seed0</t>
  </si>
  <si>
    <t>bpps_d10000n200m5w1500_3000s100_1000f1_seed1</t>
  </si>
  <si>
    <t>bpps_d10000n200m5w500_1500s1000_2000f0_seed0</t>
  </si>
  <si>
    <t>bpps_d10000n200m5w500_1500s1000_2000f0_seed1</t>
  </si>
  <si>
    <t>bpps_d10000n200m5w500_1500s1000_2000f1_seed0</t>
  </si>
  <si>
    <t>bpps_d10000n200m5w500_1500s1000_2000f1_seed1</t>
  </si>
  <si>
    <t>bpps_d10000n200m5w500_1500s100_1000f0_seed0</t>
  </si>
  <si>
    <t>bpps_d10000n200m5w500_1500s100_1000f0_seed1</t>
  </si>
  <si>
    <t>bpps_d10000n200m5w500_1500s100_1000f1_seed0</t>
  </si>
  <si>
    <t>bpps_d10000n200m5w500_1500s100_1000f1_seed1</t>
  </si>
  <si>
    <t>bpps_d10000n25m10w1500_3000s1000_2000f0_seed0</t>
  </si>
  <si>
    <t>bpps_d10000n25m10w1500_3000s1000_2000f0_seed1</t>
  </si>
  <si>
    <t>S-FFD, MSIG</t>
  </si>
  <si>
    <t>bpps_d10000n25m10w1500_3000s1000_2000f1_seed0</t>
  </si>
  <si>
    <t>bpps_d10000n25m10w1500_3000s1000_2000f1_seed1</t>
  </si>
  <si>
    <t>bpps_d10000n25m10w1500_3000s100_1000f0_seed0</t>
  </si>
  <si>
    <t>bpps_d10000n25m10w1500_3000s100_1000f0_seed1</t>
  </si>
  <si>
    <t>bpps_d10000n25m10w1500_3000s100_1000f1_seed0</t>
  </si>
  <si>
    <t>bpps_d10000n25m10w1500_3000s100_1000f1_seed1</t>
  </si>
  <si>
    <t>bpps_d10000n25m10w500_1500s1000_2000f0_seed0</t>
  </si>
  <si>
    <t>S-FFD, S-WFD, MSIG</t>
  </si>
  <si>
    <t>bpps_d10000n25m10w500_1500s1000_2000f0_seed1</t>
  </si>
  <si>
    <t>bpps_d10000n25m10w500_1500s1000_2000f1_seed0</t>
  </si>
  <si>
    <t>bpps_d10000n25m10w500_1500s1000_2000f1_seed1</t>
  </si>
  <si>
    <t>bpps_d10000n25m10w500_1500s100_1000f0_seed0</t>
  </si>
  <si>
    <t>bpps_d10000n25m10w500_1500s100_1000f0_seed1</t>
  </si>
  <si>
    <t>S-FFD, S-BFD, S-WFD, MSIG</t>
  </si>
  <si>
    <t>bpps_d10000n25m10w500_1500s100_1000f1_seed0</t>
  </si>
  <si>
    <t>bpps_d10000n25m10w500_1500s100_1000f1_seed1</t>
  </si>
  <si>
    <t>bpps_d10000n25m5w1500_3000s1000_2000f0_seed0</t>
  </si>
  <si>
    <t>bpps_d10000n25m5w1500_3000s1000_2000f0_seed1</t>
  </si>
  <si>
    <t>S-BFD, S-WFD, MSIG</t>
  </si>
  <si>
    <t>bpps_d10000n25m5w1500_3000s1000_2000f1_seed0</t>
  </si>
  <si>
    <t>bpps_d10000n25m5w1500_3000s1000_2000f1_seed1</t>
  </si>
  <si>
    <t>bpps_d10000n25m5w1500_3000s100_1000f0_seed0</t>
  </si>
  <si>
    <t>bpps_d10000n25m5w1500_3000s100_1000f0_seed1</t>
  </si>
  <si>
    <t>bpps_d10000n25m5w1500_3000s100_1000f1_seed0</t>
  </si>
  <si>
    <t>bpps_d10000n25m5w1500_3000s100_1000f1_seed1</t>
  </si>
  <si>
    <t>bpps_d10000n25m5w500_1500s1000_2000f0_seed0</t>
  </si>
  <si>
    <t>bpps_d10000n25m5w500_1500s1000_2000f0_seed1</t>
  </si>
  <si>
    <t>bpps_d10000n25m5w500_1500s1000_2000f1_seed0</t>
  </si>
  <si>
    <t>bpps_d10000n25m5w500_1500s1000_2000f1_seed1</t>
  </si>
  <si>
    <t>bpps_d10000n25m5w500_1500s100_1000f0_seed0</t>
  </si>
  <si>
    <t>bpps_d10000n25m5w500_1500s100_1000f0_seed1</t>
  </si>
  <si>
    <t>bpps_d10000n25m5w500_1500s100_1000f1_seed0</t>
  </si>
  <si>
    <t>bpps_d10000n25m5w500_1500s100_1000f1_seed1</t>
  </si>
  <si>
    <t>bpps_d10000n50m10w1500_3000s1000_2000f0_seed0</t>
  </si>
  <si>
    <t>bpps_d10000n50m10w1500_3000s1000_2000f0_seed1</t>
  </si>
  <si>
    <t>bpps_d10000n50m10w1500_3000s1000_2000f1_seed0</t>
  </si>
  <si>
    <t>bpps_d10000n50m10w1500_3000s1000_2000f1_seed1</t>
  </si>
  <si>
    <t>bpps_d10000n50m10w1500_3000s100_1000f0_seed0</t>
  </si>
  <si>
    <t>bpps_d10000n50m10w1500_3000s100_1000f0_seed1</t>
  </si>
  <si>
    <t>bpps_d10000n50m10w1500_3000s100_1000f1_seed0</t>
  </si>
  <si>
    <t>bpps_d10000n50m10w1500_3000s100_1000f1_seed1</t>
  </si>
  <si>
    <t>bpps_d10000n50m10w500_1500s1000_2000f0_seed0</t>
  </si>
  <si>
    <t>bpps_d10000n50m10w500_1500s1000_2000f0_seed1</t>
  </si>
  <si>
    <t>bpps_d10000n50m10w500_1500s1000_2000f1_seed0</t>
  </si>
  <si>
    <t>bpps_d10000n50m10w500_1500s1000_2000f1_seed1</t>
  </si>
  <si>
    <t>bpps_d10000n50m10w500_1500s100_1000f0_seed0</t>
  </si>
  <si>
    <t>bpps_d10000n50m10w500_1500s100_1000f0_seed1</t>
  </si>
  <si>
    <t>bpps_d10000n50m10w500_1500s100_1000f1_seed0</t>
  </si>
  <si>
    <t>bpps_d10000n50m10w500_1500s100_1000f1_seed1</t>
  </si>
  <si>
    <t>bpps_d10000n50m5w1500_3000s1000_2000f0_seed0</t>
  </si>
  <si>
    <t>bpps_d10000n50m5w1500_3000s1000_2000f0_seed1</t>
  </si>
  <si>
    <t>bpps_d10000n50m5w1500_3000s1000_2000f1_seed0</t>
  </si>
  <si>
    <t>bpps_d10000n50m5w1500_3000s1000_2000f1_seed1</t>
  </si>
  <si>
    <t>bpps_d10000n50m5w1500_3000s100_1000f0_seed0</t>
  </si>
  <si>
    <t>bpps_d10000n50m5w1500_3000s100_1000f0_seed1</t>
  </si>
  <si>
    <t>bpps_d10000n50m5w1500_3000s100_1000f1_seed0</t>
  </si>
  <si>
    <t>bpps_d10000n50m5w1500_3000s100_1000f1_seed1</t>
  </si>
  <si>
    <t>bpps_d10000n50m5w500_1500s1000_2000f0_seed0</t>
  </si>
  <si>
    <t>bpps_d10000n50m5w500_1500s1000_2000f0_seed1</t>
  </si>
  <si>
    <t>bpps_d10000n50m5w500_1500s1000_2000f1_seed0</t>
  </si>
  <si>
    <t>bpps_d10000n50m5w500_1500s1000_2000f1_seed1</t>
  </si>
  <si>
    <t>bpps_d10000n50m5w500_1500s100_1000f0_seed0</t>
  </si>
  <si>
    <t>bpps_d10000n50m5w500_1500s100_1000f0_seed1</t>
  </si>
  <si>
    <t>bpps_d10000n50m5w500_1500s100_1000f1_seed0</t>
  </si>
  <si>
    <t>bpps_d10000n50m5w500_1500s100_1000f1_seed1</t>
  </si>
  <si>
    <t>bpps_d10000n75m10w1500_3000s1000_2000f0_seed0</t>
  </si>
  <si>
    <t>bpps_d10000n75m10w1500_3000s1000_2000f0_seed1</t>
  </si>
  <si>
    <t>bpps_d10000n75m10w1500_3000s1000_2000f1_seed0</t>
  </si>
  <si>
    <t>bpps_d10000n75m10w1500_3000s1000_2000f1_seed1</t>
  </si>
  <si>
    <t>bpps_d10000n75m10w1500_3000s100_1000f0_seed0</t>
  </si>
  <si>
    <t>bpps_d10000n75m10w1500_3000s100_1000f0_seed1</t>
  </si>
  <si>
    <t>bpps_d10000n75m10w1500_3000s100_1000f1_seed0</t>
  </si>
  <si>
    <t>bpps_d10000n75m10w1500_3000s100_1000f1_seed1</t>
  </si>
  <si>
    <t>bpps_d10000n75m10w500_1500s1000_2000f0_seed0</t>
  </si>
  <si>
    <t>bpps_d10000n75m10w500_1500s1000_2000f0_seed1</t>
  </si>
  <si>
    <t>bpps_d10000n75m10w500_1500s1000_2000f1_seed0</t>
  </si>
  <si>
    <t>bpps_d10000n75m10w500_1500s1000_2000f1_seed1</t>
  </si>
  <si>
    <t>bpps_d10000n75m10w500_1500s100_1000f0_seed0</t>
  </si>
  <si>
    <t>bpps_d10000n75m10w500_1500s100_1000f0_seed1</t>
  </si>
  <si>
    <t>bpps_d10000n75m10w500_1500s100_1000f1_seed0</t>
  </si>
  <si>
    <t>bpps_d10000n75m10w500_1500s100_1000f1_seed1</t>
  </si>
  <si>
    <t>bpps_d10000n75m5w1500_3000s1000_2000f0_seed0</t>
  </si>
  <si>
    <t>bpps_d10000n75m5w1500_3000s1000_2000f0_seed1</t>
  </si>
  <si>
    <t>bpps_d10000n75m5w1500_3000s1000_2000f1_seed0</t>
  </si>
  <si>
    <t>bpps_d10000n75m5w1500_3000s1000_2000f1_seed1</t>
  </si>
  <si>
    <t>bpps_d10000n75m5w1500_3000s100_1000f0_seed0</t>
  </si>
  <si>
    <t>bpps_d10000n75m5w1500_3000s100_1000f0_seed1</t>
  </si>
  <si>
    <t>bpps_d10000n75m5w1500_3000s100_1000f1_seed0</t>
  </si>
  <si>
    <t>bpps_d10000n75m5w1500_3000s100_1000f1_seed1</t>
  </si>
  <si>
    <t>bpps_d10000n75m5w500_1500s1000_2000f0_seed0</t>
  </si>
  <si>
    <t>bpps_d10000n75m5w500_1500s1000_2000f0_seed1</t>
  </si>
  <si>
    <t>bpps_d10000n75m5w500_1500s1000_2000f1_seed0</t>
  </si>
  <si>
    <t>bpps_d10000n75m5w500_1500s1000_2000f1_seed1</t>
  </si>
  <si>
    <t>bpps_d10000n75m5w500_1500s100_1000f0_seed0</t>
  </si>
  <si>
    <t>bpps_d10000n75m5w500_1500s100_1000f0_seed1</t>
  </si>
  <si>
    <t>bpps_d10000n75m5w500_1500s100_1000f1_seed0</t>
  </si>
  <si>
    <t>bpps_d10000n75m5w500_1500s100_1000f1_seed1</t>
  </si>
  <si>
    <t>bpps_d1000n100m10w150_300s100_200f0_seed0</t>
  </si>
  <si>
    <t>bpps_d1000n100m10w150_300s100_200f0_seed1</t>
  </si>
  <si>
    <t>bpps_d1000n100m10w150_300s100_200f1_seed0</t>
  </si>
  <si>
    <t>bpps_d1000n100m10w150_300s100_200f1_seed1</t>
  </si>
  <si>
    <t>bpps_d1000n100m10w150_300s10_100f0_seed0</t>
  </si>
  <si>
    <t>bpps_d1000n100m10w150_300s10_100f0_seed1</t>
  </si>
  <si>
    <t>bpps_d1000n100m10w150_300s10_100f1_seed0</t>
  </si>
  <si>
    <t>bpps_d1000n100m10w150_300s10_100f1_seed1</t>
  </si>
  <si>
    <t>bpps_d1000n100m10w50_150s100_200f0_seed0</t>
  </si>
  <si>
    <t>bpps_d1000n100m10w50_150s100_200f0_seed1</t>
  </si>
  <si>
    <t>bpps_d1000n100m10w50_150s100_200f1_seed0</t>
  </si>
  <si>
    <t>bpps_d1000n100m10w50_150s100_200f1_seed1</t>
  </si>
  <si>
    <t>bpps_d1000n100m10w50_150s10_100f0_seed0</t>
  </si>
  <si>
    <t>bpps_d1000n100m10w50_150s10_100f0_seed1</t>
  </si>
  <si>
    <t>bpps_d1000n100m10w50_150s10_100f1_seed0</t>
  </si>
  <si>
    <t>bpps_d1000n100m10w50_150s10_100f1_seed1</t>
  </si>
  <si>
    <t>bpps_d1000n100m5w150_300s100_200f0_seed0</t>
  </si>
  <si>
    <t>bpps_d1000n100m5w150_300s100_200f0_seed1</t>
  </si>
  <si>
    <t>bpps_d1000n100m5w150_300s100_200f1_seed0</t>
  </si>
  <si>
    <t>bpps_d1000n100m5w150_300s100_200f1_seed1</t>
  </si>
  <si>
    <t>bpps_d1000n100m5w150_300s10_100f0_seed0</t>
  </si>
  <si>
    <t>bpps_d1000n100m5w150_300s10_100f0_seed1</t>
  </si>
  <si>
    <t>bpps_d1000n100m5w150_300s10_100f1_seed0</t>
  </si>
  <si>
    <t>bpps_d1000n100m5w150_300s10_100f1_seed1</t>
  </si>
  <si>
    <t>bpps_d1000n100m5w50_150s100_200f0_seed0</t>
  </si>
  <si>
    <t>bpps_d1000n100m5w50_150s100_200f0_seed1</t>
  </si>
  <si>
    <t>bpps_d1000n100m5w50_150s100_200f1_seed0</t>
  </si>
  <si>
    <t>bpps_d1000n100m5w50_150s100_200f1_seed1</t>
  </si>
  <si>
    <t>bpps_d1000n100m5w50_150s10_100f0_seed0</t>
  </si>
  <si>
    <t>bpps_d1000n100m5w50_150s10_100f0_seed1</t>
  </si>
  <si>
    <t>bpps_d1000n100m5w50_150s10_100f1_seed0</t>
  </si>
  <si>
    <t>bpps_d1000n100m5w50_150s10_100f1_seed1</t>
  </si>
  <si>
    <t>bpps_d1000n200m10w150_300s100_200f0_seed0</t>
  </si>
  <si>
    <t>bpps_d1000n200m10w150_300s100_200f0_seed1</t>
  </si>
  <si>
    <t>bpps_d1000n200m10w150_300s100_200f1_seed0</t>
  </si>
  <si>
    <t>bpps_d1000n200m10w150_300s100_200f1_seed1</t>
  </si>
  <si>
    <t>bpps_d1000n200m10w150_300s10_100f0_seed0</t>
  </si>
  <si>
    <t>bpps_d1000n200m10w150_300s10_100f0_seed1</t>
  </si>
  <si>
    <t>bpps_d1000n200m10w150_300s10_100f1_seed0</t>
  </si>
  <si>
    <t>bpps_d1000n200m10w150_300s10_100f1_seed1</t>
  </si>
  <si>
    <t>bpps_d1000n200m10w50_150s100_200f0_seed0</t>
  </si>
  <si>
    <t>bpps_d1000n200m10w50_150s100_200f0_seed1</t>
  </si>
  <si>
    <t>bpps_d1000n200m10w50_150s100_200f1_seed0</t>
  </si>
  <si>
    <t>bpps_d1000n200m10w50_150s100_200f1_seed1</t>
  </si>
  <si>
    <t>bpps_d1000n200m10w50_150s10_100f0_seed0</t>
  </si>
  <si>
    <t>bpps_d1000n200m10w50_150s10_100f0_seed1</t>
  </si>
  <si>
    <t>bpps_d1000n200m10w50_150s10_100f1_seed0</t>
  </si>
  <si>
    <t>bpps_d1000n200m10w50_150s10_100f1_seed1</t>
  </si>
  <si>
    <t>bpps_d1000n200m5w150_300s100_200f0_seed0</t>
  </si>
  <si>
    <t>bpps_d1000n200m5w150_300s100_200f0_seed1</t>
  </si>
  <si>
    <t>bpps_d1000n200m5w150_300s100_200f1_seed0</t>
  </si>
  <si>
    <t>bpps_d1000n200m5w150_300s100_200f1_seed1</t>
  </si>
  <si>
    <t>bpps_d1000n200m5w150_300s10_100f0_seed0</t>
  </si>
  <si>
    <t>bpps_d1000n200m5w150_300s10_100f0_seed1</t>
  </si>
  <si>
    <t>bpps_d1000n200m5w150_300s10_100f1_seed0</t>
  </si>
  <si>
    <t>bpps_d1000n200m5w150_300s10_100f1_seed1</t>
  </si>
  <si>
    <t>bpps_d1000n200m5w50_150s100_200f0_seed0</t>
  </si>
  <si>
    <t>bpps_d1000n200m5w50_150s100_200f0_seed1</t>
  </si>
  <si>
    <t>bpps_d1000n200m5w50_150s100_200f1_seed0</t>
  </si>
  <si>
    <t>bpps_d1000n200m5w50_150s100_200f1_seed1</t>
  </si>
  <si>
    <t>bpps_d1000n200m5w50_150s10_100f0_seed0</t>
  </si>
  <si>
    <t>bpps_d1000n200m5w50_150s10_100f0_seed1</t>
  </si>
  <si>
    <t>bpps_d1000n200m5w50_150s10_100f1_seed0</t>
  </si>
  <si>
    <t>bpps_d1000n200m5w50_150s10_100f1_seed1</t>
  </si>
  <si>
    <t>bpps_d1000n25m10w150_300s100_200f0_seed0</t>
  </si>
  <si>
    <t>bpps_d1000n25m10w150_300s100_200f0_seed1</t>
  </si>
  <si>
    <t>bpps_d1000n25m10w150_300s100_200f1_seed0</t>
  </si>
  <si>
    <t>bpps_d1000n25m10w150_300s100_200f1_seed1</t>
  </si>
  <si>
    <t>bpps_d1000n25m10w150_300s10_100f0_seed0</t>
  </si>
  <si>
    <t>bpps_d1000n25m10w150_300s10_100f0_seed1</t>
  </si>
  <si>
    <t>bpps_d1000n25m10w150_300s10_100f1_seed0</t>
  </si>
  <si>
    <t>bpps_d1000n25m10w150_300s10_100f1_seed1</t>
  </si>
  <si>
    <t>bpps_d1000n25m10w50_150s100_200f0_seed0</t>
  </si>
  <si>
    <t>bpps_d1000n25m10w50_150s100_200f0_seed1</t>
  </si>
  <si>
    <t>bpps_d1000n25m10w50_150s100_200f1_seed0</t>
  </si>
  <si>
    <t>bpps_d1000n25m10w50_150s100_200f1_seed1</t>
  </si>
  <si>
    <t>bpps_d1000n25m10w50_150s10_100f0_seed0</t>
  </si>
  <si>
    <t>bpps_d1000n25m10w50_150s10_100f0_seed1</t>
  </si>
  <si>
    <t>bpps_d1000n25m10w50_150s10_100f1_seed0</t>
  </si>
  <si>
    <t>bpps_d1000n25m10w50_150s10_100f1_seed1</t>
  </si>
  <si>
    <t>bpps_d1000n25m5w150_300s100_200f0_seed0</t>
  </si>
  <si>
    <t>bpps_d1000n25m5w150_300s100_200f0_seed1</t>
  </si>
  <si>
    <t>bpps_d1000n25m5w150_300s100_200f1_seed0</t>
  </si>
  <si>
    <t>bpps_d1000n25m5w150_300s100_200f1_seed1</t>
  </si>
  <si>
    <t>bpps_d1000n25m5w150_300s10_100f0_seed0</t>
  </si>
  <si>
    <t>bpps_d1000n25m5w150_300s10_100f0_seed1</t>
  </si>
  <si>
    <t>bpps_d1000n25m5w150_300s10_100f1_seed0</t>
  </si>
  <si>
    <t>bpps_d1000n25m5w150_300s10_100f1_seed1</t>
  </si>
  <si>
    <t>bpps_d1000n25m5w50_150s100_200f0_seed0</t>
  </si>
  <si>
    <t>bpps_d1000n25m5w50_150s100_200f0_seed1</t>
  </si>
  <si>
    <t>bpps_d1000n25m5w50_150s100_200f1_seed0</t>
  </si>
  <si>
    <t>bpps_d1000n25m5w50_150s100_200f1_seed1</t>
  </si>
  <si>
    <t>bpps_d1000n25m5w50_150s10_100f0_seed0</t>
  </si>
  <si>
    <t>bpps_d1000n25m5w50_150s10_100f0_seed1</t>
  </si>
  <si>
    <t>bpps_d1000n25m5w50_150s10_100f1_seed0</t>
  </si>
  <si>
    <t>bpps_d1000n25m5w50_150s10_100f1_seed1</t>
  </si>
  <si>
    <t>bpps_d1000n50m10w150_300s100_200f0_seed0</t>
  </si>
  <si>
    <t>bpps_d1000n50m10w150_300s100_200f0_seed1</t>
  </si>
  <si>
    <t>bpps_d1000n50m10w150_300s100_200f1_seed0</t>
  </si>
  <si>
    <t>bpps_d1000n50m10w150_300s100_200f1_seed1</t>
  </si>
  <si>
    <t>bpps_d1000n50m10w150_300s10_100f0_seed0</t>
  </si>
  <si>
    <t>bpps_d1000n50m10w150_300s10_100f0_seed1</t>
  </si>
  <si>
    <t>S-WFD, MSIG</t>
  </si>
  <si>
    <t>bpps_d1000n50m10w150_300s10_100f1_seed0</t>
  </si>
  <si>
    <t>bpps_d1000n50m10w150_300s10_100f1_seed1</t>
  </si>
  <si>
    <t>bpps_d1000n50m10w50_150s100_200f0_seed0</t>
  </si>
  <si>
    <t>bpps_d1000n50m10w50_150s100_200f0_seed1</t>
  </si>
  <si>
    <t>S-FFD, S-BFD, S-WFD, Best C-TP, MSIG</t>
  </si>
  <si>
    <t>bpps_d1000n50m10w50_150s100_200f1_seed0</t>
  </si>
  <si>
    <t>bpps_d1000n50m10w50_150s100_200f1_seed1</t>
  </si>
  <si>
    <t>bpps_d1000n50m10w50_150s10_100f0_seed0</t>
  </si>
  <si>
    <t>bpps_d1000n50m10w50_150s10_100f0_seed1</t>
  </si>
  <si>
    <t>bpps_d1000n50m10w50_150s10_100f1_seed0</t>
  </si>
  <si>
    <t>bpps_d1000n50m10w50_150s10_100f1_seed1</t>
  </si>
  <si>
    <t>bpps_d1000n50m5w150_300s100_200f0_seed0</t>
  </si>
  <si>
    <t>bpps_d1000n50m5w150_300s100_200f0_seed1</t>
  </si>
  <si>
    <t>bpps_d1000n50m5w150_300s100_200f1_seed0</t>
  </si>
  <si>
    <t>bpps_d1000n50m5w150_300s100_200f1_seed1</t>
  </si>
  <si>
    <t>bpps_d1000n50m5w150_300s10_100f0_seed0</t>
  </si>
  <si>
    <t>bpps_d1000n50m5w150_300s10_100f0_seed1</t>
  </si>
  <si>
    <t>bpps_d1000n50m5w150_300s10_100f1_seed0</t>
  </si>
  <si>
    <t>bpps_d1000n50m5w150_300s10_100f1_seed1</t>
  </si>
  <si>
    <t>bpps_d1000n50m5w50_150s100_200f0_seed0</t>
  </si>
  <si>
    <t>bpps_d1000n50m5w50_150s100_200f0_seed1</t>
  </si>
  <si>
    <t>bpps_d1000n50m5w50_150s100_200f1_seed0</t>
  </si>
  <si>
    <t>bpps_d1000n50m5w50_150s100_200f1_seed1</t>
  </si>
  <si>
    <t>bpps_d1000n50m5w50_150s10_100f0_seed0</t>
  </si>
  <si>
    <t>bpps_d1000n50m5w50_150s10_100f0_seed1</t>
  </si>
  <si>
    <t>bpps_d1000n50m5w50_150s10_100f1_seed0</t>
  </si>
  <si>
    <t>bpps_d1000n50m5w50_150s10_100f1_seed1</t>
  </si>
  <si>
    <t>bpps_d1000n75m10w150_300s100_200f0_seed0</t>
  </si>
  <si>
    <t>bpps_d1000n75m10w150_300s100_200f0_seed1</t>
  </si>
  <si>
    <t>bpps_d1000n75m10w150_300s100_200f1_seed0</t>
  </si>
  <si>
    <t>bpps_d1000n75m10w150_300s100_200f1_seed1</t>
  </si>
  <si>
    <t>bpps_d1000n75m10w150_300s10_100f0_seed0</t>
  </si>
  <si>
    <t>bpps_d1000n75m10w150_300s10_100f0_seed1</t>
  </si>
  <si>
    <t>bpps_d1000n75m10w150_300s10_100f1_seed0</t>
  </si>
  <si>
    <t>bpps_d1000n75m10w150_300s10_100f1_seed1</t>
  </si>
  <si>
    <t>bpps_d1000n75m10w50_150s100_200f0_seed0</t>
  </si>
  <si>
    <t>bpps_d1000n75m10w50_150s100_200f0_seed1</t>
  </si>
  <si>
    <t>bpps_d1000n75m10w50_150s100_200f1_seed0</t>
  </si>
  <si>
    <t>bpps_d1000n75m10w50_150s100_200f1_seed1</t>
  </si>
  <si>
    <t>bpps_d1000n75m10w50_150s10_100f0_seed0</t>
  </si>
  <si>
    <t>bpps_d1000n75m10w50_150s10_100f0_seed1</t>
  </si>
  <si>
    <t>bpps_d1000n75m10w50_150s10_100f1_seed0</t>
  </si>
  <si>
    <t>bpps_d1000n75m10w50_150s10_100f1_seed1</t>
  </si>
  <si>
    <t>bpps_d1000n75m5w150_300s100_200f0_seed0</t>
  </si>
  <si>
    <t>bpps_d1000n75m5w150_300s100_200f0_seed1</t>
  </si>
  <si>
    <t>bpps_d1000n75m5w150_300s100_200f1_seed0</t>
  </si>
  <si>
    <t>bpps_d1000n75m5w150_300s100_200f1_seed1</t>
  </si>
  <si>
    <t>bpps_d1000n75m5w150_300s10_100f0_seed0</t>
  </si>
  <si>
    <t>bpps_d1000n75m5w150_300s10_100f0_seed1</t>
  </si>
  <si>
    <t>bpps_d1000n75m5w150_300s10_100f1_seed0</t>
  </si>
  <si>
    <t>bpps_d1000n75m5w150_300s10_100f1_seed1</t>
  </si>
  <si>
    <t>bpps_d1000n75m5w50_150s100_200f0_seed0</t>
  </si>
  <si>
    <t>bpps_d1000n75m5w50_150s100_200f0_seed1</t>
  </si>
  <si>
    <t>bpps_d1000n75m5w50_150s100_200f1_seed0</t>
  </si>
  <si>
    <t>bpps_d1000n75m5w50_150s100_200f1_seed1</t>
  </si>
  <si>
    <t>bpps_d1000n75m5w50_150s10_100f0_seed0</t>
  </si>
  <si>
    <t>bpps_d1000n75m5w50_150s10_100f0_seed1</t>
  </si>
  <si>
    <t>bpps_d1000n75m5w50_150s10_100f1_seed0</t>
  </si>
  <si>
    <t>bpps_d1000n75m5w50_150s10_100f1_seed1</t>
  </si>
  <si>
    <t>bpps_d200n100m10w10_30s20_40f0_seed0</t>
  </si>
  <si>
    <t>bpps_d200n100m10w10_30s20_40f0_seed1</t>
  </si>
  <si>
    <t>bpps_d200n100m10w10_30s20_40f1_seed0</t>
  </si>
  <si>
    <t>bpps_d200n100m10w10_30s20_40f1_seed1</t>
  </si>
  <si>
    <t>bpps_d200n100m10w10_30s2_20f0_seed0</t>
  </si>
  <si>
    <t>bpps_d200n100m10w10_30s2_20f0_seed1</t>
  </si>
  <si>
    <t>bpps_d200n100m10w10_30s2_20f1_seed0</t>
  </si>
  <si>
    <t>bpps_d200n100m10w10_30s2_20f1_seed1</t>
  </si>
  <si>
    <t>bpps_d200n100m10w30_60s20_40f0_seed0</t>
  </si>
  <si>
    <t>bpps_d200n100m10w30_60s20_40f0_seed1</t>
  </si>
  <si>
    <t>bpps_d200n100m10w30_60s20_40f1_seed0</t>
  </si>
  <si>
    <t>bpps_d200n100m10w30_60s20_40f1_seed1</t>
  </si>
  <si>
    <t>bpps_d200n100m10w30_60s2_20f0_seed0</t>
  </si>
  <si>
    <t>bpps_d200n100m10w30_60s2_20f0_seed1</t>
  </si>
  <si>
    <t>bpps_d200n100m10w30_60s2_20f1_seed0</t>
  </si>
  <si>
    <t>bpps_d200n100m10w30_60s2_20f1_seed1</t>
  </si>
  <si>
    <t>bpps_d200n100m5w10_30s20_40f0_seed0</t>
  </si>
  <si>
    <t>bpps_d200n100m5w10_30s20_40f0_seed1</t>
  </si>
  <si>
    <t>bpps_d200n100m5w10_30s20_40f1_seed0</t>
  </si>
  <si>
    <t>bpps_d200n100m5w10_30s20_40f1_seed1</t>
  </si>
  <si>
    <t>bpps_d200n100m5w10_30s2_20f0_seed0</t>
  </si>
  <si>
    <t>bpps_d200n100m5w10_30s2_20f0_seed1</t>
  </si>
  <si>
    <t>bpps_d200n100m5w10_30s2_20f1_seed0</t>
  </si>
  <si>
    <t>bpps_d200n100m5w10_30s2_20f1_seed1</t>
  </si>
  <si>
    <t>bpps_d200n100m5w30_60s20_40f0_seed0</t>
  </si>
  <si>
    <t>bpps_d200n100m5w30_60s20_40f0_seed1</t>
  </si>
  <si>
    <t>bpps_d200n100m5w30_60s20_40f1_seed0</t>
  </si>
  <si>
    <t>bpps_d200n100m5w30_60s20_40f1_seed1</t>
  </si>
  <si>
    <t>bpps_d200n100m5w30_60s2_20f0_seed0</t>
  </si>
  <si>
    <t>bpps_d200n100m5w30_60s2_20f0_seed1</t>
  </si>
  <si>
    <t>bpps_d200n100m5w30_60s2_20f1_seed0</t>
  </si>
  <si>
    <t>bpps_d200n100m5w30_60s2_20f1_seed1</t>
  </si>
  <si>
    <t>bpps_d200n200m10w10_30s20_40f0_seed0</t>
  </si>
  <si>
    <t>bpps_d200n200m10w10_30s20_40f0_seed1</t>
  </si>
  <si>
    <t>bpps_d200n200m10w10_30s20_40f1_seed0</t>
  </si>
  <si>
    <t>bpps_d200n200m10w10_30s20_40f1_seed1</t>
  </si>
  <si>
    <t>bpps_d200n200m10w10_30s2_20f0_seed0</t>
  </si>
  <si>
    <t>bpps_d200n200m10w10_30s2_20f0_seed1</t>
  </si>
  <si>
    <t>bpps_d200n200m10w10_30s2_20f1_seed0</t>
  </si>
  <si>
    <t>bpps_d200n200m10w10_30s2_20f1_seed1</t>
  </si>
  <si>
    <t>bpps_d200n200m10w30_60s20_40f0_seed0</t>
  </si>
  <si>
    <t>bpps_d200n200m10w30_60s20_40f0_seed1</t>
  </si>
  <si>
    <t>bpps_d200n200m10w30_60s20_40f1_seed0</t>
  </si>
  <si>
    <t>bpps_d200n200m10w30_60s20_40f1_seed1</t>
  </si>
  <si>
    <t>bpps_d200n200m10w30_60s2_20f0_seed0</t>
  </si>
  <si>
    <t>bpps_d200n200m10w30_60s2_20f0_seed1</t>
  </si>
  <si>
    <t>bpps_d200n200m10w30_60s2_20f1_seed0</t>
  </si>
  <si>
    <t>bpps_d200n200m10w30_60s2_20f1_seed1</t>
  </si>
  <si>
    <t>bpps_d200n200m5w10_30s20_40f0_seed0</t>
  </si>
  <si>
    <t>bpps_d200n200m5w10_30s20_40f0_seed1</t>
  </si>
  <si>
    <t>bpps_d200n200m5w10_30s20_40f1_seed0</t>
  </si>
  <si>
    <t>bpps_d200n200m5w10_30s20_40f1_seed1</t>
  </si>
  <si>
    <t>bpps_d200n200m5w10_30s2_20f0_seed0</t>
  </si>
  <si>
    <t>bpps_d200n200m5w10_30s2_20f0_seed1</t>
  </si>
  <si>
    <t>bpps_d200n200m5w10_30s2_20f1_seed0</t>
  </si>
  <si>
    <t>bpps_d200n200m5w10_30s2_20f1_seed1</t>
  </si>
  <si>
    <t>bpps_d200n200m5w30_60s20_40f0_seed0</t>
  </si>
  <si>
    <t>bpps_d200n200m5w30_60s20_40f0_seed1</t>
  </si>
  <si>
    <t>bpps_d200n200m5w30_60s20_40f1_seed0</t>
  </si>
  <si>
    <t>bpps_d200n200m5w30_60s20_40f1_seed1</t>
  </si>
  <si>
    <t>bpps_d200n200m5w30_60s2_20f0_seed0</t>
  </si>
  <si>
    <t>bpps_d200n200m5w30_60s2_20f0_seed1</t>
  </si>
  <si>
    <t>bpps_d200n200m5w30_60s2_20f1_seed0</t>
  </si>
  <si>
    <t>bpps_d200n200m5w30_60s2_20f1_seed1</t>
  </si>
  <si>
    <t>bpps_d200n25m10w10_30s20_40f0_seed0</t>
  </si>
  <si>
    <t>bpps_d200n25m10w10_30s20_40f0_seed1</t>
  </si>
  <si>
    <t>bpps_d200n25m10w10_30s20_40f1_seed0</t>
  </si>
  <si>
    <t>bpps_d200n25m10w10_30s20_40f1_seed1</t>
  </si>
  <si>
    <t>bpps_d200n25m10w10_30s2_20f0_seed0</t>
  </si>
  <si>
    <t>bpps_d200n25m10w10_30s2_20f0_seed1</t>
  </si>
  <si>
    <t>bpps_d200n25m10w10_30s2_20f1_seed0</t>
  </si>
  <si>
    <t>bpps_d200n25m10w10_30s2_20f1_seed1</t>
  </si>
  <si>
    <t>bpps_d200n25m10w30_60s20_40f0_seed0</t>
  </si>
  <si>
    <t>bpps_d200n25m10w30_60s20_40f0_seed1</t>
  </si>
  <si>
    <t>bpps_d200n25m10w30_60s20_40f1_seed0</t>
  </si>
  <si>
    <t>bpps_d200n25m10w30_60s20_40f1_seed1</t>
  </si>
  <si>
    <t>bpps_d200n25m10w30_60s2_20f0_seed0</t>
  </si>
  <si>
    <t>bpps_d200n25m10w30_60s2_20f0_seed1</t>
  </si>
  <si>
    <t>bpps_d200n25m10w30_60s2_20f1_seed0</t>
  </si>
  <si>
    <t>bpps_d200n25m10w30_60s2_20f1_seed1</t>
  </si>
  <si>
    <t>bpps_d200n25m5w10_30s20_40f0_seed0</t>
  </si>
  <si>
    <t>bpps_d200n25m5w10_30s20_40f0_seed1</t>
  </si>
  <si>
    <t>bpps_d200n25m5w10_30s20_40f1_seed0</t>
  </si>
  <si>
    <t>bpps_d200n25m5w10_30s20_40f1_seed1</t>
  </si>
  <si>
    <t>bpps_d200n25m5w10_30s2_20f0_seed0</t>
  </si>
  <si>
    <t>bpps_d200n25m5w10_30s2_20f0_seed1</t>
  </si>
  <si>
    <t>bpps_d200n25m5w10_30s2_20f1_seed0</t>
  </si>
  <si>
    <t>bpps_d200n25m5w10_30s2_20f1_seed1</t>
  </si>
  <si>
    <t>bpps_d200n25m5w30_60s20_40f0_seed0</t>
  </si>
  <si>
    <t>bpps_d200n25m5w30_60s20_40f0_seed1</t>
  </si>
  <si>
    <t>bpps_d200n25m5w30_60s20_40f1_seed0</t>
  </si>
  <si>
    <t>bpps_d200n25m5w30_60s20_40f1_seed1</t>
  </si>
  <si>
    <t>bpps_d200n25m5w30_60s2_20f0_seed0</t>
  </si>
  <si>
    <t>bpps_d200n25m5w30_60s2_20f0_seed1</t>
  </si>
  <si>
    <t>bpps_d200n25m5w30_60s2_20f1_seed0</t>
  </si>
  <si>
    <t>bpps_d200n25m5w30_60s2_20f1_seed1</t>
  </si>
  <si>
    <t>bpps_d200n50m10w10_30s20_40f0_seed0</t>
  </si>
  <si>
    <t>bpps_d200n50m10w10_30s20_40f0_seed1</t>
  </si>
  <si>
    <t>bpps_d200n50m10w10_30s20_40f1_seed0</t>
  </si>
  <si>
    <t>bpps_d200n50m10w10_30s20_40f1_seed1</t>
  </si>
  <si>
    <t>bpps_d200n50m10w10_30s2_20f0_seed0</t>
  </si>
  <si>
    <t>bpps_d200n50m10w10_30s2_20f0_seed1</t>
  </si>
  <si>
    <t>bpps_d200n50m10w10_30s2_20f1_seed0</t>
  </si>
  <si>
    <t>bpps_d200n50m10w10_30s2_20f1_seed1</t>
  </si>
  <si>
    <t>bpps_d200n50m10w30_60s20_40f0_seed0</t>
  </si>
  <si>
    <t>bpps_d200n50m10w30_60s20_40f0_seed1</t>
  </si>
  <si>
    <t>bpps_d200n50m10w30_60s20_40f1_seed0</t>
  </si>
  <si>
    <t>bpps_d200n50m10w30_60s20_40f1_seed1</t>
  </si>
  <si>
    <t>bpps_d200n50m10w30_60s2_20f0_seed0</t>
  </si>
  <si>
    <t>bpps_d200n50m10w30_60s2_20f0_seed1</t>
  </si>
  <si>
    <t>bpps_d200n50m10w30_60s2_20f1_seed0</t>
  </si>
  <si>
    <t>bpps_d200n50m10w30_60s2_20f1_seed1</t>
  </si>
  <si>
    <t>bpps_d200n50m5w10_30s20_40f0_seed0</t>
  </si>
  <si>
    <t>bpps_d200n50m5w10_30s20_40f0_seed1</t>
  </si>
  <si>
    <t>bpps_d200n50m5w10_30s20_40f1_seed0</t>
  </si>
  <si>
    <t>bpps_d200n50m5w10_30s20_40f1_seed1</t>
  </si>
  <si>
    <t>bpps_d200n50m5w10_30s2_20f0_seed0</t>
  </si>
  <si>
    <t>bpps_d200n50m5w10_30s2_20f0_seed1</t>
  </si>
  <si>
    <t>bpps_d200n50m5w10_30s2_20f1_seed0</t>
  </si>
  <si>
    <t>bpps_d200n50m5w10_30s2_20f1_seed1</t>
  </si>
  <si>
    <t>bpps_d200n50m5w30_60s20_40f0_seed0</t>
  </si>
  <si>
    <t>bpps_d200n50m5w30_60s20_40f0_seed1</t>
  </si>
  <si>
    <t>bpps_d200n50m5w30_60s20_40f1_seed0</t>
  </si>
  <si>
    <t>bpps_d200n50m5w30_60s20_40f1_seed1</t>
  </si>
  <si>
    <t>bpps_d200n50m5w30_60s2_20f0_seed0</t>
  </si>
  <si>
    <t>bpps_d200n50m5w30_60s2_20f0_seed1</t>
  </si>
  <si>
    <t>bpps_d200n50m5w30_60s2_20f1_seed0</t>
  </si>
  <si>
    <t>bpps_d200n50m5w30_60s2_20f1_seed1</t>
  </si>
  <si>
    <t>bpps_d200n75m10w10_30s20_40f0_seed0</t>
  </si>
  <si>
    <t>bpps_d200n75m10w10_30s20_40f0_seed1</t>
  </si>
  <si>
    <t>bpps_d200n75m10w10_30s20_40f1_seed0</t>
  </si>
  <si>
    <t>bpps_d200n75m10w10_30s20_40f1_seed1</t>
  </si>
  <si>
    <t>bpps_d200n75m10w10_30s2_20f0_seed0</t>
  </si>
  <si>
    <t>bpps_d200n75m10w10_30s2_20f0_seed1</t>
  </si>
  <si>
    <t>bpps_d200n75m10w10_30s2_20f1_seed0</t>
  </si>
  <si>
    <t>bpps_d200n75m10w10_30s2_20f1_seed1</t>
  </si>
  <si>
    <t>bpps_d200n75m10w30_60s20_40f0_seed0</t>
  </si>
  <si>
    <t>bpps_d200n75m10w30_60s20_40f0_seed1</t>
  </si>
  <si>
    <t>bpps_d200n75m10w30_60s20_40f1_seed0</t>
  </si>
  <si>
    <t>bpps_d200n75m10w30_60s20_40f1_seed1</t>
  </si>
  <si>
    <t>bpps_d200n75m10w30_60s2_20f0_seed0</t>
  </si>
  <si>
    <t>bpps_d200n75m10w30_60s2_20f0_seed1</t>
  </si>
  <si>
    <t>bpps_d200n75m10w30_60s2_20f1_seed0</t>
  </si>
  <si>
    <t>bpps_d200n75m10w30_60s2_20f1_seed1</t>
  </si>
  <si>
    <t>bpps_d200n75m5w10_30s20_40f0_seed0</t>
  </si>
  <si>
    <t>bpps_d200n75m5w10_30s20_40f0_seed1</t>
  </si>
  <si>
    <t>bpps_d200n75m5w10_30s20_40f1_seed0</t>
  </si>
  <si>
    <t>bpps_d200n75m5w10_30s20_40f1_seed1</t>
  </si>
  <si>
    <t>bpps_d200n75m5w10_30s2_20f0_seed0</t>
  </si>
  <si>
    <t>bpps_d200n75m5w10_30s2_20f0_seed1</t>
  </si>
  <si>
    <t>bpps_d200n75m5w10_30s2_20f1_seed0</t>
  </si>
  <si>
    <t>bpps_d200n75m5w10_30s2_20f1_seed1</t>
  </si>
  <si>
    <t>bpps_d200n75m5w30_60s20_40f0_seed0</t>
  </si>
  <si>
    <t>bpps_d200n75m5w30_60s20_40f0_seed1</t>
  </si>
  <si>
    <t>bpps_d200n75m5w30_60s20_40f1_seed0</t>
  </si>
  <si>
    <t>bpps_d200n75m5w30_60s20_40f1_seed1</t>
  </si>
  <si>
    <t>bpps_d200n75m5w30_60s2_20f0_seed0</t>
  </si>
  <si>
    <t>bpps_d200n75m5w30_60s2_20f0_seed1</t>
  </si>
  <si>
    <t>bpps_d200n75m5w30_60s2_20f1_seed0</t>
  </si>
  <si>
    <t>bpps_d200n75m5w30_60s2_20f1_seed1</t>
  </si>
  <si>
    <t>Comparison separated by number of items</t>
  </si>
  <si>
    <t>Instances</t>
  </si>
  <si>
    <t>S-FFD Avg Gap %</t>
  </si>
  <si>
    <t>S-FFD #Best</t>
  </si>
  <si>
    <t>S-FFD Avg Cost</t>
  </si>
  <si>
    <t>S-BFD Avg Gap %</t>
  </si>
  <si>
    <t>S-BFD #Best</t>
  </si>
  <si>
    <t>S-BFD Avg Cost</t>
  </si>
  <si>
    <t>S-WFD Avg Gap %</t>
  </si>
  <si>
    <t>S-WFD #Best</t>
  </si>
  <si>
    <t>S-WFD Avg Cost</t>
  </si>
  <si>
    <t>Best C-TP Avg Gap %</t>
  </si>
  <si>
    <t>Best C-TP #Best</t>
  </si>
  <si>
    <t>Best C-TP Avg Cost</t>
  </si>
  <si>
    <t>MSIG Avg Gap %</t>
  </si>
  <si>
    <t>MSIG #Best</t>
  </si>
  <si>
    <t>MSIG Avg Cost</t>
  </si>
  <si>
    <t>Unmatched instance check</t>
  </si>
  <si>
    <t>Missing count</t>
  </si>
  <si>
    <t>Missing normalized instance names</t>
  </si>
  <si>
    <t>None</t>
  </si>
  <si>
    <t>Calculation notes and file sources</t>
  </si>
  <si>
    <t>Formula for each instance and method</t>
  </si>
  <si>
    <t>Gap(a,i) = (Cost(a,i) - BestResult(i)) / BestResult(i). The workbook displays this as a percentage.</t>
  </si>
  <si>
    <t>BestResult(i)</t>
  </si>
  <si>
    <t>Minimum cost among S-FFD, S-BFD, S-WFD, Best C-TP, and MSIG for the same normalized instance.</t>
  </si>
  <si>
    <t>Best count</t>
  </si>
  <si>
    <t>A method is counted as best if its cost equals the best result for that instance. Ties are counted for all tied methods.</t>
  </si>
  <si>
    <t>Instance matching</t>
  </si>
  <si>
    <t>Instance names are normalized by removing folders, .txt/.dat extensions, and a final conflict-density suffix such as c20 if present.</t>
  </si>
  <si>
    <t>File used</t>
  </si>
  <si>
    <t>Sheet</t>
  </si>
  <si>
    <t>Column used</t>
  </si>
  <si>
    <t>Summary</t>
  </si>
  <si>
    <t>Results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</si>
</sst>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" fontId="0" fillId="0" borderId="1" xfId="0" applyNumberFormat="1" applyBorder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gap to best by method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gap to best</c:v>
          </c:tx>
          <c:dLbls>
            <c:numFmt formatCode="0.00%" sourceLinked="0"/>
            <c:showVal val="1"/>
          </c:dLbls>
          <c:cat>
            <c:strRef>
              <c:f>Summary!$A$8:$A$12</c:f>
              <c:strCache>
                <c:ptCount val="5"/>
                <c:pt idx="0">
                  <c:v>S-FFD</c:v>
                </c:pt>
                <c:pt idx="1">
                  <c:v>S-BFD</c:v>
                </c:pt>
                <c:pt idx="2">
                  <c:v>S-WFD</c:v>
                </c:pt>
                <c:pt idx="3">
                  <c:v>Best C-TP</c:v>
                </c:pt>
                <c:pt idx="4">
                  <c:v>MSIG</c:v>
                </c:pt>
              </c:strCache>
            </c:strRef>
          </c:cat>
          <c:val>
            <c:numRef>
              <c:f>Summary!$F$8:$F$12</c:f>
              <c:numCache>
                <c:formatCode>General</c:formatCode>
                <c:ptCount val="5"/>
                <c:pt idx="0">
                  <c:v>0.1945791974131817</c:v>
                </c:pt>
                <c:pt idx="1">
                  <c:v>0.20262073122111757</c:v>
                </c:pt>
                <c:pt idx="2">
                  <c:v>0.22331802094843486</c:v>
                </c:pt>
                <c:pt idx="3">
                  <c:v>0.20085254977745573</c:v>
                </c:pt>
                <c:pt idx="4">
                  <c:v>0.00043940511307767935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676275</xdr:colOff>
      <xdr:row>31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arisonTable" displayName="ComparisonTable" ref="A1:T481" totalsRowShown="0">
  <autoFilter ref="A1:T481"/>
  <tableColumns count="20">
    <tableColumn id="1" name="Instance"/>
    <tableColumn id="2" name="n_items"/>
    <tableColumn id="3" name="S-FFD Cost"/>
    <tableColumn id="4" name="S-BFD Cost"/>
    <tableColumn id="5" name="S-WFD Cost"/>
    <tableColumn id="6" name="Best C-TP Cost"/>
    <tableColumn id="7" name="MSIG Cost"/>
    <tableColumn id="8" name="Best Result"/>
    <tableColumn id="9" name="Best Method(s)"/>
    <tableColumn id="10" name="S-FFD Gap %"/>
    <tableColumn id="11" name="S-BFD Gap %"/>
    <tableColumn id="12" name="S-WFD Gap %"/>
    <tableColumn id="13" name="Best C-TP Gap %"/>
    <tableColumn id="14" name="MSIG Gap %"/>
    <tableColumn id="15" name="S-FFD Best?"/>
    <tableColumn id="16" name="S-BFD Best?"/>
    <tableColumn id="17" name="S-WFD Best?"/>
    <tableColumn id="18" name="Best C-TP Best?"/>
    <tableColumn id="19" name="MSIG Best?"/>
    <tableColumn id="20" name="Strict Best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yNItemsTable" displayName="ByNItemsTable" ref="A3:Q8" totalsRowShown="0">
  <autoFilter ref="A3:Q8"/>
  <tableColumns count="17">
    <tableColumn id="1" name="n_items"/>
    <tableColumn id="2" name="Instances"/>
    <tableColumn id="3" name="S-FFD Avg Gap %"/>
    <tableColumn id="4" name="S-FFD #Best"/>
    <tableColumn id="5" name="S-FFD Avg Cost"/>
    <tableColumn id="6" name="S-BFD Avg Gap %"/>
    <tableColumn id="7" name="S-BFD #Best"/>
    <tableColumn id="8" name="S-BFD Avg Cost"/>
    <tableColumn id="9" name="S-WFD Avg Gap %"/>
    <tableColumn id="10" name="S-WFD #Best"/>
    <tableColumn id="11" name="S-WFD Avg Cost"/>
    <tableColumn id="12" name="Best C-TP Avg Gap %"/>
    <tableColumn id="13" name="Best C-TP #Best"/>
    <tableColumn id="14" name="Best C-TP Avg Cost"/>
    <tableColumn id="15" name="MSIG Avg Gap %"/>
    <tableColumn id="16" name="MSIG #Best"/>
    <tableColumn id="17" name="MSIG Avg Cos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15.7109375" customWidth="1"/>
    <col min="2" max="2" width="36.7109375" customWidth="1"/>
    <col min="3" max="3" width="18.7109375" customWidth="1"/>
    <col min="4" max="4" width="14.7109375" customWidth="1"/>
    <col min="5" max="5" width="13.7109375" customWidth="1"/>
    <col min="6" max="8" width="14.7109375" customWidth="1"/>
    <col min="9" max="11" width="16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3">
        <v>480</v>
      </c>
    </row>
    <row r="4" spans="1:11">
      <c r="A4" s="2" t="s">
        <v>2</v>
      </c>
      <c r="B4" s="3">
        <v>0</v>
      </c>
    </row>
    <row r="5" spans="1:11">
      <c r="A5" s="2" t="s">
        <v>3</v>
      </c>
      <c r="B5" s="4" t="s">
        <v>4</v>
      </c>
    </row>
    <row r="7" spans="1:1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</row>
    <row r="8" spans="1:11">
      <c r="A8" s="6" t="s">
        <v>16</v>
      </c>
      <c r="B8" s="6" t="s">
        <v>17</v>
      </c>
      <c r="C8" s="6" t="s">
        <v>18</v>
      </c>
      <c r="D8" s="3">
        <f>COUNT(Comparison!C$2:C$481)</f>
        <v>480</v>
      </c>
      <c r="E8" s="7">
        <f>AVERAGE(Comparison!C$2:C$481)</f>
        <v>231.72916666666666</v>
      </c>
      <c r="F8" s="8">
        <f>AVERAGE(Comparison!J$2:J$481)</f>
        <v>0.1945791974131817</v>
      </c>
      <c r="G8" s="8">
        <f>MEDIAN(Comparison!J$2:J$481)</f>
        <v>0.14511317775048252</v>
      </c>
      <c r="H8" s="8">
        <f>MAX(Comparison!J$2:J$481)</f>
        <v>0.6011560693641619</v>
      </c>
      <c r="I8" s="3">
        <f>SUM(Comparison!O$2:O$481)</f>
        <v>45</v>
      </c>
      <c r="J8" s="3">
        <f>COUNTIF(Comparison!$T$2:$T$481,A8)</f>
        <v>2</v>
      </c>
      <c r="K8" s="8">
        <f>I8/$B$3</f>
        <v>0.09375</v>
      </c>
    </row>
    <row r="9" spans="1:11">
      <c r="A9" s="6" t="s">
        <v>19</v>
      </c>
      <c r="B9" s="6" t="s">
        <v>20</v>
      </c>
      <c r="C9" s="6" t="s">
        <v>18</v>
      </c>
      <c r="D9" s="3">
        <f>COUNT(Comparison!D$2:D$481)</f>
        <v>480</v>
      </c>
      <c r="E9" s="7">
        <f>AVERAGE(Comparison!D$2:D$481)</f>
        <v>233.675</v>
      </c>
      <c r="F9" s="8">
        <f>AVERAGE(Comparison!K$2:K$481)</f>
        <v>0.20262073122111757</v>
      </c>
      <c r="G9" s="8">
        <f>MEDIAN(Comparison!K$2:K$481)</f>
        <v>0.15894736842105264</v>
      </c>
      <c r="H9" s="8">
        <f>MAX(Comparison!K$2:K$481)</f>
        <v>0.630057803468208</v>
      </c>
      <c r="I9" s="3">
        <f>SUM(Comparison!P$2:P$481)</f>
        <v>37</v>
      </c>
      <c r="J9" s="3">
        <f>COUNTIF(Comparison!$T$2:$T$481,A9)</f>
        <v>0</v>
      </c>
      <c r="K9" s="8">
        <f>I9/$B$3</f>
        <v>0.07708333333333334</v>
      </c>
    </row>
    <row r="10" spans="1:11">
      <c r="A10" s="6" t="s">
        <v>21</v>
      </c>
      <c r="B10" s="6" t="s">
        <v>22</v>
      </c>
      <c r="C10" s="6" t="s">
        <v>18</v>
      </c>
      <c r="D10" s="3">
        <f>COUNT(Comparison!E$2:E$481)</f>
        <v>480</v>
      </c>
      <c r="E10" s="7">
        <f>AVERAGE(Comparison!E$2:E$481)</f>
        <v>236.3875</v>
      </c>
      <c r="F10" s="8">
        <f>AVERAGE(Comparison!L$2:L$481)</f>
        <v>0.22331802094843486</v>
      </c>
      <c r="G10" s="8">
        <f>MEDIAN(Comparison!L$2:L$481)</f>
        <v>0.17647058823529413</v>
      </c>
      <c r="H10" s="8">
        <f>MAX(Comparison!L$2:L$481)</f>
        <v>0.6471698113207548</v>
      </c>
      <c r="I10" s="3">
        <f>SUM(Comparison!Q$2:Q$481)</f>
        <v>21</v>
      </c>
      <c r="J10" s="3">
        <f>COUNTIF(Comparison!$T$2:$T$481,A10)</f>
        <v>0</v>
      </c>
      <c r="K10" s="8">
        <f>I10/$B$3</f>
        <v>0.04375</v>
      </c>
    </row>
    <row r="11" spans="1:11">
      <c r="A11" s="6" t="s">
        <v>23</v>
      </c>
      <c r="B11" s="6" t="s">
        <v>24</v>
      </c>
      <c r="C11" s="6" t="s">
        <v>25</v>
      </c>
      <c r="D11" s="3">
        <f>COUNT(Comparison!F$2:F$481)</f>
        <v>480</v>
      </c>
      <c r="E11" s="7">
        <f>AVERAGE(Comparison!F$2:F$481)</f>
        <v>202.61666666666667</v>
      </c>
      <c r="F11" s="8">
        <f>AVERAGE(Comparison!M$2:M$481)</f>
        <v>0.20085254977745573</v>
      </c>
      <c r="G11" s="8">
        <f>MEDIAN(Comparison!M$2:M$481)</f>
        <v>0.16</v>
      </c>
      <c r="H11" s="8">
        <f>MAX(Comparison!M$2:M$481)</f>
        <v>0.7692307692307694</v>
      </c>
      <c r="I11" s="3">
        <f>SUM(Comparison!R$2:R$481)</f>
        <v>11</v>
      </c>
      <c r="J11" s="3">
        <f>COUNTIF(Comparison!$T$2:$T$481,A11)</f>
        <v>0</v>
      </c>
      <c r="K11" s="8">
        <f>I11/$B$3</f>
        <v>0.022916666666666665</v>
      </c>
    </row>
    <row r="12" spans="1:11">
      <c r="A12" s="6" t="s">
        <v>26</v>
      </c>
      <c r="B12" s="6" t="s">
        <v>27</v>
      </c>
      <c r="C12" s="6" t="s">
        <v>28</v>
      </c>
      <c r="D12" s="3">
        <f>COUNT(Comparison!G$2:G$481)</f>
        <v>480</v>
      </c>
      <c r="E12" s="7">
        <f>AVERAGE(Comparison!G$2:G$481)</f>
        <v>172.92916666666667</v>
      </c>
      <c r="F12" s="8">
        <f>AVERAGE(Comparison!N$2:N$481)</f>
        <v>0.00043940511307767935</v>
      </c>
      <c r="G12" s="8">
        <f>MEDIAN(Comparison!N$2:N$481)</f>
        <v>0.0</v>
      </c>
      <c r="H12" s="8">
        <f>MAX(Comparison!N$2:N$481)</f>
        <v>0.16666666666666663</v>
      </c>
      <c r="I12" s="3">
        <f>SUM(Comparison!S$2:S$481)</f>
        <v>478</v>
      </c>
      <c r="J12" s="3">
        <f>COUNTIF(Comparison!$T$2:$T$481,A12)</f>
        <v>413</v>
      </c>
      <c r="K12" s="8">
        <f>I12/$B$3</f>
        <v>0.9958333333333333</v>
      </c>
    </row>
  </sheetData>
  <mergeCells count="1">
    <mergeCell ref="A1:K1"/>
  </mergeCells>
  <conditionalFormatting sqref="F8:H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8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48.7109375" customWidth="1"/>
    <col min="2" max="2" width="10.7109375" customWidth="1"/>
    <col min="3" max="8" width="13.7109375" customWidth="1"/>
    <col min="9" max="9" width="30.7109375" customWidth="1"/>
    <col min="10" max="14" width="14.7109375" customWidth="1"/>
    <col min="15" max="19" width="12.7109375" customWidth="1"/>
    <col min="20" max="20" width="18.7109375" customWidth="1"/>
  </cols>
  <sheetData>
    <row r="1" spans="1:2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</row>
    <row r="2" spans="1:20">
      <c r="A2" s="6" t="s">
        <v>49</v>
      </c>
      <c r="B2" s="3">
        <v>100</v>
      </c>
      <c r="C2" s="7">
        <v>40</v>
      </c>
      <c r="D2" s="7">
        <v>40</v>
      </c>
      <c r="E2" s="7">
        <v>41</v>
      </c>
      <c r="F2" s="7">
        <v>35</v>
      </c>
      <c r="G2" s="7">
        <v>35</v>
      </c>
      <c r="H2" s="7">
        <f>MIN(C2:G2)</f>
        <v>35.0</v>
      </c>
      <c r="I2" s="6" t="s">
        <v>50</v>
      </c>
      <c r="J2" s="8">
        <f>IF($H2=0,"",(C2-$H2)/$H2)</f>
        <v>0.14285714285714285</v>
      </c>
      <c r="K2" s="8">
        <f>IF($H2=0,"",(D2-$H2)/$H2)</f>
        <v>0.14285714285714285</v>
      </c>
      <c r="L2" s="8">
        <f>IF($H2=0,"",(E2-$H2)/$H2)</f>
        <v>0.17142857142857143</v>
      </c>
      <c r="M2" s="8">
        <f>IF($H2=0,"",(F2-$H2)/$H2)</f>
        <v>0.0</v>
      </c>
      <c r="N2" s="8">
        <f>IF($H2=0,"",(G2-$H2)/$H2)</f>
        <v>0.0</v>
      </c>
      <c r="O2" s="9">
        <f>IF(ABS(C2-$H2)&lt;=1E-9,1,0)</f>
        <v>0</v>
      </c>
      <c r="P2" s="9">
        <f>IF(ABS(D2-$H2)&lt;=1E-9,1,0)</f>
        <v>0</v>
      </c>
      <c r="Q2" s="9">
        <f>IF(ABS(E2-$H2)&lt;=1E-9,1,0)</f>
        <v>0</v>
      </c>
      <c r="R2" s="9">
        <f>IF(ABS(F2-$H2)&lt;=1E-9,1,0)</f>
        <v>1</v>
      </c>
      <c r="S2" s="9">
        <f>IF(ABS(G2-$H2)&lt;=1E-9,1,0)</f>
        <v>1</v>
      </c>
      <c r="T2" s="6" t="s">
        <v>51</v>
      </c>
    </row>
    <row r="3" spans="1:20">
      <c r="A3" s="6" t="s">
        <v>52</v>
      </c>
      <c r="B3" s="3">
        <v>100</v>
      </c>
      <c r="C3" s="7">
        <v>38</v>
      </c>
      <c r="D3" s="7">
        <v>38</v>
      </c>
      <c r="E3" s="7">
        <v>39</v>
      </c>
      <c r="F3" s="7">
        <v>36</v>
      </c>
      <c r="G3" s="7">
        <v>34</v>
      </c>
      <c r="H3" s="7">
        <f>MIN(C3:G3)</f>
        <v>34.0</v>
      </c>
      <c r="I3" s="6" t="s">
        <v>26</v>
      </c>
      <c r="J3" s="8">
        <f>IF($H3=0,"",(C3-$H3)/$H3)</f>
        <v>0.1176470588235294</v>
      </c>
      <c r="K3" s="8">
        <f>IF($H3=0,"",(D3-$H3)/$H3)</f>
        <v>0.1176470588235294</v>
      </c>
      <c r="L3" s="8">
        <f>IF($H3=0,"",(E3-$H3)/$H3)</f>
        <v>0.14705882352941177</v>
      </c>
      <c r="M3" s="8">
        <f>IF($H3=0,"",(F3-$H3)/$H3)</f>
        <v>0.0588235294117647</v>
      </c>
      <c r="N3" s="8">
        <f>IF($H3=0,"",(G3-$H3)/$H3)</f>
        <v>0.0</v>
      </c>
      <c r="O3" s="9">
        <f>IF(ABS(C3-$H3)&lt;=1E-9,1,0)</f>
        <v>0</v>
      </c>
      <c r="P3" s="9">
        <f>IF(ABS(D3-$H3)&lt;=1E-9,1,0)</f>
        <v>0</v>
      </c>
      <c r="Q3" s="9">
        <f>IF(ABS(E3-$H3)&lt;=1E-9,1,0)</f>
        <v>0</v>
      </c>
      <c r="R3" s="9">
        <f>IF(ABS(F3-$H3)&lt;=1E-9,1,0)</f>
        <v>0</v>
      </c>
      <c r="S3" s="9">
        <f>IF(ABS(G3-$H3)&lt;=1E-9,1,0)</f>
        <v>1</v>
      </c>
      <c r="T3" s="6" t="s">
        <v>26</v>
      </c>
    </row>
    <row r="4" spans="1:20">
      <c r="A4" s="6" t="s">
        <v>53</v>
      </c>
      <c r="B4" s="3">
        <v>100</v>
      </c>
      <c r="C4" s="7">
        <v>662</v>
      </c>
      <c r="D4" s="7">
        <v>645</v>
      </c>
      <c r="E4" s="7">
        <v>681</v>
      </c>
      <c r="F4" s="7">
        <v>539</v>
      </c>
      <c r="G4" s="7">
        <v>477</v>
      </c>
      <c r="H4" s="7">
        <f>MIN(C4:G4)</f>
        <v>477.0</v>
      </c>
      <c r="I4" s="6" t="s">
        <v>26</v>
      </c>
      <c r="J4" s="8">
        <f>IF($H4=0,"",(C4-$H4)/$H4)</f>
        <v>0.38784067085953877</v>
      </c>
      <c r="K4" s="8">
        <f>IF($H4=0,"",(D4-$H4)/$H4)</f>
        <v>0.3522012578616352</v>
      </c>
      <c r="L4" s="8">
        <f>IF($H4=0,"",(E4-$H4)/$H4)</f>
        <v>0.4276729559748428</v>
      </c>
      <c r="M4" s="8">
        <f>IF($H4=0,"",(F4-$H4)/$H4)</f>
        <v>0.129979035639413</v>
      </c>
      <c r="N4" s="8">
        <f>IF($H4=0,"",(G4-$H4)/$H4)</f>
        <v>0.0</v>
      </c>
      <c r="O4" s="9">
        <f>IF(ABS(C4-$H4)&lt;=1E-9,1,0)</f>
        <v>0</v>
      </c>
      <c r="P4" s="9">
        <f>IF(ABS(D4-$H4)&lt;=1E-9,1,0)</f>
        <v>0</v>
      </c>
      <c r="Q4" s="9">
        <f>IF(ABS(E4-$H4)&lt;=1E-9,1,0)</f>
        <v>0</v>
      </c>
      <c r="R4" s="9">
        <f>IF(ABS(F4-$H4)&lt;=1E-9,1,0)</f>
        <v>0</v>
      </c>
      <c r="S4" s="9">
        <f>IF(ABS(G4-$H4)&lt;=1E-9,1,0)</f>
        <v>1</v>
      </c>
      <c r="T4" s="6" t="s">
        <v>26</v>
      </c>
    </row>
    <row r="5" spans="1:20">
      <c r="A5" s="6" t="s">
        <v>54</v>
      </c>
      <c r="B5" s="3">
        <v>100</v>
      </c>
      <c r="C5" s="7">
        <v>672</v>
      </c>
      <c r="D5" s="7">
        <v>683</v>
      </c>
      <c r="E5" s="7">
        <v>719</v>
      </c>
      <c r="F5" s="7">
        <v>514</v>
      </c>
      <c r="G5" s="7">
        <v>482</v>
      </c>
      <c r="H5" s="7">
        <f>MIN(C5:G5)</f>
        <v>482.0</v>
      </c>
      <c r="I5" s="6" t="s">
        <v>26</v>
      </c>
      <c r="J5" s="8">
        <f>IF($H5=0,"",(C5-$H5)/$H5)</f>
        <v>0.39419087136929465</v>
      </c>
      <c r="K5" s="8">
        <f>IF($H5=0,"",(D5-$H5)/$H5)</f>
        <v>0.4170124481327801</v>
      </c>
      <c r="L5" s="8">
        <f>IF($H5=0,"",(E5-$H5)/$H5)</f>
        <v>0.491701244813278</v>
      </c>
      <c r="M5" s="8">
        <f>IF($H5=0,"",(F5-$H5)/$H5)</f>
        <v>0.06639004149377593</v>
      </c>
      <c r="N5" s="8">
        <f>IF($H5=0,"",(G5-$H5)/$H5)</f>
        <v>0.0</v>
      </c>
      <c r="O5" s="9">
        <f>IF(ABS(C5-$H5)&lt;=1E-9,1,0)</f>
        <v>0</v>
      </c>
      <c r="P5" s="9">
        <f>IF(ABS(D5-$H5)&lt;=1E-9,1,0)</f>
        <v>0</v>
      </c>
      <c r="Q5" s="9">
        <f>IF(ABS(E5-$H5)&lt;=1E-9,1,0)</f>
        <v>0</v>
      </c>
      <c r="R5" s="9">
        <f>IF(ABS(F5-$H5)&lt;=1E-9,1,0)</f>
        <v>0</v>
      </c>
      <c r="S5" s="9">
        <f>IF(ABS(G5-$H5)&lt;=1E-9,1,0)</f>
        <v>1</v>
      </c>
      <c r="T5" s="6" t="s">
        <v>26</v>
      </c>
    </row>
    <row r="6" spans="1:20">
      <c r="A6" s="6" t="s">
        <v>55</v>
      </c>
      <c r="B6" s="3">
        <v>100</v>
      </c>
      <c r="C6" s="7">
        <v>30</v>
      </c>
      <c r="D6" s="7">
        <v>31</v>
      </c>
      <c r="E6" s="7">
        <v>31</v>
      </c>
      <c r="F6" s="7">
        <v>31</v>
      </c>
      <c r="G6" s="7">
        <v>29</v>
      </c>
      <c r="H6" s="7">
        <f>MIN(C6:G6)</f>
        <v>29.0</v>
      </c>
      <c r="I6" s="6" t="s">
        <v>26</v>
      </c>
      <c r="J6" s="8">
        <f>IF($H6=0,"",(C6-$H6)/$H6)</f>
        <v>0.034482758620689655</v>
      </c>
      <c r="K6" s="8">
        <f>IF($H6=0,"",(D6-$H6)/$H6)</f>
        <v>0.06896551724137931</v>
      </c>
      <c r="L6" s="8">
        <f>IF($H6=0,"",(E6-$H6)/$H6)</f>
        <v>0.06896551724137931</v>
      </c>
      <c r="M6" s="8">
        <f>IF($H6=0,"",(F6-$H6)/$H6)</f>
        <v>0.06896551724137931</v>
      </c>
      <c r="N6" s="8">
        <f>IF($H6=0,"",(G6-$H6)/$H6)</f>
        <v>0.0</v>
      </c>
      <c r="O6" s="9">
        <f>IF(ABS(C6-$H6)&lt;=1E-9,1,0)</f>
        <v>0</v>
      </c>
      <c r="P6" s="9">
        <f>IF(ABS(D6-$H6)&lt;=1E-9,1,0)</f>
        <v>0</v>
      </c>
      <c r="Q6" s="9">
        <f>IF(ABS(E6-$H6)&lt;=1E-9,1,0)</f>
        <v>0</v>
      </c>
      <c r="R6" s="9">
        <f>IF(ABS(F6-$H6)&lt;=1E-9,1,0)</f>
        <v>0</v>
      </c>
      <c r="S6" s="9">
        <f>IF(ABS(G6-$H6)&lt;=1E-9,1,0)</f>
        <v>1</v>
      </c>
      <c r="T6" s="6" t="s">
        <v>26</v>
      </c>
    </row>
    <row r="7" spans="1:20">
      <c r="A7" s="6" t="s">
        <v>56</v>
      </c>
      <c r="B7" s="3">
        <v>100</v>
      </c>
      <c r="C7" s="7">
        <v>31</v>
      </c>
      <c r="D7" s="7">
        <v>32</v>
      </c>
      <c r="E7" s="7">
        <v>31</v>
      </c>
      <c r="F7" s="7">
        <v>33</v>
      </c>
      <c r="G7" s="7">
        <v>30</v>
      </c>
      <c r="H7" s="7">
        <f>MIN(C7:G7)</f>
        <v>30.0</v>
      </c>
      <c r="I7" s="6" t="s">
        <v>26</v>
      </c>
      <c r="J7" s="8">
        <f>IF($H7=0,"",(C7-$H7)/$H7)</f>
        <v>0.03333333333333333</v>
      </c>
      <c r="K7" s="8">
        <f>IF($H7=0,"",(D7-$H7)/$H7)</f>
        <v>0.06666666666666667</v>
      </c>
      <c r="L7" s="8">
        <f>IF($H7=0,"",(E7-$H7)/$H7)</f>
        <v>0.03333333333333333</v>
      </c>
      <c r="M7" s="8">
        <f>IF($H7=0,"",(F7-$H7)/$H7)</f>
        <v>0.1</v>
      </c>
      <c r="N7" s="8">
        <f>IF($H7=0,"",(G7-$H7)/$H7)</f>
        <v>0.0</v>
      </c>
      <c r="O7" s="9">
        <f>IF(ABS(C7-$H7)&lt;=1E-9,1,0)</f>
        <v>0</v>
      </c>
      <c r="P7" s="9">
        <f>IF(ABS(D7-$H7)&lt;=1E-9,1,0)</f>
        <v>0</v>
      </c>
      <c r="Q7" s="9">
        <f>IF(ABS(E7-$H7)&lt;=1E-9,1,0)</f>
        <v>0</v>
      </c>
      <c r="R7" s="9">
        <f>IF(ABS(F7-$H7)&lt;=1E-9,1,0)</f>
        <v>0</v>
      </c>
      <c r="S7" s="9">
        <f>IF(ABS(G7-$H7)&lt;=1E-9,1,0)</f>
        <v>1</v>
      </c>
      <c r="T7" s="6" t="s">
        <v>26</v>
      </c>
    </row>
    <row r="8" spans="1:20">
      <c r="A8" s="6" t="s">
        <v>57</v>
      </c>
      <c r="B8" s="3">
        <v>100</v>
      </c>
      <c r="C8" s="7">
        <v>586</v>
      </c>
      <c r="D8" s="7">
        <v>581</v>
      </c>
      <c r="E8" s="7">
        <v>590</v>
      </c>
      <c r="F8" s="7">
        <v>466</v>
      </c>
      <c r="G8" s="7">
        <v>424</v>
      </c>
      <c r="H8" s="7">
        <f>MIN(C8:G8)</f>
        <v>424.0</v>
      </c>
      <c r="I8" s="6" t="s">
        <v>26</v>
      </c>
      <c r="J8" s="8">
        <f>IF($H8=0,"",(C8-$H8)/$H8)</f>
        <v>0.3820754716981132</v>
      </c>
      <c r="K8" s="8">
        <f>IF($H8=0,"",(D8-$H8)/$H8)</f>
        <v>0.37028301886792453</v>
      </c>
      <c r="L8" s="8">
        <f>IF($H8=0,"",(E8-$H8)/$H8)</f>
        <v>0.3915094339622642</v>
      </c>
      <c r="M8" s="8">
        <f>IF($H8=0,"",(F8-$H8)/$H8)</f>
        <v>0.0990566037735849</v>
      </c>
      <c r="N8" s="8">
        <f>IF($H8=0,"",(G8-$H8)/$H8)</f>
        <v>0.0</v>
      </c>
      <c r="O8" s="9">
        <f>IF(ABS(C8-$H8)&lt;=1E-9,1,0)</f>
        <v>0</v>
      </c>
      <c r="P8" s="9">
        <f>IF(ABS(D8-$H8)&lt;=1E-9,1,0)</f>
        <v>0</v>
      </c>
      <c r="Q8" s="9">
        <f>IF(ABS(E8-$H8)&lt;=1E-9,1,0)</f>
        <v>0</v>
      </c>
      <c r="R8" s="9">
        <f>IF(ABS(F8-$H8)&lt;=1E-9,1,0)</f>
        <v>0</v>
      </c>
      <c r="S8" s="9">
        <f>IF(ABS(G8-$H8)&lt;=1E-9,1,0)</f>
        <v>1</v>
      </c>
      <c r="T8" s="6" t="s">
        <v>26</v>
      </c>
    </row>
    <row r="9" spans="1:20">
      <c r="A9" s="6" t="s">
        <v>58</v>
      </c>
      <c r="B9" s="3">
        <v>100</v>
      </c>
      <c r="C9" s="7">
        <v>615</v>
      </c>
      <c r="D9" s="7">
        <v>609</v>
      </c>
      <c r="E9" s="7">
        <v>621</v>
      </c>
      <c r="F9" s="7">
        <v>480</v>
      </c>
      <c r="G9" s="7">
        <v>432</v>
      </c>
      <c r="H9" s="7">
        <f>MIN(C9:G9)</f>
        <v>432.0</v>
      </c>
      <c r="I9" s="6" t="s">
        <v>26</v>
      </c>
      <c r="J9" s="8">
        <f>IF($H9=0,"",(C9-$H9)/$H9)</f>
        <v>0.42361111111111105</v>
      </c>
      <c r="K9" s="8">
        <f>IF($H9=0,"",(D9-$H9)/$H9)</f>
        <v>0.4097222222222222</v>
      </c>
      <c r="L9" s="8">
        <f>IF($H9=0,"",(E9-$H9)/$H9)</f>
        <v>0.4375</v>
      </c>
      <c r="M9" s="8">
        <f>IF($H9=0,"",(F9-$H9)/$H9)</f>
        <v>0.1111111111111111</v>
      </c>
      <c r="N9" s="8">
        <f>IF($H9=0,"",(G9-$H9)/$H9)</f>
        <v>0.0</v>
      </c>
      <c r="O9" s="9">
        <f>IF(ABS(C9-$H9)&lt;=1E-9,1,0)</f>
        <v>0</v>
      </c>
      <c r="P9" s="9">
        <f>IF(ABS(D9-$H9)&lt;=1E-9,1,0)</f>
        <v>0</v>
      </c>
      <c r="Q9" s="9">
        <f>IF(ABS(E9-$H9)&lt;=1E-9,1,0)</f>
        <v>0</v>
      </c>
      <c r="R9" s="9">
        <f>IF(ABS(F9-$H9)&lt;=1E-9,1,0)</f>
        <v>0</v>
      </c>
      <c r="S9" s="9">
        <f>IF(ABS(G9-$H9)&lt;=1E-9,1,0)</f>
        <v>1</v>
      </c>
      <c r="T9" s="6" t="s">
        <v>26</v>
      </c>
    </row>
    <row r="10" spans="1:20">
      <c r="A10" s="6" t="s">
        <v>59</v>
      </c>
      <c r="B10" s="3">
        <v>100</v>
      </c>
      <c r="C10" s="7">
        <v>24</v>
      </c>
      <c r="D10" s="7">
        <v>24</v>
      </c>
      <c r="E10" s="7">
        <v>25</v>
      </c>
      <c r="F10" s="7">
        <v>30</v>
      </c>
      <c r="G10" s="7">
        <v>23</v>
      </c>
      <c r="H10" s="7">
        <f>MIN(C10:G10)</f>
        <v>23.0</v>
      </c>
      <c r="I10" s="6" t="s">
        <v>26</v>
      </c>
      <c r="J10" s="8">
        <f>IF($H10=0,"",(C10-$H10)/$H10)</f>
        <v>0.043478260869565216</v>
      </c>
      <c r="K10" s="8">
        <f>IF($H10=0,"",(D10-$H10)/$H10)</f>
        <v>0.043478260869565216</v>
      </c>
      <c r="L10" s="8">
        <f>IF($H10=0,"",(E10-$H10)/$H10)</f>
        <v>0.08695652173913043</v>
      </c>
      <c r="M10" s="8">
        <f>IF($H10=0,"",(F10-$H10)/$H10)</f>
        <v>0.30434782608695654</v>
      </c>
      <c r="N10" s="8">
        <f>IF($H10=0,"",(G10-$H10)/$H10)</f>
        <v>0.0</v>
      </c>
      <c r="O10" s="9">
        <f>IF(ABS(C10-$H10)&lt;=1E-9,1,0)</f>
        <v>0</v>
      </c>
      <c r="P10" s="9">
        <f>IF(ABS(D10-$H10)&lt;=1E-9,1,0)</f>
        <v>0</v>
      </c>
      <c r="Q10" s="9">
        <f>IF(ABS(E10-$H10)&lt;=1E-9,1,0)</f>
        <v>0</v>
      </c>
      <c r="R10" s="9">
        <f>IF(ABS(F10-$H10)&lt;=1E-9,1,0)</f>
        <v>0</v>
      </c>
      <c r="S10" s="9">
        <f>IF(ABS(G10-$H10)&lt;=1E-9,1,0)</f>
        <v>1</v>
      </c>
      <c r="T10" s="6" t="s">
        <v>26</v>
      </c>
    </row>
    <row r="11" spans="1:20">
      <c r="A11" s="6" t="s">
        <v>60</v>
      </c>
      <c r="B11" s="3">
        <v>100</v>
      </c>
      <c r="C11" s="7">
        <v>25</v>
      </c>
      <c r="D11" s="7">
        <v>24</v>
      </c>
      <c r="E11" s="7">
        <v>25</v>
      </c>
      <c r="F11" s="7">
        <v>26</v>
      </c>
      <c r="G11" s="7">
        <v>22</v>
      </c>
      <c r="H11" s="7">
        <f>MIN(C11:G11)</f>
        <v>22.0</v>
      </c>
      <c r="I11" s="6" t="s">
        <v>26</v>
      </c>
      <c r="J11" s="8">
        <f>IF($H11=0,"",(C11-$H11)/$H11)</f>
        <v>0.13636363636363635</v>
      </c>
      <c r="K11" s="8">
        <f>IF($H11=0,"",(D11-$H11)/$H11)</f>
        <v>0.09090909090909091</v>
      </c>
      <c r="L11" s="8">
        <f>IF($H11=0,"",(E11-$H11)/$H11)</f>
        <v>0.13636363636363635</v>
      </c>
      <c r="M11" s="8">
        <f>IF($H11=0,"",(F11-$H11)/$H11)</f>
        <v>0.18181818181818182</v>
      </c>
      <c r="N11" s="8">
        <f>IF($H11=0,"",(G11-$H11)/$H11)</f>
        <v>0.0</v>
      </c>
      <c r="O11" s="9">
        <f>IF(ABS(C11-$H11)&lt;=1E-9,1,0)</f>
        <v>0</v>
      </c>
      <c r="P11" s="9">
        <f>IF(ABS(D11-$H11)&lt;=1E-9,1,0)</f>
        <v>0</v>
      </c>
      <c r="Q11" s="9">
        <f>IF(ABS(E11-$H11)&lt;=1E-9,1,0)</f>
        <v>0</v>
      </c>
      <c r="R11" s="9">
        <f>IF(ABS(F11-$H11)&lt;=1E-9,1,0)</f>
        <v>0</v>
      </c>
      <c r="S11" s="9">
        <f>IF(ABS(G11-$H11)&lt;=1E-9,1,0)</f>
        <v>1</v>
      </c>
      <c r="T11" s="6" t="s">
        <v>26</v>
      </c>
    </row>
    <row r="12" spans="1:20">
      <c r="A12" s="6" t="s">
        <v>61</v>
      </c>
      <c r="B12" s="3">
        <v>100</v>
      </c>
      <c r="C12" s="7">
        <v>467</v>
      </c>
      <c r="D12" s="7">
        <v>464</v>
      </c>
      <c r="E12" s="7">
        <v>472</v>
      </c>
      <c r="F12" s="7">
        <v>383</v>
      </c>
      <c r="G12" s="7">
        <v>331</v>
      </c>
      <c r="H12" s="7">
        <f>MIN(C12:G12)</f>
        <v>331.0</v>
      </c>
      <c r="I12" s="6" t="s">
        <v>26</v>
      </c>
      <c r="J12" s="8">
        <f>IF($H12=0,"",(C12-$H12)/$H12)</f>
        <v>0.4108761329305136</v>
      </c>
      <c r="K12" s="8">
        <f>IF($H12=0,"",(D12-$H12)/$H12)</f>
        <v>0.40181268882175225</v>
      </c>
      <c r="L12" s="8">
        <f>IF($H12=0,"",(E12-$H12)/$H12)</f>
        <v>0.4259818731117825</v>
      </c>
      <c r="M12" s="8">
        <f>IF($H12=0,"",(F12-$H12)/$H12)</f>
        <v>0.15709969788519637</v>
      </c>
      <c r="N12" s="8">
        <f>IF($H12=0,"",(G12-$H12)/$H12)</f>
        <v>0.0</v>
      </c>
      <c r="O12" s="9">
        <f>IF(ABS(C12-$H12)&lt;=1E-9,1,0)</f>
        <v>0</v>
      </c>
      <c r="P12" s="9">
        <f>IF(ABS(D12-$H12)&lt;=1E-9,1,0)</f>
        <v>0</v>
      </c>
      <c r="Q12" s="9">
        <f>IF(ABS(E12-$H12)&lt;=1E-9,1,0)</f>
        <v>0</v>
      </c>
      <c r="R12" s="9">
        <f>IF(ABS(F12-$H12)&lt;=1E-9,1,0)</f>
        <v>0</v>
      </c>
      <c r="S12" s="9">
        <f>IF(ABS(G12-$H12)&lt;=1E-9,1,0)</f>
        <v>1</v>
      </c>
      <c r="T12" s="6" t="s">
        <v>26</v>
      </c>
    </row>
    <row r="13" spans="1:20">
      <c r="A13" s="6" t="s">
        <v>62</v>
      </c>
      <c r="B13" s="3">
        <v>100</v>
      </c>
      <c r="C13" s="7">
        <v>428</v>
      </c>
      <c r="D13" s="7">
        <v>428</v>
      </c>
      <c r="E13" s="7">
        <v>450</v>
      </c>
      <c r="F13" s="7">
        <v>387</v>
      </c>
      <c r="G13" s="7">
        <v>328</v>
      </c>
      <c r="H13" s="7">
        <f>MIN(C13:G13)</f>
        <v>328.0</v>
      </c>
      <c r="I13" s="6" t="s">
        <v>26</v>
      </c>
      <c r="J13" s="8">
        <f>IF($H13=0,"",(C13-$H13)/$H13)</f>
        <v>0.3048780487804878</v>
      </c>
      <c r="K13" s="8">
        <f>IF($H13=0,"",(D13-$H13)/$H13)</f>
        <v>0.3048780487804878</v>
      </c>
      <c r="L13" s="8">
        <f>IF($H13=0,"",(E13-$H13)/$H13)</f>
        <v>0.3719512195121951</v>
      </c>
      <c r="M13" s="8">
        <f>IF($H13=0,"",(F13-$H13)/$H13)</f>
        <v>0.1798780487804878</v>
      </c>
      <c r="N13" s="8">
        <f>IF($H13=0,"",(G13-$H13)/$H13)</f>
        <v>0.0</v>
      </c>
      <c r="O13" s="9">
        <f>IF(ABS(C13-$H13)&lt;=1E-9,1,0)</f>
        <v>0</v>
      </c>
      <c r="P13" s="9">
        <f>IF(ABS(D13-$H13)&lt;=1E-9,1,0)</f>
        <v>0</v>
      </c>
      <c r="Q13" s="9">
        <f>IF(ABS(E13-$H13)&lt;=1E-9,1,0)</f>
        <v>0</v>
      </c>
      <c r="R13" s="9">
        <f>IF(ABS(F13-$H13)&lt;=1E-9,1,0)</f>
        <v>0</v>
      </c>
      <c r="S13" s="9">
        <f>IF(ABS(G13-$H13)&lt;=1E-9,1,0)</f>
        <v>1</v>
      </c>
      <c r="T13" s="6" t="s">
        <v>26</v>
      </c>
    </row>
    <row r="14" spans="1:20">
      <c r="A14" s="6" t="s">
        <v>63</v>
      </c>
      <c r="B14" s="3">
        <v>100</v>
      </c>
      <c r="C14" s="7">
        <v>20</v>
      </c>
      <c r="D14" s="7">
        <v>20</v>
      </c>
      <c r="E14" s="7">
        <v>21</v>
      </c>
      <c r="F14" s="7">
        <v>28</v>
      </c>
      <c r="G14" s="7">
        <v>18</v>
      </c>
      <c r="H14" s="7">
        <f>MIN(C14:G14)</f>
        <v>18.0</v>
      </c>
      <c r="I14" s="6" t="s">
        <v>26</v>
      </c>
      <c r="J14" s="8">
        <f>IF($H14=0,"",(C14-$H14)/$H14)</f>
        <v>0.1111111111111111</v>
      </c>
      <c r="K14" s="8">
        <f>IF($H14=0,"",(D14-$H14)/$H14)</f>
        <v>0.1111111111111111</v>
      </c>
      <c r="L14" s="8">
        <f>IF($H14=0,"",(E14-$H14)/$H14)</f>
        <v>0.16666666666666663</v>
      </c>
      <c r="M14" s="8">
        <f>IF($H14=0,"",(F14-$H14)/$H14)</f>
        <v>0.5555555555555556</v>
      </c>
      <c r="N14" s="8">
        <f>IF($H14=0,"",(G14-$H14)/$H14)</f>
        <v>0.0</v>
      </c>
      <c r="O14" s="9">
        <f>IF(ABS(C14-$H14)&lt;=1E-9,1,0)</f>
        <v>0</v>
      </c>
      <c r="P14" s="9">
        <f>IF(ABS(D14-$H14)&lt;=1E-9,1,0)</f>
        <v>0</v>
      </c>
      <c r="Q14" s="9">
        <f>IF(ABS(E14-$H14)&lt;=1E-9,1,0)</f>
        <v>0</v>
      </c>
      <c r="R14" s="9">
        <f>IF(ABS(F14-$H14)&lt;=1E-9,1,0)</f>
        <v>0</v>
      </c>
      <c r="S14" s="9">
        <f>IF(ABS(G14-$H14)&lt;=1E-9,1,0)</f>
        <v>1</v>
      </c>
      <c r="T14" s="6" t="s">
        <v>26</v>
      </c>
    </row>
    <row r="15" spans="1:20">
      <c r="A15" s="6" t="s">
        <v>64</v>
      </c>
      <c r="B15" s="3">
        <v>100</v>
      </c>
      <c r="C15" s="7">
        <v>19</v>
      </c>
      <c r="D15" s="7">
        <v>19</v>
      </c>
      <c r="E15" s="7">
        <v>21</v>
      </c>
      <c r="F15" s="7">
        <v>28</v>
      </c>
      <c r="G15" s="7">
        <v>19</v>
      </c>
      <c r="H15" s="7">
        <f>MIN(C15:G15)</f>
        <v>19.0</v>
      </c>
      <c r="I15" s="6" t="s">
        <v>65</v>
      </c>
      <c r="J15" s="8">
        <f>IF($H15=0,"",(C15-$H15)/$H15)</f>
        <v>0.0</v>
      </c>
      <c r="K15" s="8">
        <f>IF($H15=0,"",(D15-$H15)/$H15)</f>
        <v>0.0</v>
      </c>
      <c r="L15" s="8">
        <f>IF($H15=0,"",(E15-$H15)/$H15)</f>
        <v>0.10526315789473684</v>
      </c>
      <c r="M15" s="8">
        <f>IF($H15=0,"",(F15-$H15)/$H15)</f>
        <v>0.47368421052631576</v>
      </c>
      <c r="N15" s="8">
        <f>IF($H15=0,"",(G15-$H15)/$H15)</f>
        <v>0.0</v>
      </c>
      <c r="O15" s="9">
        <f>IF(ABS(C15-$H15)&lt;=1E-9,1,0)</f>
        <v>1</v>
      </c>
      <c r="P15" s="9">
        <f>IF(ABS(D15-$H15)&lt;=1E-9,1,0)</f>
        <v>1</v>
      </c>
      <c r="Q15" s="9">
        <f>IF(ABS(E15-$H15)&lt;=1E-9,1,0)</f>
        <v>0</v>
      </c>
      <c r="R15" s="9">
        <f>IF(ABS(F15-$H15)&lt;=1E-9,1,0)</f>
        <v>0</v>
      </c>
      <c r="S15" s="9">
        <f>IF(ABS(G15-$H15)&lt;=1E-9,1,0)</f>
        <v>1</v>
      </c>
      <c r="T15" s="6" t="s">
        <v>51</v>
      </c>
    </row>
    <row r="16" spans="1:20">
      <c r="A16" s="6" t="s">
        <v>66</v>
      </c>
      <c r="B16" s="3">
        <v>100</v>
      </c>
      <c r="C16" s="7">
        <v>406</v>
      </c>
      <c r="D16" s="7">
        <v>406</v>
      </c>
      <c r="E16" s="7">
        <v>426</v>
      </c>
      <c r="F16" s="7">
        <v>383</v>
      </c>
      <c r="G16" s="7">
        <v>307</v>
      </c>
      <c r="H16" s="7">
        <f>MIN(C16:G16)</f>
        <v>307.0</v>
      </c>
      <c r="I16" s="6" t="s">
        <v>26</v>
      </c>
      <c r="J16" s="8">
        <f>IF($H16=0,"",(C16-$H16)/$H16)</f>
        <v>0.32247557003257327</v>
      </c>
      <c r="K16" s="8">
        <f>IF($H16=0,"",(D16-$H16)/$H16)</f>
        <v>0.32247557003257327</v>
      </c>
      <c r="L16" s="8">
        <f>IF($H16=0,"",(E16-$H16)/$H16)</f>
        <v>0.38762214983713356</v>
      </c>
      <c r="M16" s="8">
        <f>IF($H16=0,"",(F16-$H16)/$H16)</f>
        <v>0.247557003257329</v>
      </c>
      <c r="N16" s="8">
        <f>IF($H16=0,"",(G16-$H16)/$H16)</f>
        <v>0.0</v>
      </c>
      <c r="O16" s="9">
        <f>IF(ABS(C16-$H16)&lt;=1E-9,1,0)</f>
        <v>0</v>
      </c>
      <c r="P16" s="9">
        <f>IF(ABS(D16-$H16)&lt;=1E-9,1,0)</f>
        <v>0</v>
      </c>
      <c r="Q16" s="9">
        <f>IF(ABS(E16-$H16)&lt;=1E-9,1,0)</f>
        <v>0</v>
      </c>
      <c r="R16" s="9">
        <f>IF(ABS(F16-$H16)&lt;=1E-9,1,0)</f>
        <v>0</v>
      </c>
      <c r="S16" s="9">
        <f>IF(ABS(G16-$H16)&lt;=1E-9,1,0)</f>
        <v>1</v>
      </c>
      <c r="T16" s="6" t="s">
        <v>26</v>
      </c>
    </row>
    <row r="17" spans="1:20">
      <c r="A17" s="6" t="s">
        <v>67</v>
      </c>
      <c r="B17" s="3">
        <v>100</v>
      </c>
      <c r="C17" s="7">
        <v>382</v>
      </c>
      <c r="D17" s="7">
        <v>397</v>
      </c>
      <c r="E17" s="7">
        <v>414</v>
      </c>
      <c r="F17" s="7">
        <v>389</v>
      </c>
      <c r="G17" s="7">
        <v>306</v>
      </c>
      <c r="H17" s="7">
        <f>MIN(C17:G17)</f>
        <v>306.0</v>
      </c>
      <c r="I17" s="6" t="s">
        <v>26</v>
      </c>
      <c r="J17" s="8">
        <f>IF($H17=0,"",(C17-$H17)/$H17)</f>
        <v>0.24836601307189543</v>
      </c>
      <c r="K17" s="8">
        <f>IF($H17=0,"",(D17-$H17)/$H17)</f>
        <v>0.2973856209150327</v>
      </c>
      <c r="L17" s="8">
        <f>IF($H17=0,"",(E17-$H17)/$H17)</f>
        <v>0.35294117647058826</v>
      </c>
      <c r="M17" s="8">
        <f>IF($H17=0,"",(F17-$H17)/$H17)</f>
        <v>0.27124183006535946</v>
      </c>
      <c r="N17" s="8">
        <f>IF($H17=0,"",(G17-$H17)/$H17)</f>
        <v>0.0</v>
      </c>
      <c r="O17" s="9">
        <f>IF(ABS(C17-$H17)&lt;=1E-9,1,0)</f>
        <v>0</v>
      </c>
      <c r="P17" s="9">
        <f>IF(ABS(D17-$H17)&lt;=1E-9,1,0)</f>
        <v>0</v>
      </c>
      <c r="Q17" s="9">
        <f>IF(ABS(E17-$H17)&lt;=1E-9,1,0)</f>
        <v>0</v>
      </c>
      <c r="R17" s="9">
        <f>IF(ABS(F17-$H17)&lt;=1E-9,1,0)</f>
        <v>0</v>
      </c>
      <c r="S17" s="9">
        <f>IF(ABS(G17-$H17)&lt;=1E-9,1,0)</f>
        <v>1</v>
      </c>
      <c r="T17" s="6" t="s">
        <v>26</v>
      </c>
    </row>
    <row r="18" spans="1:20">
      <c r="A18" s="6" t="s">
        <v>68</v>
      </c>
      <c r="B18" s="3">
        <v>100</v>
      </c>
      <c r="C18" s="7">
        <v>38</v>
      </c>
      <c r="D18" s="7">
        <v>39</v>
      </c>
      <c r="E18" s="7">
        <v>39</v>
      </c>
      <c r="F18" s="7">
        <v>35</v>
      </c>
      <c r="G18" s="7">
        <v>34</v>
      </c>
      <c r="H18" s="7">
        <f>MIN(C18:G18)</f>
        <v>34.0</v>
      </c>
      <c r="I18" s="6" t="s">
        <v>26</v>
      </c>
      <c r="J18" s="8">
        <f>IF($H18=0,"",(C18-$H18)/$H18)</f>
        <v>0.1176470588235294</v>
      </c>
      <c r="K18" s="8">
        <f>IF($H18=0,"",(D18-$H18)/$H18)</f>
        <v>0.14705882352941177</v>
      </c>
      <c r="L18" s="8">
        <f>IF($H18=0,"",(E18-$H18)/$H18)</f>
        <v>0.14705882352941177</v>
      </c>
      <c r="M18" s="8">
        <f>IF($H18=0,"",(F18-$H18)/$H18)</f>
        <v>0.02941176470588235</v>
      </c>
      <c r="N18" s="8">
        <f>IF($H18=0,"",(G18-$H18)/$H18)</f>
        <v>0.0</v>
      </c>
      <c r="O18" s="9">
        <f>IF(ABS(C18-$H18)&lt;=1E-9,1,0)</f>
        <v>0</v>
      </c>
      <c r="P18" s="9">
        <f>IF(ABS(D18-$H18)&lt;=1E-9,1,0)</f>
        <v>0</v>
      </c>
      <c r="Q18" s="9">
        <f>IF(ABS(E18-$H18)&lt;=1E-9,1,0)</f>
        <v>0</v>
      </c>
      <c r="R18" s="9">
        <f>IF(ABS(F18-$H18)&lt;=1E-9,1,0)</f>
        <v>0</v>
      </c>
      <c r="S18" s="9">
        <f>IF(ABS(G18-$H18)&lt;=1E-9,1,0)</f>
        <v>1</v>
      </c>
      <c r="T18" s="6" t="s">
        <v>26</v>
      </c>
    </row>
    <row r="19" spans="1:20">
      <c r="A19" s="6" t="s">
        <v>69</v>
      </c>
      <c r="B19" s="3">
        <v>100</v>
      </c>
      <c r="C19" s="7">
        <v>37</v>
      </c>
      <c r="D19" s="7">
        <v>37</v>
      </c>
      <c r="E19" s="7">
        <v>37</v>
      </c>
      <c r="F19" s="7">
        <v>36</v>
      </c>
      <c r="G19" s="7">
        <v>33</v>
      </c>
      <c r="H19" s="7">
        <f>MIN(C19:G19)</f>
        <v>33.0</v>
      </c>
      <c r="I19" s="6" t="s">
        <v>26</v>
      </c>
      <c r="J19" s="8">
        <f>IF($H19=0,"",(C19-$H19)/$H19)</f>
        <v>0.12121212121212122</v>
      </c>
      <c r="K19" s="8">
        <f>IF($H19=0,"",(D19-$H19)/$H19)</f>
        <v>0.12121212121212122</v>
      </c>
      <c r="L19" s="8">
        <f>IF($H19=0,"",(E19-$H19)/$H19)</f>
        <v>0.12121212121212122</v>
      </c>
      <c r="M19" s="8">
        <f>IF($H19=0,"",(F19-$H19)/$H19)</f>
        <v>0.09090909090909091</v>
      </c>
      <c r="N19" s="8">
        <f>IF($H19=0,"",(G19-$H19)/$H19)</f>
        <v>0.0</v>
      </c>
      <c r="O19" s="9">
        <f>IF(ABS(C19-$H19)&lt;=1E-9,1,0)</f>
        <v>0</v>
      </c>
      <c r="P19" s="9">
        <f>IF(ABS(D19-$H19)&lt;=1E-9,1,0)</f>
        <v>0</v>
      </c>
      <c r="Q19" s="9">
        <f>IF(ABS(E19-$H19)&lt;=1E-9,1,0)</f>
        <v>0</v>
      </c>
      <c r="R19" s="9">
        <f>IF(ABS(F19-$H19)&lt;=1E-9,1,0)</f>
        <v>0</v>
      </c>
      <c r="S19" s="9">
        <f>IF(ABS(G19-$H19)&lt;=1E-9,1,0)</f>
        <v>1</v>
      </c>
      <c r="T19" s="6" t="s">
        <v>26</v>
      </c>
    </row>
    <row r="20" spans="1:20">
      <c r="A20" s="6" t="s">
        <v>70</v>
      </c>
      <c r="B20" s="3">
        <v>100</v>
      </c>
      <c r="C20" s="7">
        <v>585</v>
      </c>
      <c r="D20" s="7">
        <v>595</v>
      </c>
      <c r="E20" s="7">
        <v>565</v>
      </c>
      <c r="F20" s="7">
        <v>455</v>
      </c>
      <c r="G20" s="7">
        <v>404</v>
      </c>
      <c r="H20" s="7">
        <f>MIN(C20:G20)</f>
        <v>404.0</v>
      </c>
      <c r="I20" s="6" t="s">
        <v>26</v>
      </c>
      <c r="J20" s="8">
        <f>IF($H20=0,"",(C20-$H20)/$H20)</f>
        <v>0.44801980198019803</v>
      </c>
      <c r="K20" s="8">
        <f>IF($H20=0,"",(D20-$H20)/$H20)</f>
        <v>0.47277227722772275</v>
      </c>
      <c r="L20" s="8">
        <f>IF($H20=0,"",(E20-$H20)/$H20)</f>
        <v>0.39851485148514854</v>
      </c>
      <c r="M20" s="8">
        <f>IF($H20=0,"",(F20-$H20)/$H20)</f>
        <v>0.12623762376237624</v>
      </c>
      <c r="N20" s="8">
        <f>IF($H20=0,"",(G20-$H20)/$H20)</f>
        <v>0.0</v>
      </c>
      <c r="O20" s="9">
        <f>IF(ABS(C20-$H20)&lt;=1E-9,1,0)</f>
        <v>0</v>
      </c>
      <c r="P20" s="9">
        <f>IF(ABS(D20-$H20)&lt;=1E-9,1,0)</f>
        <v>0</v>
      </c>
      <c r="Q20" s="9">
        <f>IF(ABS(E20-$H20)&lt;=1E-9,1,0)</f>
        <v>0</v>
      </c>
      <c r="R20" s="9">
        <f>IF(ABS(F20-$H20)&lt;=1E-9,1,0)</f>
        <v>0</v>
      </c>
      <c r="S20" s="9">
        <f>IF(ABS(G20-$H20)&lt;=1E-9,1,0)</f>
        <v>1</v>
      </c>
      <c r="T20" s="6" t="s">
        <v>26</v>
      </c>
    </row>
    <row r="21" spans="1:20">
      <c r="A21" s="6" t="s">
        <v>71</v>
      </c>
      <c r="B21" s="3">
        <v>100</v>
      </c>
      <c r="C21" s="7">
        <v>635</v>
      </c>
      <c r="D21" s="7">
        <v>631</v>
      </c>
      <c r="E21" s="7">
        <v>623</v>
      </c>
      <c r="F21" s="7">
        <v>502</v>
      </c>
      <c r="G21" s="7">
        <v>446</v>
      </c>
      <c r="H21" s="7">
        <f>MIN(C21:G21)</f>
        <v>446.0</v>
      </c>
      <c r="I21" s="6" t="s">
        <v>26</v>
      </c>
      <c r="J21" s="8">
        <f>IF($H21=0,"",(C21-$H21)/$H21)</f>
        <v>0.42376681614349776</v>
      </c>
      <c r="K21" s="8">
        <f>IF($H21=0,"",(D21-$H21)/$H21)</f>
        <v>0.4147982062780269</v>
      </c>
      <c r="L21" s="8">
        <f>IF($H21=0,"",(E21-$H21)/$H21)</f>
        <v>0.3968609865470852</v>
      </c>
      <c r="M21" s="8">
        <f>IF($H21=0,"",(F21-$H21)/$H21)</f>
        <v>0.12556053811659193</v>
      </c>
      <c r="N21" s="8">
        <f>IF($H21=0,"",(G21-$H21)/$H21)</f>
        <v>0.0</v>
      </c>
      <c r="O21" s="9">
        <f>IF(ABS(C21-$H21)&lt;=1E-9,1,0)</f>
        <v>0</v>
      </c>
      <c r="P21" s="9">
        <f>IF(ABS(D21-$H21)&lt;=1E-9,1,0)</f>
        <v>0</v>
      </c>
      <c r="Q21" s="9">
        <f>IF(ABS(E21-$H21)&lt;=1E-9,1,0)</f>
        <v>0</v>
      </c>
      <c r="R21" s="9">
        <f>IF(ABS(F21-$H21)&lt;=1E-9,1,0)</f>
        <v>0</v>
      </c>
      <c r="S21" s="9">
        <f>IF(ABS(G21-$H21)&lt;=1E-9,1,0)</f>
        <v>1</v>
      </c>
      <c r="T21" s="6" t="s">
        <v>26</v>
      </c>
    </row>
    <row r="22" spans="1:20">
      <c r="A22" s="6" t="s">
        <v>72</v>
      </c>
      <c r="B22" s="3">
        <v>100</v>
      </c>
      <c r="C22" s="7">
        <v>31</v>
      </c>
      <c r="D22" s="7">
        <v>31</v>
      </c>
      <c r="E22" s="7">
        <v>30</v>
      </c>
      <c r="F22" s="7">
        <v>33</v>
      </c>
      <c r="G22" s="7">
        <v>29</v>
      </c>
      <c r="H22" s="7">
        <f>MIN(C22:G22)</f>
        <v>29.0</v>
      </c>
      <c r="I22" s="6" t="s">
        <v>26</v>
      </c>
      <c r="J22" s="8">
        <f>IF($H22=0,"",(C22-$H22)/$H22)</f>
        <v>0.06896551724137931</v>
      </c>
      <c r="K22" s="8">
        <f>IF($H22=0,"",(D22-$H22)/$H22)</f>
        <v>0.06896551724137931</v>
      </c>
      <c r="L22" s="8">
        <f>IF($H22=0,"",(E22-$H22)/$H22)</f>
        <v>0.034482758620689655</v>
      </c>
      <c r="M22" s="8">
        <f>IF($H22=0,"",(F22-$H22)/$H22)</f>
        <v>0.13793103448275862</v>
      </c>
      <c r="N22" s="8">
        <f>IF($H22=0,"",(G22-$H22)/$H22)</f>
        <v>0.0</v>
      </c>
      <c r="O22" s="9">
        <f>IF(ABS(C22-$H22)&lt;=1E-9,1,0)</f>
        <v>0</v>
      </c>
      <c r="P22" s="9">
        <f>IF(ABS(D22-$H22)&lt;=1E-9,1,0)</f>
        <v>0</v>
      </c>
      <c r="Q22" s="9">
        <f>IF(ABS(E22-$H22)&lt;=1E-9,1,0)</f>
        <v>0</v>
      </c>
      <c r="R22" s="9">
        <f>IF(ABS(F22-$H22)&lt;=1E-9,1,0)</f>
        <v>0</v>
      </c>
      <c r="S22" s="9">
        <f>IF(ABS(G22-$H22)&lt;=1E-9,1,0)</f>
        <v>1</v>
      </c>
      <c r="T22" s="6" t="s">
        <v>26</v>
      </c>
    </row>
    <row r="23" spans="1:20">
      <c r="A23" s="6" t="s">
        <v>73</v>
      </c>
      <c r="B23" s="3">
        <v>100</v>
      </c>
      <c r="C23" s="7">
        <v>29</v>
      </c>
      <c r="D23" s="7">
        <v>30</v>
      </c>
      <c r="E23" s="7">
        <v>30</v>
      </c>
      <c r="F23" s="7">
        <v>31</v>
      </c>
      <c r="G23" s="7">
        <v>28</v>
      </c>
      <c r="H23" s="7">
        <f>MIN(C23:G23)</f>
        <v>28.0</v>
      </c>
      <c r="I23" s="6" t="s">
        <v>26</v>
      </c>
      <c r="J23" s="8">
        <f>IF($H23=0,"",(C23-$H23)/$H23)</f>
        <v>0.03571428571428571</v>
      </c>
      <c r="K23" s="8">
        <f>IF($H23=0,"",(D23-$H23)/$H23)</f>
        <v>0.07142857142857142</v>
      </c>
      <c r="L23" s="8">
        <f>IF($H23=0,"",(E23-$H23)/$H23)</f>
        <v>0.07142857142857142</v>
      </c>
      <c r="M23" s="8">
        <f>IF($H23=0,"",(F23-$H23)/$H23)</f>
        <v>0.10714285714285714</v>
      </c>
      <c r="N23" s="8">
        <f>IF($H23=0,"",(G23-$H23)/$H23)</f>
        <v>0.0</v>
      </c>
      <c r="O23" s="9">
        <f>IF(ABS(C23-$H23)&lt;=1E-9,1,0)</f>
        <v>0</v>
      </c>
      <c r="P23" s="9">
        <f>IF(ABS(D23-$H23)&lt;=1E-9,1,0)</f>
        <v>0</v>
      </c>
      <c r="Q23" s="9">
        <f>IF(ABS(E23-$H23)&lt;=1E-9,1,0)</f>
        <v>0</v>
      </c>
      <c r="R23" s="9">
        <f>IF(ABS(F23-$H23)&lt;=1E-9,1,0)</f>
        <v>0</v>
      </c>
      <c r="S23" s="9">
        <f>IF(ABS(G23-$H23)&lt;=1E-9,1,0)</f>
        <v>1</v>
      </c>
      <c r="T23" s="6" t="s">
        <v>26</v>
      </c>
    </row>
    <row r="24" spans="1:20">
      <c r="A24" s="6" t="s">
        <v>74</v>
      </c>
      <c r="B24" s="3">
        <v>100</v>
      </c>
      <c r="C24" s="7">
        <v>485</v>
      </c>
      <c r="D24" s="7">
        <v>504</v>
      </c>
      <c r="E24" s="7">
        <v>509</v>
      </c>
      <c r="F24" s="7">
        <v>429</v>
      </c>
      <c r="G24" s="7">
        <v>363</v>
      </c>
      <c r="H24" s="7">
        <f>MIN(C24:G24)</f>
        <v>363.0</v>
      </c>
      <c r="I24" s="6" t="s">
        <v>26</v>
      </c>
      <c r="J24" s="8">
        <f>IF($H24=0,"",(C24-$H24)/$H24)</f>
        <v>0.33608815426997246</v>
      </c>
      <c r="K24" s="8">
        <f>IF($H24=0,"",(D24-$H24)/$H24)</f>
        <v>0.3884297520661157</v>
      </c>
      <c r="L24" s="8">
        <f>IF($H24=0,"",(E24-$H24)/$H24)</f>
        <v>0.4022038567493113</v>
      </c>
      <c r="M24" s="8">
        <f>IF($H24=0,"",(F24-$H24)/$H24)</f>
        <v>0.18181818181818182</v>
      </c>
      <c r="N24" s="8">
        <f>IF($H24=0,"",(G24-$H24)/$H24)</f>
        <v>0.0</v>
      </c>
      <c r="O24" s="9">
        <f>IF(ABS(C24-$H24)&lt;=1E-9,1,0)</f>
        <v>0</v>
      </c>
      <c r="P24" s="9">
        <f>IF(ABS(D24-$H24)&lt;=1E-9,1,0)</f>
        <v>0</v>
      </c>
      <c r="Q24" s="9">
        <f>IF(ABS(E24-$H24)&lt;=1E-9,1,0)</f>
        <v>0</v>
      </c>
      <c r="R24" s="9">
        <f>IF(ABS(F24-$H24)&lt;=1E-9,1,0)</f>
        <v>0</v>
      </c>
      <c r="S24" s="9">
        <f>IF(ABS(G24-$H24)&lt;=1E-9,1,0)</f>
        <v>1</v>
      </c>
      <c r="T24" s="6" t="s">
        <v>26</v>
      </c>
    </row>
    <row r="25" spans="1:20">
      <c r="A25" s="6" t="s">
        <v>75</v>
      </c>
      <c r="B25" s="3">
        <v>100</v>
      </c>
      <c r="C25" s="7">
        <v>580</v>
      </c>
      <c r="D25" s="7">
        <v>601</v>
      </c>
      <c r="E25" s="7">
        <v>586</v>
      </c>
      <c r="F25" s="7">
        <v>478</v>
      </c>
      <c r="G25" s="7">
        <v>398</v>
      </c>
      <c r="H25" s="7">
        <f>MIN(C25:G25)</f>
        <v>398.0</v>
      </c>
      <c r="I25" s="6" t="s">
        <v>26</v>
      </c>
      <c r="J25" s="8">
        <f>IF($H25=0,"",(C25-$H25)/$H25)</f>
        <v>0.457286432160804</v>
      </c>
      <c r="K25" s="8">
        <f>IF($H25=0,"",(D25-$H25)/$H25)</f>
        <v>0.5100502512562815</v>
      </c>
      <c r="L25" s="8">
        <f>IF($H25=0,"",(E25-$H25)/$H25)</f>
        <v>0.4723618090452261</v>
      </c>
      <c r="M25" s="8">
        <f>IF($H25=0,"",(F25-$H25)/$H25)</f>
        <v>0.20100502512562815</v>
      </c>
      <c r="N25" s="8">
        <f>IF($H25=0,"",(G25-$H25)/$H25)</f>
        <v>0.0</v>
      </c>
      <c r="O25" s="9">
        <f>IF(ABS(C25-$H25)&lt;=1E-9,1,0)</f>
        <v>0</v>
      </c>
      <c r="P25" s="9">
        <f>IF(ABS(D25-$H25)&lt;=1E-9,1,0)</f>
        <v>0</v>
      </c>
      <c r="Q25" s="9">
        <f>IF(ABS(E25-$H25)&lt;=1E-9,1,0)</f>
        <v>0</v>
      </c>
      <c r="R25" s="9">
        <f>IF(ABS(F25-$H25)&lt;=1E-9,1,0)</f>
        <v>0</v>
      </c>
      <c r="S25" s="9">
        <f>IF(ABS(G25-$H25)&lt;=1E-9,1,0)</f>
        <v>1</v>
      </c>
      <c r="T25" s="6" t="s">
        <v>26</v>
      </c>
    </row>
    <row r="26" spans="1:20">
      <c r="A26" s="6" t="s">
        <v>76</v>
      </c>
      <c r="B26" s="3">
        <v>100</v>
      </c>
      <c r="C26" s="7">
        <v>23</v>
      </c>
      <c r="D26" s="7">
        <v>24</v>
      </c>
      <c r="E26" s="7">
        <v>23</v>
      </c>
      <c r="F26" s="7">
        <v>28</v>
      </c>
      <c r="G26" s="7">
        <v>22</v>
      </c>
      <c r="H26" s="7">
        <f>MIN(C26:G26)</f>
        <v>22.0</v>
      </c>
      <c r="I26" s="6" t="s">
        <v>26</v>
      </c>
      <c r="J26" s="8">
        <f>IF($H26=0,"",(C26-$H26)/$H26)</f>
        <v>0.045454545454545456</v>
      </c>
      <c r="K26" s="8">
        <f>IF($H26=0,"",(D26-$H26)/$H26)</f>
        <v>0.09090909090909091</v>
      </c>
      <c r="L26" s="8">
        <f>IF($H26=0,"",(E26-$H26)/$H26)</f>
        <v>0.045454545454545456</v>
      </c>
      <c r="M26" s="8">
        <f>IF($H26=0,"",(F26-$H26)/$H26)</f>
        <v>0.2727272727272727</v>
      </c>
      <c r="N26" s="8">
        <f>IF($H26=0,"",(G26-$H26)/$H26)</f>
        <v>0.0</v>
      </c>
      <c r="O26" s="9">
        <f>IF(ABS(C26-$H26)&lt;=1E-9,1,0)</f>
        <v>0</v>
      </c>
      <c r="P26" s="9">
        <f>IF(ABS(D26-$H26)&lt;=1E-9,1,0)</f>
        <v>0</v>
      </c>
      <c r="Q26" s="9">
        <f>IF(ABS(E26-$H26)&lt;=1E-9,1,0)</f>
        <v>0</v>
      </c>
      <c r="R26" s="9">
        <f>IF(ABS(F26-$H26)&lt;=1E-9,1,0)</f>
        <v>0</v>
      </c>
      <c r="S26" s="9">
        <f>IF(ABS(G26-$H26)&lt;=1E-9,1,0)</f>
        <v>1</v>
      </c>
      <c r="T26" s="6" t="s">
        <v>26</v>
      </c>
    </row>
    <row r="27" spans="1:20">
      <c r="A27" s="6" t="s">
        <v>77</v>
      </c>
      <c r="B27" s="3">
        <v>100</v>
      </c>
      <c r="C27" s="7">
        <v>23</v>
      </c>
      <c r="D27" s="7">
        <v>23</v>
      </c>
      <c r="E27" s="7">
        <v>23</v>
      </c>
      <c r="F27" s="7">
        <v>27</v>
      </c>
      <c r="G27" s="7">
        <v>21</v>
      </c>
      <c r="H27" s="7">
        <f>MIN(C27:G27)</f>
        <v>21.0</v>
      </c>
      <c r="I27" s="6" t="s">
        <v>26</v>
      </c>
      <c r="J27" s="8">
        <f>IF($H27=0,"",(C27-$H27)/$H27)</f>
        <v>0.09523809523809523</v>
      </c>
      <c r="K27" s="8">
        <f>IF($H27=0,"",(D27-$H27)/$H27)</f>
        <v>0.09523809523809523</v>
      </c>
      <c r="L27" s="8">
        <f>IF($H27=0,"",(E27-$H27)/$H27)</f>
        <v>0.09523809523809523</v>
      </c>
      <c r="M27" s="8">
        <f>IF($H27=0,"",(F27-$H27)/$H27)</f>
        <v>0.2857142857142857</v>
      </c>
      <c r="N27" s="8">
        <f>IF($H27=0,"",(G27-$H27)/$H27)</f>
        <v>0.0</v>
      </c>
      <c r="O27" s="9">
        <f>IF(ABS(C27-$H27)&lt;=1E-9,1,0)</f>
        <v>0</v>
      </c>
      <c r="P27" s="9">
        <f>IF(ABS(D27-$H27)&lt;=1E-9,1,0)</f>
        <v>0</v>
      </c>
      <c r="Q27" s="9">
        <f>IF(ABS(E27-$H27)&lt;=1E-9,1,0)</f>
        <v>0</v>
      </c>
      <c r="R27" s="9">
        <f>IF(ABS(F27-$H27)&lt;=1E-9,1,0)</f>
        <v>0</v>
      </c>
      <c r="S27" s="9">
        <f>IF(ABS(G27-$H27)&lt;=1E-9,1,0)</f>
        <v>1</v>
      </c>
      <c r="T27" s="6" t="s">
        <v>26</v>
      </c>
    </row>
    <row r="28" spans="1:20">
      <c r="A28" s="6" t="s">
        <v>78</v>
      </c>
      <c r="B28" s="3">
        <v>100</v>
      </c>
      <c r="C28" s="7">
        <v>455</v>
      </c>
      <c r="D28" s="7">
        <v>453</v>
      </c>
      <c r="E28" s="7">
        <v>453</v>
      </c>
      <c r="F28" s="7">
        <v>374</v>
      </c>
      <c r="G28" s="7">
        <v>302</v>
      </c>
      <c r="H28" s="7">
        <f>MIN(C28:G28)</f>
        <v>302.0</v>
      </c>
      <c r="I28" s="6" t="s">
        <v>26</v>
      </c>
      <c r="J28" s="8">
        <f>IF($H28=0,"",(C28-$H28)/$H28)</f>
        <v>0.5066225165562914</v>
      </c>
      <c r="K28" s="8">
        <f>IF($H28=0,"",(D28-$H28)/$H28)</f>
        <v>0.5</v>
      </c>
      <c r="L28" s="8">
        <f>IF($H28=0,"",(E28-$H28)/$H28)</f>
        <v>0.5</v>
      </c>
      <c r="M28" s="8">
        <f>IF($H28=0,"",(F28-$H28)/$H28)</f>
        <v>0.23841059602649006</v>
      </c>
      <c r="N28" s="8">
        <f>IF($H28=0,"",(G28-$H28)/$H28)</f>
        <v>0.0</v>
      </c>
      <c r="O28" s="9">
        <f>IF(ABS(C28-$H28)&lt;=1E-9,1,0)</f>
        <v>0</v>
      </c>
      <c r="P28" s="9">
        <f>IF(ABS(D28-$H28)&lt;=1E-9,1,0)</f>
        <v>0</v>
      </c>
      <c r="Q28" s="9">
        <f>IF(ABS(E28-$H28)&lt;=1E-9,1,0)</f>
        <v>0</v>
      </c>
      <c r="R28" s="9">
        <f>IF(ABS(F28-$H28)&lt;=1E-9,1,0)</f>
        <v>0</v>
      </c>
      <c r="S28" s="9">
        <f>IF(ABS(G28-$H28)&lt;=1E-9,1,0)</f>
        <v>1</v>
      </c>
      <c r="T28" s="6" t="s">
        <v>26</v>
      </c>
    </row>
    <row r="29" spans="1:20">
      <c r="A29" s="6" t="s">
        <v>79</v>
      </c>
      <c r="B29" s="3">
        <v>100</v>
      </c>
      <c r="C29" s="7">
        <v>421</v>
      </c>
      <c r="D29" s="7">
        <v>430</v>
      </c>
      <c r="E29" s="7">
        <v>433</v>
      </c>
      <c r="F29" s="7">
        <v>378</v>
      </c>
      <c r="G29" s="7">
        <v>300</v>
      </c>
      <c r="H29" s="7">
        <f>MIN(C29:G29)</f>
        <v>300.0</v>
      </c>
      <c r="I29" s="6" t="s">
        <v>26</v>
      </c>
      <c r="J29" s="8">
        <f>IF($H29=0,"",(C29-$H29)/$H29)</f>
        <v>0.40333333333333327</v>
      </c>
      <c r="K29" s="8">
        <f>IF($H29=0,"",(D29-$H29)/$H29)</f>
        <v>0.43333333333333335</v>
      </c>
      <c r="L29" s="8">
        <f>IF($H29=0,"",(E29-$H29)/$H29)</f>
        <v>0.44333333333333336</v>
      </c>
      <c r="M29" s="8">
        <f>IF($H29=0,"",(F29-$H29)/$H29)</f>
        <v>0.26</v>
      </c>
      <c r="N29" s="8">
        <f>IF($H29=0,"",(G29-$H29)/$H29)</f>
        <v>0.0</v>
      </c>
      <c r="O29" s="9">
        <f>IF(ABS(C29-$H29)&lt;=1E-9,1,0)</f>
        <v>0</v>
      </c>
      <c r="P29" s="9">
        <f>IF(ABS(D29-$H29)&lt;=1E-9,1,0)</f>
        <v>0</v>
      </c>
      <c r="Q29" s="9">
        <f>IF(ABS(E29-$H29)&lt;=1E-9,1,0)</f>
        <v>0</v>
      </c>
      <c r="R29" s="9">
        <f>IF(ABS(F29-$H29)&lt;=1E-9,1,0)</f>
        <v>0</v>
      </c>
      <c r="S29" s="9">
        <f>IF(ABS(G29-$H29)&lt;=1E-9,1,0)</f>
        <v>1</v>
      </c>
      <c r="T29" s="6" t="s">
        <v>26</v>
      </c>
    </row>
    <row r="30" spans="1:20">
      <c r="A30" s="6" t="s">
        <v>80</v>
      </c>
      <c r="B30" s="3">
        <v>100</v>
      </c>
      <c r="C30" s="7">
        <v>19</v>
      </c>
      <c r="D30" s="7">
        <v>19</v>
      </c>
      <c r="E30" s="7">
        <v>21</v>
      </c>
      <c r="F30" s="7">
        <v>28</v>
      </c>
      <c r="G30" s="7">
        <v>17</v>
      </c>
      <c r="H30" s="7">
        <f>MIN(C30:G30)</f>
        <v>17.0</v>
      </c>
      <c r="I30" s="6" t="s">
        <v>26</v>
      </c>
      <c r="J30" s="8">
        <f>IF($H30=0,"",(C30-$H30)/$H30)</f>
        <v>0.1176470588235294</v>
      </c>
      <c r="K30" s="8">
        <f>IF($H30=0,"",(D30-$H30)/$H30)</f>
        <v>0.1176470588235294</v>
      </c>
      <c r="L30" s="8">
        <f>IF($H30=0,"",(E30-$H30)/$H30)</f>
        <v>0.2352941176470588</v>
      </c>
      <c r="M30" s="8">
        <f>IF($H30=0,"",(F30-$H30)/$H30)</f>
        <v>0.6470588235294117</v>
      </c>
      <c r="N30" s="8">
        <f>IF($H30=0,"",(G30-$H30)/$H30)</f>
        <v>0.0</v>
      </c>
      <c r="O30" s="9">
        <f>IF(ABS(C30-$H30)&lt;=1E-9,1,0)</f>
        <v>0</v>
      </c>
      <c r="P30" s="9">
        <f>IF(ABS(D30-$H30)&lt;=1E-9,1,0)</f>
        <v>0</v>
      </c>
      <c r="Q30" s="9">
        <f>IF(ABS(E30-$H30)&lt;=1E-9,1,0)</f>
        <v>0</v>
      </c>
      <c r="R30" s="9">
        <f>IF(ABS(F30-$H30)&lt;=1E-9,1,0)</f>
        <v>0</v>
      </c>
      <c r="S30" s="9">
        <f>IF(ABS(G30-$H30)&lt;=1E-9,1,0)</f>
        <v>1</v>
      </c>
      <c r="T30" s="6" t="s">
        <v>26</v>
      </c>
    </row>
    <row r="31" spans="1:20">
      <c r="A31" s="6" t="s">
        <v>81</v>
      </c>
      <c r="B31" s="3">
        <v>100</v>
      </c>
      <c r="C31" s="7">
        <v>20</v>
      </c>
      <c r="D31" s="7">
        <v>21</v>
      </c>
      <c r="E31" s="7">
        <v>21</v>
      </c>
      <c r="F31" s="7">
        <v>26</v>
      </c>
      <c r="G31" s="7">
        <v>18</v>
      </c>
      <c r="H31" s="7">
        <f>MIN(C31:G31)</f>
        <v>18.0</v>
      </c>
      <c r="I31" s="6" t="s">
        <v>26</v>
      </c>
      <c r="J31" s="8">
        <f>IF($H31=0,"",(C31-$H31)/$H31)</f>
        <v>0.1111111111111111</v>
      </c>
      <c r="K31" s="8">
        <f>IF($H31=0,"",(D31-$H31)/$H31)</f>
        <v>0.16666666666666663</v>
      </c>
      <c r="L31" s="8">
        <f>IF($H31=0,"",(E31-$H31)/$H31)</f>
        <v>0.16666666666666663</v>
      </c>
      <c r="M31" s="8">
        <f>IF($H31=0,"",(F31-$H31)/$H31)</f>
        <v>0.4444444444444444</v>
      </c>
      <c r="N31" s="8">
        <f>IF($H31=0,"",(G31-$H31)/$H31)</f>
        <v>0.0</v>
      </c>
      <c r="O31" s="9">
        <f>IF(ABS(C31-$H31)&lt;=1E-9,1,0)</f>
        <v>0</v>
      </c>
      <c r="P31" s="9">
        <f>IF(ABS(D31-$H31)&lt;=1E-9,1,0)</f>
        <v>0</v>
      </c>
      <c r="Q31" s="9">
        <f>IF(ABS(E31-$H31)&lt;=1E-9,1,0)</f>
        <v>0</v>
      </c>
      <c r="R31" s="9">
        <f>IF(ABS(F31-$H31)&lt;=1E-9,1,0)</f>
        <v>0</v>
      </c>
      <c r="S31" s="9">
        <f>IF(ABS(G31-$H31)&lt;=1E-9,1,0)</f>
        <v>1</v>
      </c>
      <c r="T31" s="6" t="s">
        <v>26</v>
      </c>
    </row>
    <row r="32" spans="1:20">
      <c r="A32" s="6" t="s">
        <v>82</v>
      </c>
      <c r="B32" s="3">
        <v>100</v>
      </c>
      <c r="C32" s="7">
        <v>408</v>
      </c>
      <c r="D32" s="7">
        <v>412</v>
      </c>
      <c r="E32" s="7">
        <v>419</v>
      </c>
      <c r="F32" s="7">
        <v>387</v>
      </c>
      <c r="G32" s="7">
        <v>305</v>
      </c>
      <c r="H32" s="7">
        <f>MIN(C32:G32)</f>
        <v>305.0</v>
      </c>
      <c r="I32" s="6" t="s">
        <v>26</v>
      </c>
      <c r="J32" s="8">
        <f>IF($H32=0,"",(C32-$H32)/$H32)</f>
        <v>0.3377049180327869</v>
      </c>
      <c r="K32" s="8">
        <f>IF($H32=0,"",(D32-$H32)/$H32)</f>
        <v>0.35081967213114756</v>
      </c>
      <c r="L32" s="8">
        <f>IF($H32=0,"",(E32-$H32)/$H32)</f>
        <v>0.3737704918032787</v>
      </c>
      <c r="M32" s="8">
        <f>IF($H32=0,"",(F32-$H32)/$H32)</f>
        <v>0.26885245901639343</v>
      </c>
      <c r="N32" s="8">
        <f>IF($H32=0,"",(G32-$H32)/$H32)</f>
        <v>0.0</v>
      </c>
      <c r="O32" s="9">
        <f>IF(ABS(C32-$H32)&lt;=1E-9,1,0)</f>
        <v>0</v>
      </c>
      <c r="P32" s="9">
        <f>IF(ABS(D32-$H32)&lt;=1E-9,1,0)</f>
        <v>0</v>
      </c>
      <c r="Q32" s="9">
        <f>IF(ABS(E32-$H32)&lt;=1E-9,1,0)</f>
        <v>0</v>
      </c>
      <c r="R32" s="9">
        <f>IF(ABS(F32-$H32)&lt;=1E-9,1,0)</f>
        <v>0</v>
      </c>
      <c r="S32" s="9">
        <f>IF(ABS(G32-$H32)&lt;=1E-9,1,0)</f>
        <v>1</v>
      </c>
      <c r="T32" s="6" t="s">
        <v>26</v>
      </c>
    </row>
    <row r="33" spans="1:20">
      <c r="A33" s="6" t="s">
        <v>83</v>
      </c>
      <c r="B33" s="3">
        <v>100</v>
      </c>
      <c r="C33" s="7">
        <v>385</v>
      </c>
      <c r="D33" s="7">
        <v>377</v>
      </c>
      <c r="E33" s="7">
        <v>416</v>
      </c>
      <c r="F33" s="7">
        <v>376</v>
      </c>
      <c r="G33" s="7">
        <v>291</v>
      </c>
      <c r="H33" s="7">
        <f>MIN(C33:G33)</f>
        <v>291.0</v>
      </c>
      <c r="I33" s="6" t="s">
        <v>26</v>
      </c>
      <c r="J33" s="8">
        <f>IF($H33=0,"",(C33-$H33)/$H33)</f>
        <v>0.32302405498281783</v>
      </c>
      <c r="K33" s="8">
        <f>IF($H33=0,"",(D33-$H33)/$H33)</f>
        <v>0.29553264604810997</v>
      </c>
      <c r="L33" s="8">
        <f>IF($H33=0,"",(E33-$H33)/$H33)</f>
        <v>0.42955326460481097</v>
      </c>
      <c r="M33" s="8">
        <f>IF($H33=0,"",(F33-$H33)/$H33)</f>
        <v>0.2920962199312715</v>
      </c>
      <c r="N33" s="8">
        <f>IF($H33=0,"",(G33-$H33)/$H33)</f>
        <v>0.0</v>
      </c>
      <c r="O33" s="9">
        <f>IF(ABS(C33-$H33)&lt;=1E-9,1,0)</f>
        <v>0</v>
      </c>
      <c r="P33" s="9">
        <f>IF(ABS(D33-$H33)&lt;=1E-9,1,0)</f>
        <v>0</v>
      </c>
      <c r="Q33" s="9">
        <f>IF(ABS(E33-$H33)&lt;=1E-9,1,0)</f>
        <v>0</v>
      </c>
      <c r="R33" s="9">
        <f>IF(ABS(F33-$H33)&lt;=1E-9,1,0)</f>
        <v>0</v>
      </c>
      <c r="S33" s="9">
        <f>IF(ABS(G33-$H33)&lt;=1E-9,1,0)</f>
        <v>1</v>
      </c>
      <c r="T33" s="6" t="s">
        <v>26</v>
      </c>
    </row>
    <row r="34" spans="1:20">
      <c r="A34" s="6" t="s">
        <v>84</v>
      </c>
      <c r="B34" s="3">
        <v>200</v>
      </c>
      <c r="C34" s="7">
        <v>74</v>
      </c>
      <c r="D34" s="7">
        <v>74</v>
      </c>
      <c r="E34" s="7">
        <v>76</v>
      </c>
      <c r="F34" s="7">
        <v>66</v>
      </c>
      <c r="G34" s="7">
        <v>65</v>
      </c>
      <c r="H34" s="7">
        <f>MIN(C34:G34)</f>
        <v>65.0</v>
      </c>
      <c r="I34" s="6" t="s">
        <v>26</v>
      </c>
      <c r="J34" s="8">
        <f>IF($H34=0,"",(C34-$H34)/$H34)</f>
        <v>0.13846153846153847</v>
      </c>
      <c r="K34" s="8">
        <f>IF($H34=0,"",(D34-$H34)/$H34)</f>
        <v>0.13846153846153847</v>
      </c>
      <c r="L34" s="8">
        <f>IF($H34=0,"",(E34-$H34)/$H34)</f>
        <v>0.16923076923076924</v>
      </c>
      <c r="M34" s="8">
        <f>IF($H34=0,"",(F34-$H34)/$H34)</f>
        <v>0.015384615384615385</v>
      </c>
      <c r="N34" s="8">
        <f>IF($H34=0,"",(G34-$H34)/$H34)</f>
        <v>0.0</v>
      </c>
      <c r="O34" s="9">
        <f>IF(ABS(C34-$H34)&lt;=1E-9,1,0)</f>
        <v>0</v>
      </c>
      <c r="P34" s="9">
        <f>IF(ABS(D34-$H34)&lt;=1E-9,1,0)</f>
        <v>0</v>
      </c>
      <c r="Q34" s="9">
        <f>IF(ABS(E34-$H34)&lt;=1E-9,1,0)</f>
        <v>0</v>
      </c>
      <c r="R34" s="9">
        <f>IF(ABS(F34-$H34)&lt;=1E-9,1,0)</f>
        <v>0</v>
      </c>
      <c r="S34" s="9">
        <f>IF(ABS(G34-$H34)&lt;=1E-9,1,0)</f>
        <v>1</v>
      </c>
      <c r="T34" s="6" t="s">
        <v>26</v>
      </c>
    </row>
    <row r="35" spans="1:20">
      <c r="A35" s="6" t="s">
        <v>85</v>
      </c>
      <c r="B35" s="3">
        <v>200</v>
      </c>
      <c r="C35" s="7">
        <v>70</v>
      </c>
      <c r="D35" s="7">
        <v>69</v>
      </c>
      <c r="E35" s="7">
        <v>71</v>
      </c>
      <c r="F35" s="7">
        <v>65</v>
      </c>
      <c r="G35" s="7">
        <v>63</v>
      </c>
      <c r="H35" s="7">
        <f>MIN(C35:G35)</f>
        <v>63.0</v>
      </c>
      <c r="I35" s="6" t="s">
        <v>26</v>
      </c>
      <c r="J35" s="8">
        <f>IF($H35=0,"",(C35-$H35)/$H35)</f>
        <v>0.1111111111111111</v>
      </c>
      <c r="K35" s="8">
        <f>IF($H35=0,"",(D35-$H35)/$H35)</f>
        <v>0.09523809523809523</v>
      </c>
      <c r="L35" s="8">
        <f>IF($H35=0,"",(E35-$H35)/$H35)</f>
        <v>0.12698412698412698</v>
      </c>
      <c r="M35" s="8">
        <f>IF($H35=0,"",(F35-$H35)/$H35)</f>
        <v>0.031746031746031744</v>
      </c>
      <c r="N35" s="8">
        <f>IF($H35=0,"",(G35-$H35)/$H35)</f>
        <v>0.0</v>
      </c>
      <c r="O35" s="9">
        <f>IF(ABS(C35-$H35)&lt;=1E-9,1,0)</f>
        <v>0</v>
      </c>
      <c r="P35" s="9">
        <f>IF(ABS(D35-$H35)&lt;=1E-9,1,0)</f>
        <v>0</v>
      </c>
      <c r="Q35" s="9">
        <f>IF(ABS(E35-$H35)&lt;=1E-9,1,0)</f>
        <v>0</v>
      </c>
      <c r="R35" s="9">
        <f>IF(ABS(F35-$H35)&lt;=1E-9,1,0)</f>
        <v>0</v>
      </c>
      <c r="S35" s="9">
        <f>IF(ABS(G35-$H35)&lt;=1E-9,1,0)</f>
        <v>1</v>
      </c>
      <c r="T35" s="6" t="s">
        <v>26</v>
      </c>
    </row>
    <row r="36" spans="1:20">
      <c r="A36" s="6" t="s">
        <v>86</v>
      </c>
      <c r="B36" s="3">
        <v>200</v>
      </c>
      <c r="C36" s="7">
        <v>989</v>
      </c>
      <c r="D36" s="7">
        <v>1033</v>
      </c>
      <c r="E36" s="7">
        <v>1034</v>
      </c>
      <c r="F36" s="7">
        <v>816</v>
      </c>
      <c r="G36" s="7">
        <v>730</v>
      </c>
      <c r="H36" s="7">
        <f>MIN(C36:G36)</f>
        <v>730.0</v>
      </c>
      <c r="I36" s="6" t="s">
        <v>26</v>
      </c>
      <c r="J36" s="8">
        <f>IF($H36=0,"",(C36-$H36)/$H36)</f>
        <v>0.3547945205479452</v>
      </c>
      <c r="K36" s="8">
        <f>IF($H36=0,"",(D36-$H36)/$H36)</f>
        <v>0.41506849315068495</v>
      </c>
      <c r="L36" s="8">
        <f>IF($H36=0,"",(E36-$H36)/$H36)</f>
        <v>0.41643835616438357</v>
      </c>
      <c r="M36" s="8">
        <f>IF($H36=0,"",(F36-$H36)/$H36)</f>
        <v>0.11780821917808221</v>
      </c>
      <c r="N36" s="8">
        <f>IF($H36=0,"",(G36-$H36)/$H36)</f>
        <v>0.0</v>
      </c>
      <c r="O36" s="9">
        <f>IF(ABS(C36-$H36)&lt;=1E-9,1,0)</f>
        <v>0</v>
      </c>
      <c r="P36" s="9">
        <f>IF(ABS(D36-$H36)&lt;=1E-9,1,0)</f>
        <v>0</v>
      </c>
      <c r="Q36" s="9">
        <f>IF(ABS(E36-$H36)&lt;=1E-9,1,0)</f>
        <v>0</v>
      </c>
      <c r="R36" s="9">
        <f>IF(ABS(F36-$H36)&lt;=1E-9,1,0)</f>
        <v>0</v>
      </c>
      <c r="S36" s="9">
        <f>IF(ABS(G36-$H36)&lt;=1E-9,1,0)</f>
        <v>1</v>
      </c>
      <c r="T36" s="6" t="s">
        <v>26</v>
      </c>
    </row>
    <row r="37" spans="1:20">
      <c r="A37" s="6" t="s">
        <v>87</v>
      </c>
      <c r="B37" s="3">
        <v>200</v>
      </c>
      <c r="C37" s="7">
        <v>1089</v>
      </c>
      <c r="D37" s="7">
        <v>1117</v>
      </c>
      <c r="E37" s="7">
        <v>1110</v>
      </c>
      <c r="F37" s="7">
        <v>866</v>
      </c>
      <c r="G37" s="7">
        <v>783</v>
      </c>
      <c r="H37" s="7">
        <f>MIN(C37:G37)</f>
        <v>783.0</v>
      </c>
      <c r="I37" s="6" t="s">
        <v>26</v>
      </c>
      <c r="J37" s="8">
        <f>IF($H37=0,"",(C37-$H37)/$H37)</f>
        <v>0.3908045977011494</v>
      </c>
      <c r="K37" s="8">
        <f>IF($H37=0,"",(D37-$H37)/$H37)</f>
        <v>0.42656449553001274</v>
      </c>
      <c r="L37" s="8">
        <f>IF($H37=0,"",(E37-$H37)/$H37)</f>
        <v>0.417624521072797</v>
      </c>
      <c r="M37" s="8">
        <f>IF($H37=0,"",(F37-$H37)/$H37)</f>
        <v>0.10600255427841634</v>
      </c>
      <c r="N37" s="8">
        <f>IF($H37=0,"",(G37-$H37)/$H37)</f>
        <v>0.0</v>
      </c>
      <c r="O37" s="9">
        <f>IF(ABS(C37-$H37)&lt;=1E-9,1,0)</f>
        <v>0</v>
      </c>
      <c r="P37" s="9">
        <f>IF(ABS(D37-$H37)&lt;=1E-9,1,0)</f>
        <v>0</v>
      </c>
      <c r="Q37" s="9">
        <f>IF(ABS(E37-$H37)&lt;=1E-9,1,0)</f>
        <v>0</v>
      </c>
      <c r="R37" s="9">
        <f>IF(ABS(F37-$H37)&lt;=1E-9,1,0)</f>
        <v>0</v>
      </c>
      <c r="S37" s="9">
        <f>IF(ABS(G37-$H37)&lt;=1E-9,1,0)</f>
        <v>1</v>
      </c>
      <c r="T37" s="6" t="s">
        <v>26</v>
      </c>
    </row>
    <row r="38" spans="1:20">
      <c r="A38" s="6" t="s">
        <v>88</v>
      </c>
      <c r="B38" s="3">
        <v>200</v>
      </c>
      <c r="C38" s="7">
        <v>60</v>
      </c>
      <c r="D38" s="7">
        <v>60</v>
      </c>
      <c r="E38" s="7">
        <v>60</v>
      </c>
      <c r="F38" s="7">
        <v>61</v>
      </c>
      <c r="G38" s="7">
        <v>56</v>
      </c>
      <c r="H38" s="7">
        <f>MIN(C38:G38)</f>
        <v>56.0</v>
      </c>
      <c r="I38" s="6" t="s">
        <v>26</v>
      </c>
      <c r="J38" s="8">
        <f>IF($H38=0,"",(C38-$H38)/$H38)</f>
        <v>0.07142857142857142</v>
      </c>
      <c r="K38" s="8">
        <f>IF($H38=0,"",(D38-$H38)/$H38)</f>
        <v>0.07142857142857142</v>
      </c>
      <c r="L38" s="8">
        <f>IF($H38=0,"",(E38-$H38)/$H38)</f>
        <v>0.07142857142857142</v>
      </c>
      <c r="M38" s="8">
        <f>IF($H38=0,"",(F38-$H38)/$H38)</f>
        <v>0.08928571428571429</v>
      </c>
      <c r="N38" s="8">
        <f>IF($H38=0,"",(G38-$H38)/$H38)</f>
        <v>0.0</v>
      </c>
      <c r="O38" s="9">
        <f>IF(ABS(C38-$H38)&lt;=1E-9,1,0)</f>
        <v>0</v>
      </c>
      <c r="P38" s="9">
        <f>IF(ABS(D38-$H38)&lt;=1E-9,1,0)</f>
        <v>0</v>
      </c>
      <c r="Q38" s="9">
        <f>IF(ABS(E38-$H38)&lt;=1E-9,1,0)</f>
        <v>0</v>
      </c>
      <c r="R38" s="9">
        <f>IF(ABS(F38-$H38)&lt;=1E-9,1,0)</f>
        <v>0</v>
      </c>
      <c r="S38" s="9">
        <f>IF(ABS(G38-$H38)&lt;=1E-9,1,0)</f>
        <v>1</v>
      </c>
      <c r="T38" s="6" t="s">
        <v>26</v>
      </c>
    </row>
    <row r="39" spans="1:20">
      <c r="A39" s="6" t="s">
        <v>89</v>
      </c>
      <c r="B39" s="3">
        <v>200</v>
      </c>
      <c r="C39" s="7">
        <v>58</v>
      </c>
      <c r="D39" s="7">
        <v>58</v>
      </c>
      <c r="E39" s="7">
        <v>59</v>
      </c>
      <c r="F39" s="7">
        <v>59</v>
      </c>
      <c r="G39" s="7">
        <v>55</v>
      </c>
      <c r="H39" s="7">
        <f>MIN(C39:G39)</f>
        <v>55.0</v>
      </c>
      <c r="I39" s="6" t="s">
        <v>26</v>
      </c>
      <c r="J39" s="8">
        <f>IF($H39=0,"",(C39-$H39)/$H39)</f>
        <v>0.05454545454545454</v>
      </c>
      <c r="K39" s="8">
        <f>IF($H39=0,"",(D39-$H39)/$H39)</f>
        <v>0.05454545454545454</v>
      </c>
      <c r="L39" s="8">
        <f>IF($H39=0,"",(E39-$H39)/$H39)</f>
        <v>0.07272727272727272</v>
      </c>
      <c r="M39" s="8">
        <f>IF($H39=0,"",(F39-$H39)/$H39)</f>
        <v>0.07272727272727272</v>
      </c>
      <c r="N39" s="8">
        <f>IF($H39=0,"",(G39-$H39)/$H39)</f>
        <v>0.0</v>
      </c>
      <c r="O39" s="9">
        <f>IF(ABS(C39-$H39)&lt;=1E-9,1,0)</f>
        <v>0</v>
      </c>
      <c r="P39" s="9">
        <f>IF(ABS(D39-$H39)&lt;=1E-9,1,0)</f>
        <v>0</v>
      </c>
      <c r="Q39" s="9">
        <f>IF(ABS(E39-$H39)&lt;=1E-9,1,0)</f>
        <v>0</v>
      </c>
      <c r="R39" s="9">
        <f>IF(ABS(F39-$H39)&lt;=1E-9,1,0)</f>
        <v>0</v>
      </c>
      <c r="S39" s="9">
        <f>IF(ABS(G39-$H39)&lt;=1E-9,1,0)</f>
        <v>1</v>
      </c>
      <c r="T39" s="6" t="s">
        <v>26</v>
      </c>
    </row>
    <row r="40" spans="1:20">
      <c r="A40" s="6" t="s">
        <v>90</v>
      </c>
      <c r="B40" s="3">
        <v>200</v>
      </c>
      <c r="C40" s="7">
        <v>884</v>
      </c>
      <c r="D40" s="7">
        <v>887</v>
      </c>
      <c r="E40" s="7">
        <v>878</v>
      </c>
      <c r="F40" s="7">
        <v>740</v>
      </c>
      <c r="G40" s="7">
        <v>645</v>
      </c>
      <c r="H40" s="7">
        <f>MIN(C40:G40)</f>
        <v>645.0</v>
      </c>
      <c r="I40" s="6" t="s">
        <v>26</v>
      </c>
      <c r="J40" s="8">
        <f>IF($H40=0,"",(C40-$H40)/$H40)</f>
        <v>0.37054263565891465</v>
      </c>
      <c r="K40" s="8">
        <f>IF($H40=0,"",(D40-$H40)/$H40)</f>
        <v>0.3751937984496124</v>
      </c>
      <c r="L40" s="8">
        <f>IF($H40=0,"",(E40-$H40)/$H40)</f>
        <v>0.3612403100775194</v>
      </c>
      <c r="M40" s="8">
        <f>IF($H40=0,"",(F40-$H40)/$H40)</f>
        <v>0.14728682170542637</v>
      </c>
      <c r="N40" s="8">
        <f>IF($H40=0,"",(G40-$H40)/$H40)</f>
        <v>0.0</v>
      </c>
      <c r="O40" s="9">
        <f>IF(ABS(C40-$H40)&lt;=1E-9,1,0)</f>
        <v>0</v>
      </c>
      <c r="P40" s="9">
        <f>IF(ABS(D40-$H40)&lt;=1E-9,1,0)</f>
        <v>0</v>
      </c>
      <c r="Q40" s="9">
        <f>IF(ABS(E40-$H40)&lt;=1E-9,1,0)</f>
        <v>0</v>
      </c>
      <c r="R40" s="9">
        <f>IF(ABS(F40-$H40)&lt;=1E-9,1,0)</f>
        <v>0</v>
      </c>
      <c r="S40" s="9">
        <f>IF(ABS(G40-$H40)&lt;=1E-9,1,0)</f>
        <v>1</v>
      </c>
      <c r="T40" s="6" t="s">
        <v>26</v>
      </c>
    </row>
    <row r="41" spans="1:20">
      <c r="A41" s="6" t="s">
        <v>91</v>
      </c>
      <c r="B41" s="3">
        <v>200</v>
      </c>
      <c r="C41" s="7">
        <v>1040</v>
      </c>
      <c r="D41" s="7">
        <v>1048</v>
      </c>
      <c r="E41" s="7">
        <v>1043</v>
      </c>
      <c r="F41" s="7">
        <v>821</v>
      </c>
      <c r="G41" s="7">
        <v>730</v>
      </c>
      <c r="H41" s="7">
        <f>MIN(C41:G41)</f>
        <v>730.0</v>
      </c>
      <c r="I41" s="6" t="s">
        <v>26</v>
      </c>
      <c r="J41" s="8">
        <f>IF($H41=0,"",(C41-$H41)/$H41)</f>
        <v>0.4246575342465754</v>
      </c>
      <c r="K41" s="8">
        <f>IF($H41=0,"",(D41-$H41)/$H41)</f>
        <v>0.43561643835616437</v>
      </c>
      <c r="L41" s="8">
        <f>IF($H41=0,"",(E41-$H41)/$H41)</f>
        <v>0.42876712328767125</v>
      </c>
      <c r="M41" s="8">
        <f>IF($H41=0,"",(F41-$H41)/$H41)</f>
        <v>0.12465753424657536</v>
      </c>
      <c r="N41" s="8">
        <f>IF($H41=0,"",(G41-$H41)/$H41)</f>
        <v>0.0</v>
      </c>
      <c r="O41" s="9">
        <f>IF(ABS(C41-$H41)&lt;=1E-9,1,0)</f>
        <v>0</v>
      </c>
      <c r="P41" s="9">
        <f>IF(ABS(D41-$H41)&lt;=1E-9,1,0)</f>
        <v>0</v>
      </c>
      <c r="Q41" s="9">
        <f>IF(ABS(E41-$H41)&lt;=1E-9,1,0)</f>
        <v>0</v>
      </c>
      <c r="R41" s="9">
        <f>IF(ABS(F41-$H41)&lt;=1E-9,1,0)</f>
        <v>0</v>
      </c>
      <c r="S41" s="9">
        <f>IF(ABS(G41-$H41)&lt;=1E-9,1,0)</f>
        <v>1</v>
      </c>
      <c r="T41" s="6" t="s">
        <v>26</v>
      </c>
    </row>
    <row r="42" spans="1:20">
      <c r="A42" s="6" t="s">
        <v>92</v>
      </c>
      <c r="B42" s="3">
        <v>200</v>
      </c>
      <c r="C42" s="7">
        <v>45</v>
      </c>
      <c r="D42" s="7">
        <v>45</v>
      </c>
      <c r="E42" s="7">
        <v>47</v>
      </c>
      <c r="F42" s="7">
        <v>54</v>
      </c>
      <c r="G42" s="7">
        <v>41</v>
      </c>
      <c r="H42" s="7">
        <f>MIN(C42:G42)</f>
        <v>41.0</v>
      </c>
      <c r="I42" s="6" t="s">
        <v>26</v>
      </c>
      <c r="J42" s="8">
        <f>IF($H42=0,"",(C42-$H42)/$H42)</f>
        <v>0.0975609756097561</v>
      </c>
      <c r="K42" s="8">
        <f>IF($H42=0,"",(D42-$H42)/$H42)</f>
        <v>0.0975609756097561</v>
      </c>
      <c r="L42" s="8">
        <f>IF($H42=0,"",(E42-$H42)/$H42)</f>
        <v>0.14634146341463414</v>
      </c>
      <c r="M42" s="8">
        <f>IF($H42=0,"",(F42-$H42)/$H42)</f>
        <v>0.3170731707317073</v>
      </c>
      <c r="N42" s="8">
        <f>IF($H42=0,"",(G42-$H42)/$H42)</f>
        <v>0.0</v>
      </c>
      <c r="O42" s="9">
        <f>IF(ABS(C42-$H42)&lt;=1E-9,1,0)</f>
        <v>0</v>
      </c>
      <c r="P42" s="9">
        <f>IF(ABS(D42-$H42)&lt;=1E-9,1,0)</f>
        <v>0</v>
      </c>
      <c r="Q42" s="9">
        <f>IF(ABS(E42-$H42)&lt;=1E-9,1,0)</f>
        <v>0</v>
      </c>
      <c r="R42" s="9">
        <f>IF(ABS(F42-$H42)&lt;=1E-9,1,0)</f>
        <v>0</v>
      </c>
      <c r="S42" s="9">
        <f>IF(ABS(G42-$H42)&lt;=1E-9,1,0)</f>
        <v>1</v>
      </c>
      <c r="T42" s="6" t="s">
        <v>26</v>
      </c>
    </row>
    <row r="43" spans="1:20">
      <c r="A43" s="6" t="s">
        <v>93</v>
      </c>
      <c r="B43" s="3">
        <v>200</v>
      </c>
      <c r="C43" s="7">
        <v>45</v>
      </c>
      <c r="D43" s="7">
        <v>46</v>
      </c>
      <c r="E43" s="7">
        <v>48</v>
      </c>
      <c r="F43" s="7">
        <v>50</v>
      </c>
      <c r="G43" s="7">
        <v>40</v>
      </c>
      <c r="H43" s="7">
        <f>MIN(C43:G43)</f>
        <v>40.0</v>
      </c>
      <c r="I43" s="6" t="s">
        <v>26</v>
      </c>
      <c r="J43" s="8">
        <f>IF($H43=0,"",(C43-$H43)/$H43)</f>
        <v>0.125</v>
      </c>
      <c r="K43" s="8">
        <f>IF($H43=0,"",(D43-$H43)/$H43)</f>
        <v>0.15</v>
      </c>
      <c r="L43" s="8">
        <f>IF($H43=0,"",(E43-$H43)/$H43)</f>
        <v>0.2</v>
      </c>
      <c r="M43" s="8">
        <f>IF($H43=0,"",(F43-$H43)/$H43)</f>
        <v>0.25</v>
      </c>
      <c r="N43" s="8">
        <f>IF($H43=0,"",(G43-$H43)/$H43)</f>
        <v>0.0</v>
      </c>
      <c r="O43" s="9">
        <f>IF(ABS(C43-$H43)&lt;=1E-9,1,0)</f>
        <v>0</v>
      </c>
      <c r="P43" s="9">
        <f>IF(ABS(D43-$H43)&lt;=1E-9,1,0)</f>
        <v>0</v>
      </c>
      <c r="Q43" s="9">
        <f>IF(ABS(E43-$H43)&lt;=1E-9,1,0)</f>
        <v>0</v>
      </c>
      <c r="R43" s="9">
        <f>IF(ABS(F43-$H43)&lt;=1E-9,1,0)</f>
        <v>0</v>
      </c>
      <c r="S43" s="9">
        <f>IF(ABS(G43-$H43)&lt;=1E-9,1,0)</f>
        <v>1</v>
      </c>
      <c r="T43" s="6" t="s">
        <v>26</v>
      </c>
    </row>
    <row r="44" spans="1:20">
      <c r="A44" s="6" t="s">
        <v>94</v>
      </c>
      <c r="B44" s="3">
        <v>200</v>
      </c>
      <c r="C44" s="7">
        <v>807</v>
      </c>
      <c r="D44" s="7">
        <v>826</v>
      </c>
      <c r="E44" s="7">
        <v>839</v>
      </c>
      <c r="F44" s="7">
        <v>696</v>
      </c>
      <c r="G44" s="7">
        <v>530</v>
      </c>
      <c r="H44" s="7">
        <f>MIN(C44:G44)</f>
        <v>530.0</v>
      </c>
      <c r="I44" s="6" t="s">
        <v>26</v>
      </c>
      <c r="J44" s="8">
        <f>IF($H44=0,"",(C44-$H44)/$H44)</f>
        <v>0.5226415094339623</v>
      </c>
      <c r="K44" s="8">
        <f>IF($H44=0,"",(D44-$H44)/$H44)</f>
        <v>0.5584905660377358</v>
      </c>
      <c r="L44" s="8">
        <f>IF($H44=0,"",(E44-$H44)/$H44)</f>
        <v>0.5830188679245283</v>
      </c>
      <c r="M44" s="8">
        <f>IF($H44=0,"",(F44-$H44)/$H44)</f>
        <v>0.3132075471698113</v>
      </c>
      <c r="N44" s="8">
        <f>IF($H44=0,"",(G44-$H44)/$H44)</f>
        <v>0.0</v>
      </c>
      <c r="O44" s="9">
        <f>IF(ABS(C44-$H44)&lt;=1E-9,1,0)</f>
        <v>0</v>
      </c>
      <c r="P44" s="9">
        <f>IF(ABS(D44-$H44)&lt;=1E-9,1,0)</f>
        <v>0</v>
      </c>
      <c r="Q44" s="9">
        <f>IF(ABS(E44-$H44)&lt;=1E-9,1,0)</f>
        <v>0</v>
      </c>
      <c r="R44" s="9">
        <f>IF(ABS(F44-$H44)&lt;=1E-9,1,0)</f>
        <v>0</v>
      </c>
      <c r="S44" s="9">
        <f>IF(ABS(G44-$H44)&lt;=1E-9,1,0)</f>
        <v>1</v>
      </c>
      <c r="T44" s="6" t="s">
        <v>26</v>
      </c>
    </row>
    <row r="45" spans="1:20">
      <c r="A45" s="6" t="s">
        <v>95</v>
      </c>
      <c r="B45" s="3">
        <v>200</v>
      </c>
      <c r="C45" s="7">
        <v>842</v>
      </c>
      <c r="D45" s="7">
        <v>849</v>
      </c>
      <c r="E45" s="7">
        <v>875</v>
      </c>
      <c r="F45" s="7">
        <v>705</v>
      </c>
      <c r="G45" s="7">
        <v>562</v>
      </c>
      <c r="H45" s="7">
        <f>MIN(C45:G45)</f>
        <v>562.0</v>
      </c>
      <c r="I45" s="6" t="s">
        <v>26</v>
      </c>
      <c r="J45" s="8">
        <f>IF($H45=0,"",(C45-$H45)/$H45)</f>
        <v>0.498220640569395</v>
      </c>
      <c r="K45" s="8">
        <f>IF($H45=0,"",(D45-$H45)/$H45)</f>
        <v>0.5106761565836299</v>
      </c>
      <c r="L45" s="8">
        <f>IF($H45=0,"",(E45-$H45)/$H45)</f>
        <v>0.5569395017793595</v>
      </c>
      <c r="M45" s="8">
        <f>IF($H45=0,"",(F45-$H45)/$H45)</f>
        <v>0.25444839857651247</v>
      </c>
      <c r="N45" s="8">
        <f>IF($H45=0,"",(G45-$H45)/$H45)</f>
        <v>0.0</v>
      </c>
      <c r="O45" s="9">
        <f>IF(ABS(C45-$H45)&lt;=1E-9,1,0)</f>
        <v>0</v>
      </c>
      <c r="P45" s="9">
        <f>IF(ABS(D45-$H45)&lt;=1E-9,1,0)</f>
        <v>0</v>
      </c>
      <c r="Q45" s="9">
        <f>IF(ABS(E45-$H45)&lt;=1E-9,1,0)</f>
        <v>0</v>
      </c>
      <c r="R45" s="9">
        <f>IF(ABS(F45-$H45)&lt;=1E-9,1,0)</f>
        <v>0</v>
      </c>
      <c r="S45" s="9">
        <f>IF(ABS(G45-$H45)&lt;=1E-9,1,0)</f>
        <v>1</v>
      </c>
      <c r="T45" s="6" t="s">
        <v>26</v>
      </c>
    </row>
    <row r="46" spans="1:20">
      <c r="A46" s="6" t="s">
        <v>96</v>
      </c>
      <c r="B46" s="3">
        <v>200</v>
      </c>
      <c r="C46" s="7">
        <v>35</v>
      </c>
      <c r="D46" s="7">
        <v>34</v>
      </c>
      <c r="E46" s="7">
        <v>37</v>
      </c>
      <c r="F46" s="7">
        <v>48</v>
      </c>
      <c r="G46" s="7">
        <v>34</v>
      </c>
      <c r="H46" s="7">
        <f>MIN(C46:G46)</f>
        <v>34.0</v>
      </c>
      <c r="I46" s="6" t="s">
        <v>97</v>
      </c>
      <c r="J46" s="8">
        <f>IF($H46=0,"",(C46-$H46)/$H46)</f>
        <v>0.02941176470588235</v>
      </c>
      <c r="K46" s="8">
        <f>IF($H46=0,"",(D46-$H46)/$H46)</f>
        <v>0.0</v>
      </c>
      <c r="L46" s="8">
        <f>IF($H46=0,"",(E46-$H46)/$H46)</f>
        <v>0.08823529411764706</v>
      </c>
      <c r="M46" s="8">
        <f>IF($H46=0,"",(F46-$H46)/$H46)</f>
        <v>0.4117647058823529</v>
      </c>
      <c r="N46" s="8">
        <f>IF($H46=0,"",(G46-$H46)/$H46)</f>
        <v>0.0</v>
      </c>
      <c r="O46" s="9">
        <f>IF(ABS(C46-$H46)&lt;=1E-9,1,0)</f>
        <v>0</v>
      </c>
      <c r="P46" s="9">
        <f>IF(ABS(D46-$H46)&lt;=1E-9,1,0)</f>
        <v>1</v>
      </c>
      <c r="Q46" s="9">
        <f>IF(ABS(E46-$H46)&lt;=1E-9,1,0)</f>
        <v>0</v>
      </c>
      <c r="R46" s="9">
        <f>IF(ABS(F46-$H46)&lt;=1E-9,1,0)</f>
        <v>0</v>
      </c>
      <c r="S46" s="9">
        <f>IF(ABS(G46-$H46)&lt;=1E-9,1,0)</f>
        <v>1</v>
      </c>
      <c r="T46" s="6" t="s">
        <v>51</v>
      </c>
    </row>
    <row r="47" spans="1:20">
      <c r="A47" s="6" t="s">
        <v>98</v>
      </c>
      <c r="B47" s="3">
        <v>200</v>
      </c>
      <c r="C47" s="7">
        <v>35</v>
      </c>
      <c r="D47" s="7">
        <v>35</v>
      </c>
      <c r="E47" s="7">
        <v>38</v>
      </c>
      <c r="F47" s="7">
        <v>50</v>
      </c>
      <c r="G47" s="7">
        <v>34</v>
      </c>
      <c r="H47" s="7">
        <f>MIN(C47:G47)</f>
        <v>34.0</v>
      </c>
      <c r="I47" s="6" t="s">
        <v>26</v>
      </c>
      <c r="J47" s="8">
        <f>IF($H47=0,"",(C47-$H47)/$H47)</f>
        <v>0.02941176470588235</v>
      </c>
      <c r="K47" s="8">
        <f>IF($H47=0,"",(D47-$H47)/$H47)</f>
        <v>0.02941176470588235</v>
      </c>
      <c r="L47" s="8">
        <f>IF($H47=0,"",(E47-$H47)/$H47)</f>
        <v>0.1176470588235294</v>
      </c>
      <c r="M47" s="8">
        <f>IF($H47=0,"",(F47-$H47)/$H47)</f>
        <v>0.4705882352941176</v>
      </c>
      <c r="N47" s="8">
        <f>IF($H47=0,"",(G47-$H47)/$H47)</f>
        <v>0.0</v>
      </c>
      <c r="O47" s="9">
        <f>IF(ABS(C47-$H47)&lt;=1E-9,1,0)</f>
        <v>0</v>
      </c>
      <c r="P47" s="9">
        <f>IF(ABS(D47-$H47)&lt;=1E-9,1,0)</f>
        <v>0</v>
      </c>
      <c r="Q47" s="9">
        <f>IF(ABS(E47-$H47)&lt;=1E-9,1,0)</f>
        <v>0</v>
      </c>
      <c r="R47" s="9">
        <f>IF(ABS(F47-$H47)&lt;=1E-9,1,0)</f>
        <v>0</v>
      </c>
      <c r="S47" s="9">
        <f>IF(ABS(G47-$H47)&lt;=1E-9,1,0)</f>
        <v>1</v>
      </c>
      <c r="T47" s="6" t="s">
        <v>26</v>
      </c>
    </row>
    <row r="48" spans="1:20">
      <c r="A48" s="6" t="s">
        <v>99</v>
      </c>
      <c r="B48" s="3">
        <v>200</v>
      </c>
      <c r="C48" s="7">
        <v>718</v>
      </c>
      <c r="D48" s="7">
        <v>734</v>
      </c>
      <c r="E48" s="7">
        <v>766</v>
      </c>
      <c r="F48" s="7">
        <v>689</v>
      </c>
      <c r="G48" s="7">
        <v>518</v>
      </c>
      <c r="H48" s="7">
        <f>MIN(C48:G48)</f>
        <v>518.0</v>
      </c>
      <c r="I48" s="6" t="s">
        <v>26</v>
      </c>
      <c r="J48" s="8">
        <f>IF($H48=0,"",(C48-$H48)/$H48)</f>
        <v>0.38610038610038605</v>
      </c>
      <c r="K48" s="8">
        <f>IF($H48=0,"",(D48-$H48)/$H48)</f>
        <v>0.416988416988417</v>
      </c>
      <c r="L48" s="8">
        <f>IF($H48=0,"",(E48-$H48)/$H48)</f>
        <v>0.47876447876447875</v>
      </c>
      <c r="M48" s="8">
        <f>IF($H48=0,"",(F48-$H48)/$H48)</f>
        <v>0.3301158301158301</v>
      </c>
      <c r="N48" s="8">
        <f>IF($H48=0,"",(G48-$H48)/$H48)</f>
        <v>0.0</v>
      </c>
      <c r="O48" s="9">
        <f>IF(ABS(C48-$H48)&lt;=1E-9,1,0)</f>
        <v>0</v>
      </c>
      <c r="P48" s="9">
        <f>IF(ABS(D48-$H48)&lt;=1E-9,1,0)</f>
        <v>0</v>
      </c>
      <c r="Q48" s="9">
        <f>IF(ABS(E48-$H48)&lt;=1E-9,1,0)</f>
        <v>0</v>
      </c>
      <c r="R48" s="9">
        <f>IF(ABS(F48-$H48)&lt;=1E-9,1,0)</f>
        <v>0</v>
      </c>
      <c r="S48" s="9">
        <f>IF(ABS(G48-$H48)&lt;=1E-9,1,0)</f>
        <v>1</v>
      </c>
      <c r="T48" s="6" t="s">
        <v>26</v>
      </c>
    </row>
    <row r="49" spans="1:20">
      <c r="A49" s="6" t="s">
        <v>100</v>
      </c>
      <c r="B49" s="3">
        <v>200</v>
      </c>
      <c r="C49" s="7">
        <v>772</v>
      </c>
      <c r="D49" s="7">
        <v>761</v>
      </c>
      <c r="E49" s="7">
        <v>815</v>
      </c>
      <c r="F49" s="7">
        <v>715</v>
      </c>
      <c r="G49" s="7">
        <v>546</v>
      </c>
      <c r="H49" s="7">
        <f>MIN(C49:G49)</f>
        <v>546.0</v>
      </c>
      <c r="I49" s="6" t="s">
        <v>26</v>
      </c>
      <c r="J49" s="8">
        <f>IF($H49=0,"",(C49-$H49)/$H49)</f>
        <v>0.4139194139194139</v>
      </c>
      <c r="K49" s="8">
        <f>IF($H49=0,"",(D49-$H49)/$H49)</f>
        <v>0.3937728937728938</v>
      </c>
      <c r="L49" s="8">
        <f>IF($H49=0,"",(E49-$H49)/$H49)</f>
        <v>0.4926739926739927</v>
      </c>
      <c r="M49" s="8">
        <f>IF($H49=0,"",(F49-$H49)/$H49)</f>
        <v>0.30952380952380953</v>
      </c>
      <c r="N49" s="8">
        <f>IF($H49=0,"",(G49-$H49)/$H49)</f>
        <v>0.0</v>
      </c>
      <c r="O49" s="9">
        <f>IF(ABS(C49-$H49)&lt;=1E-9,1,0)</f>
        <v>0</v>
      </c>
      <c r="P49" s="9">
        <f>IF(ABS(D49-$H49)&lt;=1E-9,1,0)</f>
        <v>0</v>
      </c>
      <c r="Q49" s="9">
        <f>IF(ABS(E49-$H49)&lt;=1E-9,1,0)</f>
        <v>0</v>
      </c>
      <c r="R49" s="9">
        <f>IF(ABS(F49-$H49)&lt;=1E-9,1,0)</f>
        <v>0</v>
      </c>
      <c r="S49" s="9">
        <f>IF(ABS(G49-$H49)&lt;=1E-9,1,0)</f>
        <v>1</v>
      </c>
      <c r="T49" s="6" t="s">
        <v>26</v>
      </c>
    </row>
    <row r="50" spans="1:20">
      <c r="A50" s="6" t="s">
        <v>101</v>
      </c>
      <c r="B50" s="3">
        <v>200</v>
      </c>
      <c r="C50" s="7">
        <v>72</v>
      </c>
      <c r="D50" s="7">
        <v>74</v>
      </c>
      <c r="E50" s="7">
        <v>73</v>
      </c>
      <c r="F50" s="7">
        <v>67</v>
      </c>
      <c r="G50" s="7">
        <v>62</v>
      </c>
      <c r="H50" s="7">
        <f>MIN(C50:G50)</f>
        <v>62.0</v>
      </c>
      <c r="I50" s="6" t="s">
        <v>26</v>
      </c>
      <c r="J50" s="8">
        <f>IF($H50=0,"",(C50-$H50)/$H50)</f>
        <v>0.16129032258064516</v>
      </c>
      <c r="K50" s="8">
        <f>IF($H50=0,"",(D50-$H50)/$H50)</f>
        <v>0.1935483870967742</v>
      </c>
      <c r="L50" s="8">
        <f>IF($H50=0,"",(E50-$H50)/$H50)</f>
        <v>0.1774193548387097</v>
      </c>
      <c r="M50" s="8">
        <f>IF($H50=0,"",(F50-$H50)/$H50)</f>
        <v>0.08064516129032258</v>
      </c>
      <c r="N50" s="8">
        <f>IF($H50=0,"",(G50-$H50)/$H50)</f>
        <v>0.0</v>
      </c>
      <c r="O50" s="9">
        <f>IF(ABS(C50-$H50)&lt;=1E-9,1,0)</f>
        <v>0</v>
      </c>
      <c r="P50" s="9">
        <f>IF(ABS(D50-$H50)&lt;=1E-9,1,0)</f>
        <v>0</v>
      </c>
      <c r="Q50" s="9">
        <f>IF(ABS(E50-$H50)&lt;=1E-9,1,0)</f>
        <v>0</v>
      </c>
      <c r="R50" s="9">
        <f>IF(ABS(F50-$H50)&lt;=1E-9,1,0)</f>
        <v>0</v>
      </c>
      <c r="S50" s="9">
        <f>IF(ABS(G50-$H50)&lt;=1E-9,1,0)</f>
        <v>1</v>
      </c>
      <c r="T50" s="6" t="s">
        <v>26</v>
      </c>
    </row>
    <row r="51" spans="1:20">
      <c r="A51" s="6" t="s">
        <v>102</v>
      </c>
      <c r="B51" s="3">
        <v>200</v>
      </c>
      <c r="C51" s="7">
        <v>68</v>
      </c>
      <c r="D51" s="7">
        <v>68</v>
      </c>
      <c r="E51" s="7">
        <v>68</v>
      </c>
      <c r="F51" s="7">
        <v>62</v>
      </c>
      <c r="G51" s="7">
        <v>61</v>
      </c>
      <c r="H51" s="7">
        <f>MIN(C51:G51)</f>
        <v>61.0</v>
      </c>
      <c r="I51" s="6" t="s">
        <v>26</v>
      </c>
      <c r="J51" s="8">
        <f>IF($H51=0,"",(C51-$H51)/$H51)</f>
        <v>0.11475409836065573</v>
      </c>
      <c r="K51" s="8">
        <f>IF($H51=0,"",(D51-$H51)/$H51)</f>
        <v>0.11475409836065573</v>
      </c>
      <c r="L51" s="8">
        <f>IF($H51=0,"",(E51-$H51)/$H51)</f>
        <v>0.11475409836065573</v>
      </c>
      <c r="M51" s="8">
        <f>IF($H51=0,"",(F51-$H51)/$H51)</f>
        <v>0.01639344262295082</v>
      </c>
      <c r="N51" s="8">
        <f>IF($H51=0,"",(G51-$H51)/$H51)</f>
        <v>0.0</v>
      </c>
      <c r="O51" s="9">
        <f>IF(ABS(C51-$H51)&lt;=1E-9,1,0)</f>
        <v>0</v>
      </c>
      <c r="P51" s="9">
        <f>IF(ABS(D51-$H51)&lt;=1E-9,1,0)</f>
        <v>0</v>
      </c>
      <c r="Q51" s="9">
        <f>IF(ABS(E51-$H51)&lt;=1E-9,1,0)</f>
        <v>0</v>
      </c>
      <c r="R51" s="9">
        <f>IF(ABS(F51-$H51)&lt;=1E-9,1,0)</f>
        <v>0</v>
      </c>
      <c r="S51" s="9">
        <f>IF(ABS(G51-$H51)&lt;=1E-9,1,0)</f>
        <v>1</v>
      </c>
      <c r="T51" s="6" t="s">
        <v>26</v>
      </c>
    </row>
    <row r="52" spans="1:20">
      <c r="A52" s="6" t="s">
        <v>103</v>
      </c>
      <c r="B52" s="3">
        <v>200</v>
      </c>
      <c r="C52" s="7">
        <v>1097</v>
      </c>
      <c r="D52" s="7">
        <v>1110</v>
      </c>
      <c r="E52" s="7">
        <v>1093</v>
      </c>
      <c r="F52" s="7">
        <v>817</v>
      </c>
      <c r="G52" s="7">
        <v>746</v>
      </c>
      <c r="H52" s="7">
        <f>MIN(C52:G52)</f>
        <v>746.0</v>
      </c>
      <c r="I52" s="6" t="s">
        <v>26</v>
      </c>
      <c r="J52" s="8">
        <f>IF($H52=0,"",(C52-$H52)/$H52)</f>
        <v>0.47050938337801607</v>
      </c>
      <c r="K52" s="8">
        <f>IF($H52=0,"",(D52-$H52)/$H52)</f>
        <v>0.4879356568364612</v>
      </c>
      <c r="L52" s="8">
        <f>IF($H52=0,"",(E52-$H52)/$H52)</f>
        <v>0.4651474530831099</v>
      </c>
      <c r="M52" s="8">
        <f>IF($H52=0,"",(F52-$H52)/$H52)</f>
        <v>0.09517426273458444</v>
      </c>
      <c r="N52" s="8">
        <f>IF($H52=0,"",(G52-$H52)/$H52)</f>
        <v>0.0</v>
      </c>
      <c r="O52" s="9">
        <f>IF(ABS(C52-$H52)&lt;=1E-9,1,0)</f>
        <v>0</v>
      </c>
      <c r="P52" s="9">
        <f>IF(ABS(D52-$H52)&lt;=1E-9,1,0)</f>
        <v>0</v>
      </c>
      <c r="Q52" s="9">
        <f>IF(ABS(E52-$H52)&lt;=1E-9,1,0)</f>
        <v>0</v>
      </c>
      <c r="R52" s="9">
        <f>IF(ABS(F52-$H52)&lt;=1E-9,1,0)</f>
        <v>0</v>
      </c>
      <c r="S52" s="9">
        <f>IF(ABS(G52-$H52)&lt;=1E-9,1,0)</f>
        <v>1</v>
      </c>
      <c r="T52" s="6" t="s">
        <v>26</v>
      </c>
    </row>
    <row r="53" spans="1:20">
      <c r="A53" s="6" t="s">
        <v>104</v>
      </c>
      <c r="B53" s="3">
        <v>200</v>
      </c>
      <c r="C53" s="7">
        <v>972</v>
      </c>
      <c r="D53" s="7">
        <v>990</v>
      </c>
      <c r="E53" s="7">
        <v>972</v>
      </c>
      <c r="F53" s="7">
        <v>800</v>
      </c>
      <c r="G53" s="7">
        <v>712</v>
      </c>
      <c r="H53" s="7">
        <f>MIN(C53:G53)</f>
        <v>712.0</v>
      </c>
      <c r="I53" s="6" t="s">
        <v>26</v>
      </c>
      <c r="J53" s="8">
        <f>IF($H53=0,"",(C53-$H53)/$H53)</f>
        <v>0.3651685393258427</v>
      </c>
      <c r="K53" s="8">
        <f>IF($H53=0,"",(D53-$H53)/$H53)</f>
        <v>0.39044943820224715</v>
      </c>
      <c r="L53" s="8">
        <f>IF($H53=0,"",(E53-$H53)/$H53)</f>
        <v>0.3651685393258427</v>
      </c>
      <c r="M53" s="8">
        <f>IF($H53=0,"",(F53-$H53)/$H53)</f>
        <v>0.12359550561797752</v>
      </c>
      <c r="N53" s="8">
        <f>IF($H53=0,"",(G53-$H53)/$H53)</f>
        <v>0.0</v>
      </c>
      <c r="O53" s="9">
        <f>IF(ABS(C53-$H53)&lt;=1E-9,1,0)</f>
        <v>0</v>
      </c>
      <c r="P53" s="9">
        <f>IF(ABS(D53-$H53)&lt;=1E-9,1,0)</f>
        <v>0</v>
      </c>
      <c r="Q53" s="9">
        <f>IF(ABS(E53-$H53)&lt;=1E-9,1,0)</f>
        <v>0</v>
      </c>
      <c r="R53" s="9">
        <f>IF(ABS(F53-$H53)&lt;=1E-9,1,0)</f>
        <v>0</v>
      </c>
      <c r="S53" s="9">
        <f>IF(ABS(G53-$H53)&lt;=1E-9,1,0)</f>
        <v>1</v>
      </c>
      <c r="T53" s="6" t="s">
        <v>26</v>
      </c>
    </row>
    <row r="54" spans="1:20">
      <c r="A54" s="6" t="s">
        <v>105</v>
      </c>
      <c r="B54" s="3">
        <v>200</v>
      </c>
      <c r="C54" s="7">
        <v>57</v>
      </c>
      <c r="D54" s="7">
        <v>58</v>
      </c>
      <c r="E54" s="7">
        <v>58</v>
      </c>
      <c r="F54" s="7">
        <v>60</v>
      </c>
      <c r="G54" s="7">
        <v>54</v>
      </c>
      <c r="H54" s="7">
        <f>MIN(C54:G54)</f>
        <v>54.0</v>
      </c>
      <c r="I54" s="6" t="s">
        <v>26</v>
      </c>
      <c r="J54" s="8">
        <f>IF($H54=0,"",(C54-$H54)/$H54)</f>
        <v>0.05555555555555555</v>
      </c>
      <c r="K54" s="8">
        <f>IF($H54=0,"",(D54-$H54)/$H54)</f>
        <v>0.07407407407407407</v>
      </c>
      <c r="L54" s="8">
        <f>IF($H54=0,"",(E54-$H54)/$H54)</f>
        <v>0.07407407407407407</v>
      </c>
      <c r="M54" s="8">
        <f>IF($H54=0,"",(F54-$H54)/$H54)</f>
        <v>0.1111111111111111</v>
      </c>
      <c r="N54" s="8">
        <f>IF($H54=0,"",(G54-$H54)/$H54)</f>
        <v>0.0</v>
      </c>
      <c r="O54" s="9">
        <f>IF(ABS(C54-$H54)&lt;=1E-9,1,0)</f>
        <v>0</v>
      </c>
      <c r="P54" s="9">
        <f>IF(ABS(D54-$H54)&lt;=1E-9,1,0)</f>
        <v>0</v>
      </c>
      <c r="Q54" s="9">
        <f>IF(ABS(E54-$H54)&lt;=1E-9,1,0)</f>
        <v>0</v>
      </c>
      <c r="R54" s="9">
        <f>IF(ABS(F54-$H54)&lt;=1E-9,1,0)</f>
        <v>0</v>
      </c>
      <c r="S54" s="9">
        <f>IF(ABS(G54-$H54)&lt;=1E-9,1,0)</f>
        <v>1</v>
      </c>
      <c r="T54" s="6" t="s">
        <v>26</v>
      </c>
    </row>
    <row r="55" spans="1:20">
      <c r="A55" s="6" t="s">
        <v>106</v>
      </c>
      <c r="B55" s="3">
        <v>200</v>
      </c>
      <c r="C55" s="7">
        <v>56</v>
      </c>
      <c r="D55" s="7">
        <v>57</v>
      </c>
      <c r="E55" s="7">
        <v>58</v>
      </c>
      <c r="F55" s="7">
        <v>59</v>
      </c>
      <c r="G55" s="7">
        <v>53</v>
      </c>
      <c r="H55" s="7">
        <f>MIN(C55:G55)</f>
        <v>53.0</v>
      </c>
      <c r="I55" s="6" t="s">
        <v>26</v>
      </c>
      <c r="J55" s="8">
        <f>IF($H55=0,"",(C55-$H55)/$H55)</f>
        <v>0.05660377358490567</v>
      </c>
      <c r="K55" s="8">
        <f>IF($H55=0,"",(D55-$H55)/$H55)</f>
        <v>0.07547169811320754</v>
      </c>
      <c r="L55" s="8">
        <f>IF($H55=0,"",(E55-$H55)/$H55)</f>
        <v>0.09433962264150944</v>
      </c>
      <c r="M55" s="8">
        <f>IF($H55=0,"",(F55-$H55)/$H55)</f>
        <v>0.11320754716981134</v>
      </c>
      <c r="N55" s="8">
        <f>IF($H55=0,"",(G55-$H55)/$H55)</f>
        <v>0.0</v>
      </c>
      <c r="O55" s="9">
        <f>IF(ABS(C55-$H55)&lt;=1E-9,1,0)</f>
        <v>0</v>
      </c>
      <c r="P55" s="9">
        <f>IF(ABS(D55-$H55)&lt;=1E-9,1,0)</f>
        <v>0</v>
      </c>
      <c r="Q55" s="9">
        <f>IF(ABS(E55-$H55)&lt;=1E-9,1,0)</f>
        <v>0</v>
      </c>
      <c r="R55" s="9">
        <f>IF(ABS(F55-$H55)&lt;=1E-9,1,0)</f>
        <v>0</v>
      </c>
      <c r="S55" s="9">
        <f>IF(ABS(G55-$H55)&lt;=1E-9,1,0)</f>
        <v>1</v>
      </c>
      <c r="T55" s="6" t="s">
        <v>26</v>
      </c>
    </row>
    <row r="56" spans="1:20">
      <c r="A56" s="6" t="s">
        <v>107</v>
      </c>
      <c r="B56" s="3">
        <v>200</v>
      </c>
      <c r="C56" s="7">
        <v>963</v>
      </c>
      <c r="D56" s="7">
        <v>957</v>
      </c>
      <c r="E56" s="7">
        <v>952</v>
      </c>
      <c r="F56" s="7">
        <v>780</v>
      </c>
      <c r="G56" s="7">
        <v>661</v>
      </c>
      <c r="H56" s="7">
        <f>MIN(C56:G56)</f>
        <v>661.0</v>
      </c>
      <c r="I56" s="6" t="s">
        <v>26</v>
      </c>
      <c r="J56" s="8">
        <f>IF($H56=0,"",(C56-$H56)/$H56)</f>
        <v>0.45688350983358544</v>
      </c>
      <c r="K56" s="8">
        <f>IF($H56=0,"",(D56-$H56)/$H56)</f>
        <v>0.44780635400907715</v>
      </c>
      <c r="L56" s="8">
        <f>IF($H56=0,"",(E56-$H56)/$H56)</f>
        <v>0.4402420574886536</v>
      </c>
      <c r="M56" s="8">
        <f>IF($H56=0,"",(F56-$H56)/$H56)</f>
        <v>0.1800302571860817</v>
      </c>
      <c r="N56" s="8">
        <f>IF($H56=0,"",(G56-$H56)/$H56)</f>
        <v>0.0</v>
      </c>
      <c r="O56" s="9">
        <f>IF(ABS(C56-$H56)&lt;=1E-9,1,0)</f>
        <v>0</v>
      </c>
      <c r="P56" s="9">
        <f>IF(ABS(D56-$H56)&lt;=1E-9,1,0)</f>
        <v>0</v>
      </c>
      <c r="Q56" s="9">
        <f>IF(ABS(E56-$H56)&lt;=1E-9,1,0)</f>
        <v>0</v>
      </c>
      <c r="R56" s="9">
        <f>IF(ABS(F56-$H56)&lt;=1E-9,1,0)</f>
        <v>0</v>
      </c>
      <c r="S56" s="9">
        <f>IF(ABS(G56-$H56)&lt;=1E-9,1,0)</f>
        <v>1</v>
      </c>
      <c r="T56" s="6" t="s">
        <v>26</v>
      </c>
    </row>
    <row r="57" spans="1:20">
      <c r="A57" s="6" t="s">
        <v>108</v>
      </c>
      <c r="B57" s="3">
        <v>200</v>
      </c>
      <c r="C57" s="7">
        <v>911</v>
      </c>
      <c r="D57" s="7">
        <v>920</v>
      </c>
      <c r="E57" s="7">
        <v>910</v>
      </c>
      <c r="F57" s="7">
        <v>754</v>
      </c>
      <c r="G57" s="7">
        <v>650</v>
      </c>
      <c r="H57" s="7">
        <f>MIN(C57:G57)</f>
        <v>650.0</v>
      </c>
      <c r="I57" s="6" t="s">
        <v>26</v>
      </c>
      <c r="J57" s="8">
        <f>IF($H57=0,"",(C57-$H57)/$H57)</f>
        <v>0.4015384615384615</v>
      </c>
      <c r="K57" s="8">
        <f>IF($H57=0,"",(D57-$H57)/$H57)</f>
        <v>0.4153846153846154</v>
      </c>
      <c r="L57" s="8">
        <f>IF($H57=0,"",(E57-$H57)/$H57)</f>
        <v>0.4</v>
      </c>
      <c r="M57" s="8">
        <f>IF($H57=0,"",(F57-$H57)/$H57)</f>
        <v>0.16</v>
      </c>
      <c r="N57" s="8">
        <f>IF($H57=0,"",(G57-$H57)/$H57)</f>
        <v>0.0</v>
      </c>
      <c r="O57" s="9">
        <f>IF(ABS(C57-$H57)&lt;=1E-9,1,0)</f>
        <v>0</v>
      </c>
      <c r="P57" s="9">
        <f>IF(ABS(D57-$H57)&lt;=1E-9,1,0)</f>
        <v>0</v>
      </c>
      <c r="Q57" s="9">
        <f>IF(ABS(E57-$H57)&lt;=1E-9,1,0)</f>
        <v>0</v>
      </c>
      <c r="R57" s="9">
        <f>IF(ABS(F57-$H57)&lt;=1E-9,1,0)</f>
        <v>0</v>
      </c>
      <c r="S57" s="9">
        <f>IF(ABS(G57-$H57)&lt;=1E-9,1,0)</f>
        <v>1</v>
      </c>
      <c r="T57" s="6" t="s">
        <v>26</v>
      </c>
    </row>
    <row r="58" spans="1:20">
      <c r="A58" s="6" t="s">
        <v>109</v>
      </c>
      <c r="B58" s="3">
        <v>200</v>
      </c>
      <c r="C58" s="7">
        <v>41</v>
      </c>
      <c r="D58" s="7">
        <v>43</v>
      </c>
      <c r="E58" s="7">
        <v>44</v>
      </c>
      <c r="F58" s="7">
        <v>48</v>
      </c>
      <c r="G58" s="7">
        <v>37</v>
      </c>
      <c r="H58" s="7">
        <f>MIN(C58:G58)</f>
        <v>37.0</v>
      </c>
      <c r="I58" s="6" t="s">
        <v>26</v>
      </c>
      <c r="J58" s="8">
        <f>IF($H58=0,"",(C58-$H58)/$H58)</f>
        <v>0.1081081081081081</v>
      </c>
      <c r="K58" s="8">
        <f>IF($H58=0,"",(D58-$H58)/$H58)</f>
        <v>0.16216216216216217</v>
      </c>
      <c r="L58" s="8">
        <f>IF($H58=0,"",(E58-$H58)/$H58)</f>
        <v>0.1891891891891892</v>
      </c>
      <c r="M58" s="8">
        <f>IF($H58=0,"",(F58-$H58)/$H58)</f>
        <v>0.2972972972972973</v>
      </c>
      <c r="N58" s="8">
        <f>IF($H58=0,"",(G58-$H58)/$H58)</f>
        <v>0.0</v>
      </c>
      <c r="O58" s="9">
        <f>IF(ABS(C58-$H58)&lt;=1E-9,1,0)</f>
        <v>0</v>
      </c>
      <c r="P58" s="9">
        <f>IF(ABS(D58-$H58)&lt;=1E-9,1,0)</f>
        <v>0</v>
      </c>
      <c r="Q58" s="9">
        <f>IF(ABS(E58-$H58)&lt;=1E-9,1,0)</f>
        <v>0</v>
      </c>
      <c r="R58" s="9">
        <f>IF(ABS(F58-$H58)&lt;=1E-9,1,0)</f>
        <v>0</v>
      </c>
      <c r="S58" s="9">
        <f>IF(ABS(G58-$H58)&lt;=1E-9,1,0)</f>
        <v>1</v>
      </c>
      <c r="T58" s="6" t="s">
        <v>26</v>
      </c>
    </row>
    <row r="59" spans="1:20">
      <c r="A59" s="6" t="s">
        <v>110</v>
      </c>
      <c r="B59" s="3">
        <v>200</v>
      </c>
      <c r="C59" s="7">
        <v>42</v>
      </c>
      <c r="D59" s="7">
        <v>43</v>
      </c>
      <c r="E59" s="7">
        <v>43</v>
      </c>
      <c r="F59" s="7">
        <v>48</v>
      </c>
      <c r="G59" s="7">
        <v>37</v>
      </c>
      <c r="H59" s="7">
        <f>MIN(C59:G59)</f>
        <v>37.0</v>
      </c>
      <c r="I59" s="6" t="s">
        <v>26</v>
      </c>
      <c r="J59" s="8">
        <f>IF($H59=0,"",(C59-$H59)/$H59)</f>
        <v>0.13513513513513514</v>
      </c>
      <c r="K59" s="8">
        <f>IF($H59=0,"",(D59-$H59)/$H59)</f>
        <v>0.16216216216216217</v>
      </c>
      <c r="L59" s="8">
        <f>IF($H59=0,"",(E59-$H59)/$H59)</f>
        <v>0.16216216216216217</v>
      </c>
      <c r="M59" s="8">
        <f>IF($H59=0,"",(F59-$H59)/$H59)</f>
        <v>0.2972972972972973</v>
      </c>
      <c r="N59" s="8">
        <f>IF($H59=0,"",(G59-$H59)/$H59)</f>
        <v>0.0</v>
      </c>
      <c r="O59" s="9">
        <f>IF(ABS(C59-$H59)&lt;=1E-9,1,0)</f>
        <v>0</v>
      </c>
      <c r="P59" s="9">
        <f>IF(ABS(D59-$H59)&lt;=1E-9,1,0)</f>
        <v>0</v>
      </c>
      <c r="Q59" s="9">
        <f>IF(ABS(E59-$H59)&lt;=1E-9,1,0)</f>
        <v>0</v>
      </c>
      <c r="R59" s="9">
        <f>IF(ABS(F59-$H59)&lt;=1E-9,1,0)</f>
        <v>0</v>
      </c>
      <c r="S59" s="9">
        <f>IF(ABS(G59-$H59)&lt;=1E-9,1,0)</f>
        <v>1</v>
      </c>
      <c r="T59" s="6" t="s">
        <v>26</v>
      </c>
    </row>
    <row r="60" spans="1:20">
      <c r="A60" s="6" t="s">
        <v>111</v>
      </c>
      <c r="B60" s="3">
        <v>200</v>
      </c>
      <c r="C60" s="7">
        <v>765</v>
      </c>
      <c r="D60" s="7">
        <v>786</v>
      </c>
      <c r="E60" s="7">
        <v>777</v>
      </c>
      <c r="F60" s="7">
        <v>606</v>
      </c>
      <c r="G60" s="7">
        <v>492</v>
      </c>
      <c r="H60" s="7">
        <f>MIN(C60:G60)</f>
        <v>492.0</v>
      </c>
      <c r="I60" s="6" t="s">
        <v>26</v>
      </c>
      <c r="J60" s="8">
        <f>IF($H60=0,"",(C60-$H60)/$H60)</f>
        <v>0.5548780487804879</v>
      </c>
      <c r="K60" s="8">
        <f>IF($H60=0,"",(D60-$H60)/$H60)</f>
        <v>0.5975609756097561</v>
      </c>
      <c r="L60" s="8">
        <f>IF($H60=0,"",(E60-$H60)/$H60)</f>
        <v>0.5792682926829268</v>
      </c>
      <c r="M60" s="8">
        <f>IF($H60=0,"",(F60-$H60)/$H60)</f>
        <v>0.23170731707317074</v>
      </c>
      <c r="N60" s="8">
        <f>IF($H60=0,"",(G60-$H60)/$H60)</f>
        <v>0.0</v>
      </c>
      <c r="O60" s="9">
        <f>IF(ABS(C60-$H60)&lt;=1E-9,1,0)</f>
        <v>0</v>
      </c>
      <c r="P60" s="9">
        <f>IF(ABS(D60-$H60)&lt;=1E-9,1,0)</f>
        <v>0</v>
      </c>
      <c r="Q60" s="9">
        <f>IF(ABS(E60-$H60)&lt;=1E-9,1,0)</f>
        <v>0</v>
      </c>
      <c r="R60" s="9">
        <f>IF(ABS(F60-$H60)&lt;=1E-9,1,0)</f>
        <v>0</v>
      </c>
      <c r="S60" s="9">
        <f>IF(ABS(G60-$H60)&lt;=1E-9,1,0)</f>
        <v>1</v>
      </c>
      <c r="T60" s="6" t="s">
        <v>26</v>
      </c>
    </row>
    <row r="61" spans="1:20">
      <c r="A61" s="6" t="s">
        <v>112</v>
      </c>
      <c r="B61" s="3">
        <v>200</v>
      </c>
      <c r="C61" s="7">
        <v>774</v>
      </c>
      <c r="D61" s="7">
        <v>793</v>
      </c>
      <c r="E61" s="7">
        <v>778</v>
      </c>
      <c r="F61" s="7">
        <v>631</v>
      </c>
      <c r="G61" s="7">
        <v>515</v>
      </c>
      <c r="H61" s="7">
        <f>MIN(C61:G61)</f>
        <v>515.0</v>
      </c>
      <c r="I61" s="6" t="s">
        <v>26</v>
      </c>
      <c r="J61" s="8">
        <f>IF($H61=0,"",(C61-$H61)/$H61)</f>
        <v>0.5029126213592233</v>
      </c>
      <c r="K61" s="8">
        <f>IF($H61=0,"",(D61-$H61)/$H61)</f>
        <v>0.5398058252427185</v>
      </c>
      <c r="L61" s="8">
        <f>IF($H61=0,"",(E61-$H61)/$H61)</f>
        <v>0.5106796116504855</v>
      </c>
      <c r="M61" s="8">
        <f>IF($H61=0,"",(F61-$H61)/$H61)</f>
        <v>0.2252427184466019</v>
      </c>
      <c r="N61" s="8">
        <f>IF($H61=0,"",(G61-$H61)/$H61)</f>
        <v>0.0</v>
      </c>
      <c r="O61" s="9">
        <f>IF(ABS(C61-$H61)&lt;=1E-9,1,0)</f>
        <v>0</v>
      </c>
      <c r="P61" s="9">
        <f>IF(ABS(D61-$H61)&lt;=1E-9,1,0)</f>
        <v>0</v>
      </c>
      <c r="Q61" s="9">
        <f>IF(ABS(E61-$H61)&lt;=1E-9,1,0)</f>
        <v>0</v>
      </c>
      <c r="R61" s="9">
        <f>IF(ABS(F61-$H61)&lt;=1E-9,1,0)</f>
        <v>0</v>
      </c>
      <c r="S61" s="9">
        <f>IF(ABS(G61-$H61)&lt;=1E-9,1,0)</f>
        <v>1</v>
      </c>
      <c r="T61" s="6" t="s">
        <v>26</v>
      </c>
    </row>
    <row r="62" spans="1:20">
      <c r="A62" s="6" t="s">
        <v>113</v>
      </c>
      <c r="B62" s="3">
        <v>200</v>
      </c>
      <c r="C62" s="7">
        <v>35</v>
      </c>
      <c r="D62" s="7">
        <v>34</v>
      </c>
      <c r="E62" s="7">
        <v>37</v>
      </c>
      <c r="F62" s="7">
        <v>47</v>
      </c>
      <c r="G62" s="7">
        <v>32</v>
      </c>
      <c r="H62" s="7">
        <f>MIN(C62:G62)</f>
        <v>32.0</v>
      </c>
      <c r="I62" s="6" t="s">
        <v>26</v>
      </c>
      <c r="J62" s="8">
        <f>IF($H62=0,"",(C62-$H62)/$H62)</f>
        <v>0.09375</v>
      </c>
      <c r="K62" s="8">
        <f>IF($H62=0,"",(D62-$H62)/$H62)</f>
        <v>0.0625</v>
      </c>
      <c r="L62" s="8">
        <f>IF($H62=0,"",(E62-$H62)/$H62)</f>
        <v>0.15625</v>
      </c>
      <c r="M62" s="8">
        <f>IF($H62=0,"",(F62-$H62)/$H62)</f>
        <v>0.46875</v>
      </c>
      <c r="N62" s="8">
        <f>IF($H62=0,"",(G62-$H62)/$H62)</f>
        <v>0.0</v>
      </c>
      <c r="O62" s="9">
        <f>IF(ABS(C62-$H62)&lt;=1E-9,1,0)</f>
        <v>0</v>
      </c>
      <c r="P62" s="9">
        <f>IF(ABS(D62-$H62)&lt;=1E-9,1,0)</f>
        <v>0</v>
      </c>
      <c r="Q62" s="9">
        <f>IF(ABS(E62-$H62)&lt;=1E-9,1,0)</f>
        <v>0</v>
      </c>
      <c r="R62" s="9">
        <f>IF(ABS(F62-$H62)&lt;=1E-9,1,0)</f>
        <v>0</v>
      </c>
      <c r="S62" s="9">
        <f>IF(ABS(G62-$H62)&lt;=1E-9,1,0)</f>
        <v>1</v>
      </c>
      <c r="T62" s="6" t="s">
        <v>26</v>
      </c>
    </row>
    <row r="63" spans="1:20">
      <c r="A63" s="6" t="s">
        <v>114</v>
      </c>
      <c r="B63" s="3">
        <v>200</v>
      </c>
      <c r="C63" s="7">
        <v>34</v>
      </c>
      <c r="D63" s="7">
        <v>34</v>
      </c>
      <c r="E63" s="7">
        <v>39</v>
      </c>
      <c r="F63" s="7">
        <v>45</v>
      </c>
      <c r="G63" s="7">
        <v>32</v>
      </c>
      <c r="H63" s="7">
        <f>MIN(C63:G63)</f>
        <v>32.0</v>
      </c>
      <c r="I63" s="6" t="s">
        <v>26</v>
      </c>
      <c r="J63" s="8">
        <f>IF($H63=0,"",(C63-$H63)/$H63)</f>
        <v>0.0625</v>
      </c>
      <c r="K63" s="8">
        <f>IF($H63=0,"",(D63-$H63)/$H63)</f>
        <v>0.0625</v>
      </c>
      <c r="L63" s="8">
        <f>IF($H63=0,"",(E63-$H63)/$H63)</f>
        <v>0.21875</v>
      </c>
      <c r="M63" s="8">
        <f>IF($H63=0,"",(F63-$H63)/$H63)</f>
        <v>0.40625</v>
      </c>
      <c r="N63" s="8">
        <f>IF($H63=0,"",(G63-$H63)/$H63)</f>
        <v>0.0</v>
      </c>
      <c r="O63" s="9">
        <f>IF(ABS(C63-$H63)&lt;=1E-9,1,0)</f>
        <v>0</v>
      </c>
      <c r="P63" s="9">
        <f>IF(ABS(D63-$H63)&lt;=1E-9,1,0)</f>
        <v>0</v>
      </c>
      <c r="Q63" s="9">
        <f>IF(ABS(E63-$H63)&lt;=1E-9,1,0)</f>
        <v>0</v>
      </c>
      <c r="R63" s="9">
        <f>IF(ABS(F63-$H63)&lt;=1E-9,1,0)</f>
        <v>0</v>
      </c>
      <c r="S63" s="9">
        <f>IF(ABS(G63-$H63)&lt;=1E-9,1,0)</f>
        <v>1</v>
      </c>
      <c r="T63" s="6" t="s">
        <v>26</v>
      </c>
    </row>
    <row r="64" spans="1:20">
      <c r="A64" s="6" t="s">
        <v>115</v>
      </c>
      <c r="B64" s="3">
        <v>200</v>
      </c>
      <c r="C64" s="7">
        <v>713</v>
      </c>
      <c r="D64" s="7">
        <v>705</v>
      </c>
      <c r="E64" s="7">
        <v>727</v>
      </c>
      <c r="F64" s="7">
        <v>655</v>
      </c>
      <c r="G64" s="7">
        <v>488</v>
      </c>
      <c r="H64" s="7">
        <f>MIN(C64:G64)</f>
        <v>488.0</v>
      </c>
      <c r="I64" s="6" t="s">
        <v>26</v>
      </c>
      <c r="J64" s="8">
        <f>IF($H64=0,"",(C64-$H64)/$H64)</f>
        <v>0.4610655737704918</v>
      </c>
      <c r="K64" s="8">
        <f>IF($H64=0,"",(D64-$H64)/$H64)</f>
        <v>0.444672131147541</v>
      </c>
      <c r="L64" s="8">
        <f>IF($H64=0,"",(E64-$H64)/$H64)</f>
        <v>0.48975409836065575</v>
      </c>
      <c r="M64" s="8">
        <f>IF($H64=0,"",(F64-$H64)/$H64)</f>
        <v>0.34221311475409844</v>
      </c>
      <c r="N64" s="8">
        <f>IF($H64=0,"",(G64-$H64)/$H64)</f>
        <v>0.0</v>
      </c>
      <c r="O64" s="9">
        <f>IF(ABS(C64-$H64)&lt;=1E-9,1,0)</f>
        <v>0</v>
      </c>
      <c r="P64" s="9">
        <f>IF(ABS(D64-$H64)&lt;=1E-9,1,0)</f>
        <v>0</v>
      </c>
      <c r="Q64" s="9">
        <f>IF(ABS(E64-$H64)&lt;=1E-9,1,0)</f>
        <v>0</v>
      </c>
      <c r="R64" s="9">
        <f>IF(ABS(F64-$H64)&lt;=1E-9,1,0)</f>
        <v>0</v>
      </c>
      <c r="S64" s="9">
        <f>IF(ABS(G64-$H64)&lt;=1E-9,1,0)</f>
        <v>1</v>
      </c>
      <c r="T64" s="6" t="s">
        <v>26</v>
      </c>
    </row>
    <row r="65" spans="1:20">
      <c r="A65" s="6" t="s">
        <v>116</v>
      </c>
      <c r="B65" s="3">
        <v>200</v>
      </c>
      <c r="C65" s="7">
        <v>690</v>
      </c>
      <c r="D65" s="7">
        <v>688</v>
      </c>
      <c r="E65" s="7">
        <v>704</v>
      </c>
      <c r="F65" s="7">
        <v>608</v>
      </c>
      <c r="G65" s="7">
        <v>476</v>
      </c>
      <c r="H65" s="7">
        <f>MIN(C65:G65)</f>
        <v>476.0</v>
      </c>
      <c r="I65" s="6" t="s">
        <v>26</v>
      </c>
      <c r="J65" s="8">
        <f>IF($H65=0,"",(C65-$H65)/$H65)</f>
        <v>0.4495798319327731</v>
      </c>
      <c r="K65" s="8">
        <f>IF($H65=0,"",(D65-$H65)/$H65)</f>
        <v>0.44537815126050423</v>
      </c>
      <c r="L65" s="8">
        <f>IF($H65=0,"",(E65-$H65)/$H65)</f>
        <v>0.4789915966386555</v>
      </c>
      <c r="M65" s="8">
        <f>IF($H65=0,"",(F65-$H65)/$H65)</f>
        <v>0.2773109243697479</v>
      </c>
      <c r="N65" s="8">
        <f>IF($H65=0,"",(G65-$H65)/$H65)</f>
        <v>0.0</v>
      </c>
      <c r="O65" s="9">
        <f>IF(ABS(C65-$H65)&lt;=1E-9,1,0)</f>
        <v>0</v>
      </c>
      <c r="P65" s="9">
        <f>IF(ABS(D65-$H65)&lt;=1E-9,1,0)</f>
        <v>0</v>
      </c>
      <c r="Q65" s="9">
        <f>IF(ABS(E65-$H65)&lt;=1E-9,1,0)</f>
        <v>0</v>
      </c>
      <c r="R65" s="9">
        <f>IF(ABS(F65-$H65)&lt;=1E-9,1,0)</f>
        <v>0</v>
      </c>
      <c r="S65" s="9">
        <f>IF(ABS(G65-$H65)&lt;=1E-9,1,0)</f>
        <v>1</v>
      </c>
      <c r="T65" s="6" t="s">
        <v>26</v>
      </c>
    </row>
    <row r="66" spans="1:20">
      <c r="A66" s="6" t="s">
        <v>117</v>
      </c>
      <c r="B66" s="3">
        <v>25</v>
      </c>
      <c r="C66" s="7">
        <v>11</v>
      </c>
      <c r="D66" s="7">
        <v>11</v>
      </c>
      <c r="E66" s="7">
        <v>11</v>
      </c>
      <c r="F66" s="7">
        <v>10</v>
      </c>
      <c r="G66" s="7">
        <v>10</v>
      </c>
      <c r="H66" s="7">
        <f>MIN(C66:G66)</f>
        <v>10.0</v>
      </c>
      <c r="I66" s="6" t="s">
        <v>50</v>
      </c>
      <c r="J66" s="8">
        <f>IF($H66=0,"",(C66-$H66)/$H66)</f>
        <v>0.1</v>
      </c>
      <c r="K66" s="8">
        <f>IF($H66=0,"",(D66-$H66)/$H66)</f>
        <v>0.1</v>
      </c>
      <c r="L66" s="8">
        <f>IF($H66=0,"",(E66-$H66)/$H66)</f>
        <v>0.1</v>
      </c>
      <c r="M66" s="8">
        <f>IF($H66=0,"",(F66-$H66)/$H66)</f>
        <v>0.0</v>
      </c>
      <c r="N66" s="8">
        <f>IF($H66=0,"",(G66-$H66)/$H66)</f>
        <v>0.0</v>
      </c>
      <c r="O66" s="9">
        <f>IF(ABS(C66-$H66)&lt;=1E-9,1,0)</f>
        <v>0</v>
      </c>
      <c r="P66" s="9">
        <f>IF(ABS(D66-$H66)&lt;=1E-9,1,0)</f>
        <v>0</v>
      </c>
      <c r="Q66" s="9">
        <f>IF(ABS(E66-$H66)&lt;=1E-9,1,0)</f>
        <v>0</v>
      </c>
      <c r="R66" s="9">
        <f>IF(ABS(F66-$H66)&lt;=1E-9,1,0)</f>
        <v>1</v>
      </c>
      <c r="S66" s="9">
        <f>IF(ABS(G66-$H66)&lt;=1E-9,1,0)</f>
        <v>1</v>
      </c>
      <c r="T66" s="6" t="s">
        <v>51</v>
      </c>
    </row>
    <row r="67" spans="1:20">
      <c r="A67" s="6" t="s">
        <v>118</v>
      </c>
      <c r="B67" s="3">
        <v>25</v>
      </c>
      <c r="C67" s="7">
        <v>11</v>
      </c>
      <c r="D67" s="7">
        <v>12</v>
      </c>
      <c r="E67" s="7">
        <v>12</v>
      </c>
      <c r="F67" s="7">
        <v>12</v>
      </c>
      <c r="G67" s="7">
        <v>11</v>
      </c>
      <c r="H67" s="7">
        <f>MIN(C67:G67)</f>
        <v>11.0</v>
      </c>
      <c r="I67" s="6" t="s">
        <v>119</v>
      </c>
      <c r="J67" s="8">
        <f>IF($H67=0,"",(C67-$H67)/$H67)</f>
        <v>0.0</v>
      </c>
      <c r="K67" s="8">
        <f>IF($H67=0,"",(D67-$H67)/$H67)</f>
        <v>0.09090909090909091</v>
      </c>
      <c r="L67" s="8">
        <f>IF($H67=0,"",(E67-$H67)/$H67)</f>
        <v>0.09090909090909091</v>
      </c>
      <c r="M67" s="8">
        <f>IF($H67=0,"",(F67-$H67)/$H67)</f>
        <v>0.09090909090909091</v>
      </c>
      <c r="N67" s="8">
        <f>IF($H67=0,"",(G67-$H67)/$H67)</f>
        <v>0.0</v>
      </c>
      <c r="O67" s="9">
        <f>IF(ABS(C67-$H67)&lt;=1E-9,1,0)</f>
        <v>1</v>
      </c>
      <c r="P67" s="9">
        <f>IF(ABS(D67-$H67)&lt;=1E-9,1,0)</f>
        <v>0</v>
      </c>
      <c r="Q67" s="9">
        <f>IF(ABS(E67-$H67)&lt;=1E-9,1,0)</f>
        <v>0</v>
      </c>
      <c r="R67" s="9">
        <f>IF(ABS(F67-$H67)&lt;=1E-9,1,0)</f>
        <v>0</v>
      </c>
      <c r="S67" s="9">
        <f>IF(ABS(G67-$H67)&lt;=1E-9,1,0)</f>
        <v>1</v>
      </c>
      <c r="T67" s="6" t="s">
        <v>51</v>
      </c>
    </row>
    <row r="68" spans="1:20">
      <c r="A68" s="6" t="s">
        <v>120</v>
      </c>
      <c r="B68" s="3">
        <v>25</v>
      </c>
      <c r="C68" s="7">
        <v>190</v>
      </c>
      <c r="D68" s="7">
        <v>174</v>
      </c>
      <c r="E68" s="7">
        <v>190</v>
      </c>
      <c r="F68" s="7">
        <v>174</v>
      </c>
      <c r="G68" s="7">
        <v>164</v>
      </c>
      <c r="H68" s="7">
        <f>MIN(C68:G68)</f>
        <v>164.0</v>
      </c>
      <c r="I68" s="6" t="s">
        <v>26</v>
      </c>
      <c r="J68" s="8">
        <f>IF($H68=0,"",(C68-$H68)/$H68)</f>
        <v>0.15853658536585366</v>
      </c>
      <c r="K68" s="8">
        <f>IF($H68=0,"",(D68-$H68)/$H68)</f>
        <v>0.06097560975609756</v>
      </c>
      <c r="L68" s="8">
        <f>IF($H68=0,"",(E68-$H68)/$H68)</f>
        <v>0.15853658536585366</v>
      </c>
      <c r="M68" s="8">
        <f>IF($H68=0,"",(F68-$H68)/$H68)</f>
        <v>0.06097560975609756</v>
      </c>
      <c r="N68" s="8">
        <f>IF($H68=0,"",(G68-$H68)/$H68)</f>
        <v>0.0</v>
      </c>
      <c r="O68" s="9">
        <f>IF(ABS(C68-$H68)&lt;=1E-9,1,0)</f>
        <v>0</v>
      </c>
      <c r="P68" s="9">
        <f>IF(ABS(D68-$H68)&lt;=1E-9,1,0)</f>
        <v>0</v>
      </c>
      <c r="Q68" s="9">
        <f>IF(ABS(E68-$H68)&lt;=1E-9,1,0)</f>
        <v>0</v>
      </c>
      <c r="R68" s="9">
        <f>IF(ABS(F68-$H68)&lt;=1E-9,1,0)</f>
        <v>0</v>
      </c>
      <c r="S68" s="9">
        <f>IF(ABS(G68-$H68)&lt;=1E-9,1,0)</f>
        <v>1</v>
      </c>
      <c r="T68" s="6" t="s">
        <v>26</v>
      </c>
    </row>
    <row r="69" spans="1:20">
      <c r="A69" s="6" t="s">
        <v>121</v>
      </c>
      <c r="B69" s="3">
        <v>25</v>
      </c>
      <c r="C69" s="7">
        <v>195</v>
      </c>
      <c r="D69" s="7">
        <v>195</v>
      </c>
      <c r="E69" s="7">
        <v>197</v>
      </c>
      <c r="F69" s="7">
        <v>170</v>
      </c>
      <c r="G69" s="7">
        <v>160</v>
      </c>
      <c r="H69" s="7">
        <f>MIN(C69:G69)</f>
        <v>160.0</v>
      </c>
      <c r="I69" s="6" t="s">
        <v>26</v>
      </c>
      <c r="J69" s="8">
        <f>IF($H69=0,"",(C69-$H69)/$H69)</f>
        <v>0.21875</v>
      </c>
      <c r="K69" s="8">
        <f>IF($H69=0,"",(D69-$H69)/$H69)</f>
        <v>0.21875</v>
      </c>
      <c r="L69" s="8">
        <f>IF($H69=0,"",(E69-$H69)/$H69)</f>
        <v>0.23125</v>
      </c>
      <c r="M69" s="8">
        <f>IF($H69=0,"",(F69-$H69)/$H69)</f>
        <v>0.0625</v>
      </c>
      <c r="N69" s="8">
        <f>IF($H69=0,"",(G69-$H69)/$H69)</f>
        <v>0.0</v>
      </c>
      <c r="O69" s="9">
        <f>IF(ABS(C69-$H69)&lt;=1E-9,1,0)</f>
        <v>0</v>
      </c>
      <c r="P69" s="9">
        <f>IF(ABS(D69-$H69)&lt;=1E-9,1,0)</f>
        <v>0</v>
      </c>
      <c r="Q69" s="9">
        <f>IF(ABS(E69-$H69)&lt;=1E-9,1,0)</f>
        <v>0</v>
      </c>
      <c r="R69" s="9">
        <f>IF(ABS(F69-$H69)&lt;=1E-9,1,0)</f>
        <v>0</v>
      </c>
      <c r="S69" s="9">
        <f>IF(ABS(G69-$H69)&lt;=1E-9,1,0)</f>
        <v>1</v>
      </c>
      <c r="T69" s="6" t="s">
        <v>26</v>
      </c>
    </row>
    <row r="70" spans="1:20">
      <c r="A70" s="6" t="s">
        <v>122</v>
      </c>
      <c r="B70" s="3">
        <v>25</v>
      </c>
      <c r="C70" s="7">
        <v>7</v>
      </c>
      <c r="D70" s="7">
        <v>8</v>
      </c>
      <c r="E70" s="7">
        <v>8</v>
      </c>
      <c r="F70" s="7">
        <v>9</v>
      </c>
      <c r="G70" s="7">
        <v>7</v>
      </c>
      <c r="H70" s="7">
        <f>MIN(C70:G70)</f>
        <v>7.0</v>
      </c>
      <c r="I70" s="6" t="s">
        <v>119</v>
      </c>
      <c r="J70" s="8">
        <f>IF($H70=0,"",(C70-$H70)/$H70)</f>
        <v>0.0</v>
      </c>
      <c r="K70" s="8">
        <f>IF($H70=0,"",(D70-$H70)/$H70)</f>
        <v>0.14285714285714285</v>
      </c>
      <c r="L70" s="8">
        <f>IF($H70=0,"",(E70-$H70)/$H70)</f>
        <v>0.14285714285714285</v>
      </c>
      <c r="M70" s="8">
        <f>IF($H70=0,"",(F70-$H70)/$H70)</f>
        <v>0.2857142857142857</v>
      </c>
      <c r="N70" s="8">
        <f>IF($H70=0,"",(G70-$H70)/$H70)</f>
        <v>0.0</v>
      </c>
      <c r="O70" s="9">
        <f>IF(ABS(C70-$H70)&lt;=1E-9,1,0)</f>
        <v>1</v>
      </c>
      <c r="P70" s="9">
        <f>IF(ABS(D70-$H70)&lt;=1E-9,1,0)</f>
        <v>0</v>
      </c>
      <c r="Q70" s="9">
        <f>IF(ABS(E70-$H70)&lt;=1E-9,1,0)</f>
        <v>0</v>
      </c>
      <c r="R70" s="9">
        <f>IF(ABS(F70-$H70)&lt;=1E-9,1,0)</f>
        <v>0</v>
      </c>
      <c r="S70" s="9">
        <f>IF(ABS(G70-$H70)&lt;=1E-9,1,0)</f>
        <v>1</v>
      </c>
      <c r="T70" s="6" t="s">
        <v>51</v>
      </c>
    </row>
    <row r="71" spans="1:20">
      <c r="A71" s="6" t="s">
        <v>123</v>
      </c>
      <c r="B71" s="3">
        <v>25</v>
      </c>
      <c r="C71" s="7">
        <v>9</v>
      </c>
      <c r="D71" s="7">
        <v>8</v>
      </c>
      <c r="E71" s="7">
        <v>9</v>
      </c>
      <c r="F71" s="7">
        <v>10</v>
      </c>
      <c r="G71" s="7">
        <v>8</v>
      </c>
      <c r="H71" s="7">
        <f>MIN(C71:G71)</f>
        <v>8.0</v>
      </c>
      <c r="I71" s="6" t="s">
        <v>97</v>
      </c>
      <c r="J71" s="8">
        <f>IF($H71=0,"",(C71-$H71)/$H71)</f>
        <v>0.125</v>
      </c>
      <c r="K71" s="8">
        <f>IF($H71=0,"",(D71-$H71)/$H71)</f>
        <v>0.0</v>
      </c>
      <c r="L71" s="8">
        <f>IF($H71=0,"",(E71-$H71)/$H71)</f>
        <v>0.125</v>
      </c>
      <c r="M71" s="8">
        <f>IF($H71=0,"",(F71-$H71)/$H71)</f>
        <v>0.25</v>
      </c>
      <c r="N71" s="8">
        <f>IF($H71=0,"",(G71-$H71)/$H71)</f>
        <v>0.0</v>
      </c>
      <c r="O71" s="9">
        <f>IF(ABS(C71-$H71)&lt;=1E-9,1,0)</f>
        <v>0</v>
      </c>
      <c r="P71" s="9">
        <f>IF(ABS(D71-$H71)&lt;=1E-9,1,0)</f>
        <v>1</v>
      </c>
      <c r="Q71" s="9">
        <f>IF(ABS(E71-$H71)&lt;=1E-9,1,0)</f>
        <v>0</v>
      </c>
      <c r="R71" s="9">
        <f>IF(ABS(F71-$H71)&lt;=1E-9,1,0)</f>
        <v>0</v>
      </c>
      <c r="S71" s="9">
        <f>IF(ABS(G71-$H71)&lt;=1E-9,1,0)</f>
        <v>1</v>
      </c>
      <c r="T71" s="6" t="s">
        <v>51</v>
      </c>
    </row>
    <row r="72" spans="1:20">
      <c r="A72" s="6" t="s">
        <v>124</v>
      </c>
      <c r="B72" s="3">
        <v>25</v>
      </c>
      <c r="C72" s="7">
        <v>160</v>
      </c>
      <c r="D72" s="7">
        <v>162</v>
      </c>
      <c r="E72" s="7">
        <v>162</v>
      </c>
      <c r="F72" s="7">
        <v>174</v>
      </c>
      <c r="G72" s="7">
        <v>154</v>
      </c>
      <c r="H72" s="7">
        <f>MIN(C72:G72)</f>
        <v>154.0</v>
      </c>
      <c r="I72" s="6" t="s">
        <v>26</v>
      </c>
      <c r="J72" s="8">
        <f>IF($H72=0,"",(C72-$H72)/$H72)</f>
        <v>0.03896103896103896</v>
      </c>
      <c r="K72" s="8">
        <f>IF($H72=0,"",(D72-$H72)/$H72)</f>
        <v>0.051948051948051945</v>
      </c>
      <c r="L72" s="8">
        <f>IF($H72=0,"",(E72-$H72)/$H72)</f>
        <v>0.051948051948051945</v>
      </c>
      <c r="M72" s="8">
        <f>IF($H72=0,"",(F72-$H72)/$H72)</f>
        <v>0.12987012987012986</v>
      </c>
      <c r="N72" s="8">
        <f>IF($H72=0,"",(G72-$H72)/$H72)</f>
        <v>0.0</v>
      </c>
      <c r="O72" s="9">
        <f>IF(ABS(C72-$H72)&lt;=1E-9,1,0)</f>
        <v>0</v>
      </c>
      <c r="P72" s="9">
        <f>IF(ABS(D72-$H72)&lt;=1E-9,1,0)</f>
        <v>0</v>
      </c>
      <c r="Q72" s="9">
        <f>IF(ABS(E72-$H72)&lt;=1E-9,1,0)</f>
        <v>0</v>
      </c>
      <c r="R72" s="9">
        <f>IF(ABS(F72-$H72)&lt;=1E-9,1,0)</f>
        <v>0</v>
      </c>
      <c r="S72" s="9">
        <f>IF(ABS(G72-$H72)&lt;=1E-9,1,0)</f>
        <v>1</v>
      </c>
      <c r="T72" s="6" t="s">
        <v>26</v>
      </c>
    </row>
    <row r="73" spans="1:20">
      <c r="A73" s="6" t="s">
        <v>125</v>
      </c>
      <c r="B73" s="3">
        <v>25</v>
      </c>
      <c r="C73" s="7">
        <v>162</v>
      </c>
      <c r="D73" s="7">
        <v>164</v>
      </c>
      <c r="E73" s="7">
        <v>155</v>
      </c>
      <c r="F73" s="7">
        <v>154</v>
      </c>
      <c r="G73" s="7">
        <v>144</v>
      </c>
      <c r="H73" s="7">
        <f>MIN(C73:G73)</f>
        <v>144.0</v>
      </c>
      <c r="I73" s="6" t="s">
        <v>26</v>
      </c>
      <c r="J73" s="8">
        <f>IF($H73=0,"",(C73-$H73)/$H73)</f>
        <v>0.125</v>
      </c>
      <c r="K73" s="8">
        <f>IF($H73=0,"",(D73-$H73)/$H73)</f>
        <v>0.1388888888888889</v>
      </c>
      <c r="L73" s="8">
        <f>IF($H73=0,"",(E73-$H73)/$H73)</f>
        <v>0.0763888888888889</v>
      </c>
      <c r="M73" s="8">
        <f>IF($H73=0,"",(F73-$H73)/$H73)</f>
        <v>0.06944444444444445</v>
      </c>
      <c r="N73" s="8">
        <f>IF($H73=0,"",(G73-$H73)/$H73)</f>
        <v>0.0</v>
      </c>
      <c r="O73" s="9">
        <f>IF(ABS(C73-$H73)&lt;=1E-9,1,0)</f>
        <v>0</v>
      </c>
      <c r="P73" s="9">
        <f>IF(ABS(D73-$H73)&lt;=1E-9,1,0)</f>
        <v>0</v>
      </c>
      <c r="Q73" s="9">
        <f>IF(ABS(E73-$H73)&lt;=1E-9,1,0)</f>
        <v>0</v>
      </c>
      <c r="R73" s="9">
        <f>IF(ABS(F73-$H73)&lt;=1E-9,1,0)</f>
        <v>0</v>
      </c>
      <c r="S73" s="9">
        <f>IF(ABS(G73-$H73)&lt;=1E-9,1,0)</f>
        <v>1</v>
      </c>
      <c r="T73" s="6" t="s">
        <v>26</v>
      </c>
    </row>
    <row r="74" spans="1:20">
      <c r="A74" s="6" t="s">
        <v>126</v>
      </c>
      <c r="B74" s="3">
        <v>25</v>
      </c>
      <c r="C74" s="7">
        <v>7</v>
      </c>
      <c r="D74" s="7">
        <v>8</v>
      </c>
      <c r="E74" s="7">
        <v>7</v>
      </c>
      <c r="F74" s="7">
        <v>9</v>
      </c>
      <c r="G74" s="7">
        <v>7</v>
      </c>
      <c r="H74" s="7">
        <f>MIN(C74:G74)</f>
        <v>7.0</v>
      </c>
      <c r="I74" s="6" t="s">
        <v>127</v>
      </c>
      <c r="J74" s="8">
        <f>IF($H74=0,"",(C74-$H74)/$H74)</f>
        <v>0.0</v>
      </c>
      <c r="K74" s="8">
        <f>IF($H74=0,"",(D74-$H74)/$H74)</f>
        <v>0.14285714285714285</v>
      </c>
      <c r="L74" s="8">
        <f>IF($H74=0,"",(E74-$H74)/$H74)</f>
        <v>0.0</v>
      </c>
      <c r="M74" s="8">
        <f>IF($H74=0,"",(F74-$H74)/$H74)</f>
        <v>0.2857142857142857</v>
      </c>
      <c r="N74" s="8">
        <f>IF($H74=0,"",(G74-$H74)/$H74)</f>
        <v>0.0</v>
      </c>
      <c r="O74" s="9">
        <f>IF(ABS(C74-$H74)&lt;=1E-9,1,0)</f>
        <v>1</v>
      </c>
      <c r="P74" s="9">
        <f>IF(ABS(D74-$H74)&lt;=1E-9,1,0)</f>
        <v>0</v>
      </c>
      <c r="Q74" s="9">
        <f>IF(ABS(E74-$H74)&lt;=1E-9,1,0)</f>
        <v>1</v>
      </c>
      <c r="R74" s="9">
        <f>IF(ABS(F74-$H74)&lt;=1E-9,1,0)</f>
        <v>0</v>
      </c>
      <c r="S74" s="9">
        <f>IF(ABS(G74-$H74)&lt;=1E-9,1,0)</f>
        <v>1</v>
      </c>
      <c r="T74" s="6" t="s">
        <v>51</v>
      </c>
    </row>
    <row r="75" spans="1:20">
      <c r="A75" s="6" t="s">
        <v>128</v>
      </c>
      <c r="B75" s="3">
        <v>25</v>
      </c>
      <c r="C75" s="7">
        <v>8</v>
      </c>
      <c r="D75" s="7">
        <v>8</v>
      </c>
      <c r="E75" s="7">
        <v>8</v>
      </c>
      <c r="F75" s="7">
        <v>9</v>
      </c>
      <c r="G75" s="7">
        <v>7</v>
      </c>
      <c r="H75" s="7">
        <f>MIN(C75:G75)</f>
        <v>7.0</v>
      </c>
      <c r="I75" s="6" t="s">
        <v>26</v>
      </c>
      <c r="J75" s="8">
        <f>IF($H75=0,"",(C75-$H75)/$H75)</f>
        <v>0.14285714285714285</v>
      </c>
      <c r="K75" s="8">
        <f>IF($H75=0,"",(D75-$H75)/$H75)</f>
        <v>0.14285714285714285</v>
      </c>
      <c r="L75" s="8">
        <f>IF($H75=0,"",(E75-$H75)/$H75)</f>
        <v>0.14285714285714285</v>
      </c>
      <c r="M75" s="8">
        <f>IF($H75=0,"",(F75-$H75)/$H75)</f>
        <v>0.2857142857142857</v>
      </c>
      <c r="N75" s="8">
        <f>IF($H75=0,"",(G75-$H75)/$H75)</f>
        <v>0.0</v>
      </c>
      <c r="O75" s="9">
        <f>IF(ABS(C75-$H75)&lt;=1E-9,1,0)</f>
        <v>0</v>
      </c>
      <c r="P75" s="9">
        <f>IF(ABS(D75-$H75)&lt;=1E-9,1,0)</f>
        <v>0</v>
      </c>
      <c r="Q75" s="9">
        <f>IF(ABS(E75-$H75)&lt;=1E-9,1,0)</f>
        <v>0</v>
      </c>
      <c r="R75" s="9">
        <f>IF(ABS(F75-$H75)&lt;=1E-9,1,0)</f>
        <v>0</v>
      </c>
      <c r="S75" s="9">
        <f>IF(ABS(G75-$H75)&lt;=1E-9,1,0)</f>
        <v>1</v>
      </c>
      <c r="T75" s="6" t="s">
        <v>26</v>
      </c>
    </row>
    <row r="76" spans="1:20">
      <c r="A76" s="6" t="s">
        <v>129</v>
      </c>
      <c r="B76" s="3">
        <v>25</v>
      </c>
      <c r="C76" s="7">
        <v>134</v>
      </c>
      <c r="D76" s="7">
        <v>145</v>
      </c>
      <c r="E76" s="7">
        <v>134</v>
      </c>
      <c r="F76" s="7">
        <v>145</v>
      </c>
      <c r="G76" s="7">
        <v>125</v>
      </c>
      <c r="H76" s="7">
        <f>MIN(C76:G76)</f>
        <v>125.0</v>
      </c>
      <c r="I76" s="6" t="s">
        <v>26</v>
      </c>
      <c r="J76" s="8">
        <f>IF($H76=0,"",(C76-$H76)/$H76)</f>
        <v>0.072</v>
      </c>
      <c r="K76" s="8">
        <f>IF($H76=0,"",(D76-$H76)/$H76)</f>
        <v>0.16</v>
      </c>
      <c r="L76" s="8">
        <f>IF($H76=0,"",(E76-$H76)/$H76)</f>
        <v>0.072</v>
      </c>
      <c r="M76" s="8">
        <f>IF($H76=0,"",(F76-$H76)/$H76)</f>
        <v>0.16</v>
      </c>
      <c r="N76" s="8">
        <f>IF($H76=0,"",(G76-$H76)/$H76)</f>
        <v>0.0</v>
      </c>
      <c r="O76" s="9">
        <f>IF(ABS(C76-$H76)&lt;=1E-9,1,0)</f>
        <v>0</v>
      </c>
      <c r="P76" s="9">
        <f>IF(ABS(D76-$H76)&lt;=1E-9,1,0)</f>
        <v>0</v>
      </c>
      <c r="Q76" s="9">
        <f>IF(ABS(E76-$H76)&lt;=1E-9,1,0)</f>
        <v>0</v>
      </c>
      <c r="R76" s="9">
        <f>IF(ABS(F76-$H76)&lt;=1E-9,1,0)</f>
        <v>0</v>
      </c>
      <c r="S76" s="9">
        <f>IF(ABS(G76-$H76)&lt;=1E-9,1,0)</f>
        <v>1</v>
      </c>
      <c r="T76" s="6" t="s">
        <v>26</v>
      </c>
    </row>
    <row r="77" spans="1:20">
      <c r="A77" s="6" t="s">
        <v>130</v>
      </c>
      <c r="B77" s="3">
        <v>25</v>
      </c>
      <c r="C77" s="7">
        <v>152</v>
      </c>
      <c r="D77" s="7">
        <v>152</v>
      </c>
      <c r="E77" s="7">
        <v>152</v>
      </c>
      <c r="F77" s="7">
        <v>142</v>
      </c>
      <c r="G77" s="7">
        <v>126</v>
      </c>
      <c r="H77" s="7">
        <f>MIN(C77:G77)</f>
        <v>126.0</v>
      </c>
      <c r="I77" s="6" t="s">
        <v>26</v>
      </c>
      <c r="J77" s="8">
        <f>IF($H77=0,"",(C77-$H77)/$H77)</f>
        <v>0.20634920634920634</v>
      </c>
      <c r="K77" s="8">
        <f>IF($H77=0,"",(D77-$H77)/$H77)</f>
        <v>0.20634920634920634</v>
      </c>
      <c r="L77" s="8">
        <f>IF($H77=0,"",(E77-$H77)/$H77)</f>
        <v>0.20634920634920634</v>
      </c>
      <c r="M77" s="8">
        <f>IF($H77=0,"",(F77-$H77)/$H77)</f>
        <v>0.12698412698412698</v>
      </c>
      <c r="N77" s="8">
        <f>IF($H77=0,"",(G77-$H77)/$H77)</f>
        <v>0.0</v>
      </c>
      <c r="O77" s="9">
        <f>IF(ABS(C77-$H77)&lt;=1E-9,1,0)</f>
        <v>0</v>
      </c>
      <c r="P77" s="9">
        <f>IF(ABS(D77-$H77)&lt;=1E-9,1,0)</f>
        <v>0</v>
      </c>
      <c r="Q77" s="9">
        <f>IF(ABS(E77-$H77)&lt;=1E-9,1,0)</f>
        <v>0</v>
      </c>
      <c r="R77" s="9">
        <f>IF(ABS(F77-$H77)&lt;=1E-9,1,0)</f>
        <v>0</v>
      </c>
      <c r="S77" s="9">
        <f>IF(ABS(G77-$H77)&lt;=1E-9,1,0)</f>
        <v>1</v>
      </c>
      <c r="T77" s="6" t="s">
        <v>26</v>
      </c>
    </row>
    <row r="78" spans="1:20">
      <c r="A78" s="6" t="s">
        <v>131</v>
      </c>
      <c r="B78" s="3">
        <v>25</v>
      </c>
      <c r="C78" s="7">
        <v>6</v>
      </c>
      <c r="D78" s="7">
        <v>7</v>
      </c>
      <c r="E78" s="7">
        <v>7</v>
      </c>
      <c r="F78" s="7">
        <v>8</v>
      </c>
      <c r="G78" s="7">
        <v>6</v>
      </c>
      <c r="H78" s="7">
        <f>MIN(C78:G78)</f>
        <v>6.0</v>
      </c>
      <c r="I78" s="6" t="s">
        <v>119</v>
      </c>
      <c r="J78" s="8">
        <f>IF($H78=0,"",(C78-$H78)/$H78)</f>
        <v>0.0</v>
      </c>
      <c r="K78" s="8">
        <f>IF($H78=0,"",(D78-$H78)/$H78)</f>
        <v>0.16666666666666663</v>
      </c>
      <c r="L78" s="8">
        <f>IF($H78=0,"",(E78-$H78)/$H78)</f>
        <v>0.16666666666666663</v>
      </c>
      <c r="M78" s="8">
        <f>IF($H78=0,"",(F78-$H78)/$H78)</f>
        <v>0.33333333333333326</v>
      </c>
      <c r="N78" s="8">
        <f>IF($H78=0,"",(G78-$H78)/$H78)</f>
        <v>0.0</v>
      </c>
      <c r="O78" s="9">
        <f>IF(ABS(C78-$H78)&lt;=1E-9,1,0)</f>
        <v>1</v>
      </c>
      <c r="P78" s="9">
        <f>IF(ABS(D78-$H78)&lt;=1E-9,1,0)</f>
        <v>0</v>
      </c>
      <c r="Q78" s="9">
        <f>IF(ABS(E78-$H78)&lt;=1E-9,1,0)</f>
        <v>0</v>
      </c>
      <c r="R78" s="9">
        <f>IF(ABS(F78-$H78)&lt;=1E-9,1,0)</f>
        <v>0</v>
      </c>
      <c r="S78" s="9">
        <f>IF(ABS(G78-$H78)&lt;=1E-9,1,0)</f>
        <v>1</v>
      </c>
      <c r="T78" s="6" t="s">
        <v>51</v>
      </c>
    </row>
    <row r="79" spans="1:20">
      <c r="A79" s="6" t="s">
        <v>132</v>
      </c>
      <c r="B79" s="3">
        <v>25</v>
      </c>
      <c r="C79" s="7">
        <v>7</v>
      </c>
      <c r="D79" s="7">
        <v>7</v>
      </c>
      <c r="E79" s="7">
        <v>7</v>
      </c>
      <c r="F79" s="7">
        <v>8</v>
      </c>
      <c r="G79" s="7">
        <v>7</v>
      </c>
      <c r="H79" s="7">
        <f>MIN(C79:G79)</f>
        <v>7.0</v>
      </c>
      <c r="I79" s="6" t="s">
        <v>133</v>
      </c>
      <c r="J79" s="8">
        <f>IF($H79=0,"",(C79-$H79)/$H79)</f>
        <v>0.0</v>
      </c>
      <c r="K79" s="8">
        <f>IF($H79=0,"",(D79-$H79)/$H79)</f>
        <v>0.0</v>
      </c>
      <c r="L79" s="8">
        <f>IF($H79=0,"",(E79-$H79)/$H79)</f>
        <v>0.0</v>
      </c>
      <c r="M79" s="8">
        <f>IF($H79=0,"",(F79-$H79)/$H79)</f>
        <v>0.14285714285714285</v>
      </c>
      <c r="N79" s="8">
        <f>IF($H79=0,"",(G79-$H79)/$H79)</f>
        <v>0.0</v>
      </c>
      <c r="O79" s="9">
        <f>IF(ABS(C79-$H79)&lt;=1E-9,1,0)</f>
        <v>1</v>
      </c>
      <c r="P79" s="9">
        <f>IF(ABS(D79-$H79)&lt;=1E-9,1,0)</f>
        <v>1</v>
      </c>
      <c r="Q79" s="9">
        <f>IF(ABS(E79-$H79)&lt;=1E-9,1,0)</f>
        <v>1</v>
      </c>
      <c r="R79" s="9">
        <f>IF(ABS(F79-$H79)&lt;=1E-9,1,0)</f>
        <v>0</v>
      </c>
      <c r="S79" s="9">
        <f>IF(ABS(G79-$H79)&lt;=1E-9,1,0)</f>
        <v>1</v>
      </c>
      <c r="T79" s="6" t="s">
        <v>51</v>
      </c>
    </row>
    <row r="80" spans="1:20">
      <c r="A80" s="6" t="s">
        <v>134</v>
      </c>
      <c r="B80" s="3">
        <v>25</v>
      </c>
      <c r="C80" s="7">
        <v>122</v>
      </c>
      <c r="D80" s="7">
        <v>134</v>
      </c>
      <c r="E80" s="7">
        <v>130</v>
      </c>
      <c r="F80" s="7">
        <v>134</v>
      </c>
      <c r="G80" s="7">
        <v>119</v>
      </c>
      <c r="H80" s="7">
        <f>MIN(C80:G80)</f>
        <v>119.0</v>
      </c>
      <c r="I80" s="6" t="s">
        <v>26</v>
      </c>
      <c r="J80" s="8">
        <f>IF($H80=0,"",(C80-$H80)/$H80)</f>
        <v>0.025210084033613446</v>
      </c>
      <c r="K80" s="8">
        <f>IF($H80=0,"",(D80-$H80)/$H80)</f>
        <v>0.12605042016806722</v>
      </c>
      <c r="L80" s="8">
        <f>IF($H80=0,"",(E80-$H80)/$H80)</f>
        <v>0.09243697478991597</v>
      </c>
      <c r="M80" s="8">
        <f>IF($H80=0,"",(F80-$H80)/$H80)</f>
        <v>0.12605042016806722</v>
      </c>
      <c r="N80" s="8">
        <f>IF($H80=0,"",(G80-$H80)/$H80)</f>
        <v>0.0</v>
      </c>
      <c r="O80" s="9">
        <f>IF(ABS(C80-$H80)&lt;=1E-9,1,0)</f>
        <v>0</v>
      </c>
      <c r="P80" s="9">
        <f>IF(ABS(D80-$H80)&lt;=1E-9,1,0)</f>
        <v>0</v>
      </c>
      <c r="Q80" s="9">
        <f>IF(ABS(E80-$H80)&lt;=1E-9,1,0)</f>
        <v>0</v>
      </c>
      <c r="R80" s="9">
        <f>IF(ABS(F80-$H80)&lt;=1E-9,1,0)</f>
        <v>0</v>
      </c>
      <c r="S80" s="9">
        <f>IF(ABS(G80-$H80)&lt;=1E-9,1,0)</f>
        <v>1</v>
      </c>
      <c r="T80" s="6" t="s">
        <v>26</v>
      </c>
    </row>
    <row r="81" spans="1:20">
      <c r="A81" s="6" t="s">
        <v>135</v>
      </c>
      <c r="B81" s="3">
        <v>25</v>
      </c>
      <c r="C81" s="7">
        <v>143</v>
      </c>
      <c r="D81" s="7">
        <v>140</v>
      </c>
      <c r="E81" s="7">
        <v>130</v>
      </c>
      <c r="F81" s="7">
        <v>136</v>
      </c>
      <c r="G81" s="7">
        <v>120</v>
      </c>
      <c r="H81" s="7">
        <f>MIN(C81:G81)</f>
        <v>120.0</v>
      </c>
      <c r="I81" s="6" t="s">
        <v>26</v>
      </c>
      <c r="J81" s="8">
        <f>IF($H81=0,"",(C81-$H81)/$H81)</f>
        <v>0.19166666666666668</v>
      </c>
      <c r="K81" s="8">
        <f>IF($H81=0,"",(D81-$H81)/$H81)</f>
        <v>0.16666666666666663</v>
      </c>
      <c r="L81" s="8">
        <f>IF($H81=0,"",(E81-$H81)/$H81)</f>
        <v>0.08333333333333331</v>
      </c>
      <c r="M81" s="8">
        <f>IF($H81=0,"",(F81-$H81)/$H81)</f>
        <v>0.13333333333333333</v>
      </c>
      <c r="N81" s="8">
        <f>IF($H81=0,"",(G81-$H81)/$H81)</f>
        <v>0.0</v>
      </c>
      <c r="O81" s="9">
        <f>IF(ABS(C81-$H81)&lt;=1E-9,1,0)</f>
        <v>0</v>
      </c>
      <c r="P81" s="9">
        <f>IF(ABS(D81-$H81)&lt;=1E-9,1,0)</f>
        <v>0</v>
      </c>
      <c r="Q81" s="9">
        <f>IF(ABS(E81-$H81)&lt;=1E-9,1,0)</f>
        <v>0</v>
      </c>
      <c r="R81" s="9">
        <f>IF(ABS(F81-$H81)&lt;=1E-9,1,0)</f>
        <v>0</v>
      </c>
      <c r="S81" s="9">
        <f>IF(ABS(G81-$H81)&lt;=1E-9,1,0)</f>
        <v>1</v>
      </c>
      <c r="T81" s="6" t="s">
        <v>26</v>
      </c>
    </row>
    <row r="82" spans="1:20">
      <c r="A82" s="6" t="s">
        <v>136</v>
      </c>
      <c r="B82" s="3">
        <v>25</v>
      </c>
      <c r="C82" s="7">
        <v>10</v>
      </c>
      <c r="D82" s="7">
        <v>10</v>
      </c>
      <c r="E82" s="7">
        <v>10</v>
      </c>
      <c r="F82" s="7">
        <v>11</v>
      </c>
      <c r="G82" s="7">
        <v>9</v>
      </c>
      <c r="H82" s="7">
        <f>MIN(C82:G82)</f>
        <v>9.0</v>
      </c>
      <c r="I82" s="6" t="s">
        <v>26</v>
      </c>
      <c r="J82" s="8">
        <f>IF($H82=0,"",(C82-$H82)/$H82)</f>
        <v>0.1111111111111111</v>
      </c>
      <c r="K82" s="8">
        <f>IF($H82=0,"",(D82-$H82)/$H82)</f>
        <v>0.1111111111111111</v>
      </c>
      <c r="L82" s="8">
        <f>IF($H82=0,"",(E82-$H82)/$H82)</f>
        <v>0.1111111111111111</v>
      </c>
      <c r="M82" s="8">
        <f>IF($H82=0,"",(F82-$H82)/$H82)</f>
        <v>0.2222222222222222</v>
      </c>
      <c r="N82" s="8">
        <f>IF($H82=0,"",(G82-$H82)/$H82)</f>
        <v>0.0</v>
      </c>
      <c r="O82" s="9">
        <f>IF(ABS(C82-$H82)&lt;=1E-9,1,0)</f>
        <v>0</v>
      </c>
      <c r="P82" s="9">
        <f>IF(ABS(D82-$H82)&lt;=1E-9,1,0)</f>
        <v>0</v>
      </c>
      <c r="Q82" s="9">
        <f>IF(ABS(E82-$H82)&lt;=1E-9,1,0)</f>
        <v>0</v>
      </c>
      <c r="R82" s="9">
        <f>IF(ABS(F82-$H82)&lt;=1E-9,1,0)</f>
        <v>0</v>
      </c>
      <c r="S82" s="9">
        <f>IF(ABS(G82-$H82)&lt;=1E-9,1,0)</f>
        <v>1</v>
      </c>
      <c r="T82" s="6" t="s">
        <v>26</v>
      </c>
    </row>
    <row r="83" spans="1:20">
      <c r="A83" s="6" t="s">
        <v>137</v>
      </c>
      <c r="B83" s="3">
        <v>25</v>
      </c>
      <c r="C83" s="7">
        <v>10</v>
      </c>
      <c r="D83" s="7">
        <v>9</v>
      </c>
      <c r="E83" s="7">
        <v>9</v>
      </c>
      <c r="F83" s="7">
        <v>11</v>
      </c>
      <c r="G83" s="7">
        <v>9</v>
      </c>
      <c r="H83" s="7">
        <f>MIN(C83:G83)</f>
        <v>9.0</v>
      </c>
      <c r="I83" s="6" t="s">
        <v>138</v>
      </c>
      <c r="J83" s="8">
        <f>IF($H83=0,"",(C83-$H83)/$H83)</f>
        <v>0.1111111111111111</v>
      </c>
      <c r="K83" s="8">
        <f>IF($H83=0,"",(D83-$H83)/$H83)</f>
        <v>0.0</v>
      </c>
      <c r="L83" s="8">
        <f>IF($H83=0,"",(E83-$H83)/$H83)</f>
        <v>0.0</v>
      </c>
      <c r="M83" s="8">
        <f>IF($H83=0,"",(F83-$H83)/$H83)</f>
        <v>0.2222222222222222</v>
      </c>
      <c r="N83" s="8">
        <f>IF($H83=0,"",(G83-$H83)/$H83)</f>
        <v>0.0</v>
      </c>
      <c r="O83" s="9">
        <f>IF(ABS(C83-$H83)&lt;=1E-9,1,0)</f>
        <v>0</v>
      </c>
      <c r="P83" s="9">
        <f>IF(ABS(D83-$H83)&lt;=1E-9,1,0)</f>
        <v>1</v>
      </c>
      <c r="Q83" s="9">
        <f>IF(ABS(E83-$H83)&lt;=1E-9,1,0)</f>
        <v>1</v>
      </c>
      <c r="R83" s="9">
        <f>IF(ABS(F83-$H83)&lt;=1E-9,1,0)</f>
        <v>0</v>
      </c>
      <c r="S83" s="9">
        <f>IF(ABS(G83-$H83)&lt;=1E-9,1,0)</f>
        <v>1</v>
      </c>
      <c r="T83" s="6" t="s">
        <v>51</v>
      </c>
    </row>
    <row r="84" spans="1:20">
      <c r="A84" s="6" t="s">
        <v>139</v>
      </c>
      <c r="B84" s="3">
        <v>25</v>
      </c>
      <c r="C84" s="7">
        <v>170</v>
      </c>
      <c r="D84" s="7">
        <v>169</v>
      </c>
      <c r="E84" s="7">
        <v>175</v>
      </c>
      <c r="F84" s="7">
        <v>148</v>
      </c>
      <c r="G84" s="7">
        <v>137</v>
      </c>
      <c r="H84" s="7">
        <f>MIN(C84:G84)</f>
        <v>137.0</v>
      </c>
      <c r="I84" s="6" t="s">
        <v>26</v>
      </c>
      <c r="J84" s="8">
        <f>IF($H84=0,"",(C84-$H84)/$H84)</f>
        <v>0.24087591240875914</v>
      </c>
      <c r="K84" s="8">
        <f>IF($H84=0,"",(D84-$H84)/$H84)</f>
        <v>0.23357664233576642</v>
      </c>
      <c r="L84" s="8">
        <f>IF($H84=0,"",(E84-$H84)/$H84)</f>
        <v>0.2773722627737226</v>
      </c>
      <c r="M84" s="8">
        <f>IF($H84=0,"",(F84-$H84)/$H84)</f>
        <v>0.08029197080291971</v>
      </c>
      <c r="N84" s="8">
        <f>IF($H84=0,"",(G84-$H84)/$H84)</f>
        <v>0.0</v>
      </c>
      <c r="O84" s="9">
        <f>IF(ABS(C84-$H84)&lt;=1E-9,1,0)</f>
        <v>0</v>
      </c>
      <c r="P84" s="9">
        <f>IF(ABS(D84-$H84)&lt;=1E-9,1,0)</f>
        <v>0</v>
      </c>
      <c r="Q84" s="9">
        <f>IF(ABS(E84-$H84)&lt;=1E-9,1,0)</f>
        <v>0</v>
      </c>
      <c r="R84" s="9">
        <f>IF(ABS(F84-$H84)&lt;=1E-9,1,0)</f>
        <v>0</v>
      </c>
      <c r="S84" s="9">
        <f>IF(ABS(G84-$H84)&lt;=1E-9,1,0)</f>
        <v>1</v>
      </c>
      <c r="T84" s="6" t="s">
        <v>26</v>
      </c>
    </row>
    <row r="85" spans="1:20">
      <c r="A85" s="6" t="s">
        <v>140</v>
      </c>
      <c r="B85" s="3">
        <v>25</v>
      </c>
      <c r="C85" s="7">
        <v>138</v>
      </c>
      <c r="D85" s="7">
        <v>139</v>
      </c>
      <c r="E85" s="7">
        <v>138</v>
      </c>
      <c r="F85" s="7">
        <v>151</v>
      </c>
      <c r="G85" s="7">
        <v>115</v>
      </c>
      <c r="H85" s="7">
        <f>MIN(C85:G85)</f>
        <v>115.0</v>
      </c>
      <c r="I85" s="6" t="s">
        <v>26</v>
      </c>
      <c r="J85" s="8">
        <f>IF($H85=0,"",(C85-$H85)/$H85)</f>
        <v>0.2</v>
      </c>
      <c r="K85" s="8">
        <f>IF($H85=0,"",(D85-$H85)/$H85)</f>
        <v>0.20869565217391306</v>
      </c>
      <c r="L85" s="8">
        <f>IF($H85=0,"",(E85-$H85)/$H85)</f>
        <v>0.2</v>
      </c>
      <c r="M85" s="8">
        <f>IF($H85=0,"",(F85-$H85)/$H85)</f>
        <v>0.3130434782608696</v>
      </c>
      <c r="N85" s="8">
        <f>IF($H85=0,"",(G85-$H85)/$H85)</f>
        <v>0.0</v>
      </c>
      <c r="O85" s="9">
        <f>IF(ABS(C85-$H85)&lt;=1E-9,1,0)</f>
        <v>0</v>
      </c>
      <c r="P85" s="9">
        <f>IF(ABS(D85-$H85)&lt;=1E-9,1,0)</f>
        <v>0</v>
      </c>
      <c r="Q85" s="9">
        <f>IF(ABS(E85-$H85)&lt;=1E-9,1,0)</f>
        <v>0</v>
      </c>
      <c r="R85" s="9">
        <f>IF(ABS(F85-$H85)&lt;=1E-9,1,0)</f>
        <v>0</v>
      </c>
      <c r="S85" s="9">
        <f>IF(ABS(G85-$H85)&lt;=1E-9,1,0)</f>
        <v>1</v>
      </c>
      <c r="T85" s="6" t="s">
        <v>26</v>
      </c>
    </row>
    <row r="86" spans="1:20">
      <c r="A86" s="6" t="s">
        <v>141</v>
      </c>
      <c r="B86" s="3">
        <v>25</v>
      </c>
      <c r="C86" s="7">
        <v>8</v>
      </c>
      <c r="D86" s="7">
        <v>8</v>
      </c>
      <c r="E86" s="7">
        <v>8</v>
      </c>
      <c r="F86" s="7">
        <v>9</v>
      </c>
      <c r="G86" s="7">
        <v>7</v>
      </c>
      <c r="H86" s="7">
        <f>MIN(C86:G86)</f>
        <v>7.0</v>
      </c>
      <c r="I86" s="6" t="s">
        <v>26</v>
      </c>
      <c r="J86" s="8">
        <f>IF($H86=0,"",(C86-$H86)/$H86)</f>
        <v>0.14285714285714285</v>
      </c>
      <c r="K86" s="8">
        <f>IF($H86=0,"",(D86-$H86)/$H86)</f>
        <v>0.14285714285714285</v>
      </c>
      <c r="L86" s="8">
        <f>IF($H86=0,"",(E86-$H86)/$H86)</f>
        <v>0.14285714285714285</v>
      </c>
      <c r="M86" s="8">
        <f>IF($H86=0,"",(F86-$H86)/$H86)</f>
        <v>0.2857142857142857</v>
      </c>
      <c r="N86" s="8">
        <f>IF($H86=0,"",(G86-$H86)/$H86)</f>
        <v>0.0</v>
      </c>
      <c r="O86" s="9">
        <f>IF(ABS(C86-$H86)&lt;=1E-9,1,0)</f>
        <v>0</v>
      </c>
      <c r="P86" s="9">
        <f>IF(ABS(D86-$H86)&lt;=1E-9,1,0)</f>
        <v>0</v>
      </c>
      <c r="Q86" s="9">
        <f>IF(ABS(E86-$H86)&lt;=1E-9,1,0)</f>
        <v>0</v>
      </c>
      <c r="R86" s="9">
        <f>IF(ABS(F86-$H86)&lt;=1E-9,1,0)</f>
        <v>0</v>
      </c>
      <c r="S86" s="9">
        <f>IF(ABS(G86-$H86)&lt;=1E-9,1,0)</f>
        <v>1</v>
      </c>
      <c r="T86" s="6" t="s">
        <v>26</v>
      </c>
    </row>
    <row r="87" spans="1:20">
      <c r="A87" s="6" t="s">
        <v>142</v>
      </c>
      <c r="B87" s="3">
        <v>25</v>
      </c>
      <c r="C87" s="7">
        <v>8</v>
      </c>
      <c r="D87" s="7">
        <v>7</v>
      </c>
      <c r="E87" s="7">
        <v>7</v>
      </c>
      <c r="F87" s="7">
        <v>8</v>
      </c>
      <c r="G87" s="7">
        <v>7</v>
      </c>
      <c r="H87" s="7">
        <f>MIN(C87:G87)</f>
        <v>7.0</v>
      </c>
      <c r="I87" s="6" t="s">
        <v>138</v>
      </c>
      <c r="J87" s="8">
        <f>IF($H87=0,"",(C87-$H87)/$H87)</f>
        <v>0.14285714285714285</v>
      </c>
      <c r="K87" s="8">
        <f>IF($H87=0,"",(D87-$H87)/$H87)</f>
        <v>0.0</v>
      </c>
      <c r="L87" s="8">
        <f>IF($H87=0,"",(E87-$H87)/$H87)</f>
        <v>0.0</v>
      </c>
      <c r="M87" s="8">
        <f>IF($H87=0,"",(F87-$H87)/$H87)</f>
        <v>0.14285714285714285</v>
      </c>
      <c r="N87" s="8">
        <f>IF($H87=0,"",(G87-$H87)/$H87)</f>
        <v>0.0</v>
      </c>
      <c r="O87" s="9">
        <f>IF(ABS(C87-$H87)&lt;=1E-9,1,0)</f>
        <v>0</v>
      </c>
      <c r="P87" s="9">
        <f>IF(ABS(D87-$H87)&lt;=1E-9,1,0)</f>
        <v>1</v>
      </c>
      <c r="Q87" s="9">
        <f>IF(ABS(E87-$H87)&lt;=1E-9,1,0)</f>
        <v>1</v>
      </c>
      <c r="R87" s="9">
        <f>IF(ABS(F87-$H87)&lt;=1E-9,1,0)</f>
        <v>0</v>
      </c>
      <c r="S87" s="9">
        <f>IF(ABS(G87-$H87)&lt;=1E-9,1,0)</f>
        <v>1</v>
      </c>
      <c r="T87" s="6" t="s">
        <v>51</v>
      </c>
    </row>
    <row r="88" spans="1:20">
      <c r="A88" s="6" t="s">
        <v>143</v>
      </c>
      <c r="B88" s="3">
        <v>25</v>
      </c>
      <c r="C88" s="7">
        <v>141</v>
      </c>
      <c r="D88" s="7">
        <v>146</v>
      </c>
      <c r="E88" s="7">
        <v>139</v>
      </c>
      <c r="F88" s="7">
        <v>145</v>
      </c>
      <c r="G88" s="7">
        <v>125</v>
      </c>
      <c r="H88" s="7">
        <f>MIN(C88:G88)</f>
        <v>125.0</v>
      </c>
      <c r="I88" s="6" t="s">
        <v>26</v>
      </c>
      <c r="J88" s="8">
        <f>IF($H88=0,"",(C88-$H88)/$H88)</f>
        <v>0.128</v>
      </c>
      <c r="K88" s="8">
        <f>IF($H88=0,"",(D88-$H88)/$H88)</f>
        <v>0.168</v>
      </c>
      <c r="L88" s="8">
        <f>IF($H88=0,"",(E88-$H88)/$H88)</f>
        <v>0.11200000000000002</v>
      </c>
      <c r="M88" s="8">
        <f>IF($H88=0,"",(F88-$H88)/$H88)</f>
        <v>0.16</v>
      </c>
      <c r="N88" s="8">
        <f>IF($H88=0,"",(G88-$H88)/$H88)</f>
        <v>0.0</v>
      </c>
      <c r="O88" s="9">
        <f>IF(ABS(C88-$H88)&lt;=1E-9,1,0)</f>
        <v>0</v>
      </c>
      <c r="P88" s="9">
        <f>IF(ABS(D88-$H88)&lt;=1E-9,1,0)</f>
        <v>0</v>
      </c>
      <c r="Q88" s="9">
        <f>IF(ABS(E88-$H88)&lt;=1E-9,1,0)</f>
        <v>0</v>
      </c>
      <c r="R88" s="9">
        <f>IF(ABS(F88-$H88)&lt;=1E-9,1,0)</f>
        <v>0</v>
      </c>
      <c r="S88" s="9">
        <f>IF(ABS(G88-$H88)&lt;=1E-9,1,0)</f>
        <v>1</v>
      </c>
      <c r="T88" s="6" t="s">
        <v>26</v>
      </c>
    </row>
    <row r="89" spans="1:20">
      <c r="A89" s="6" t="s">
        <v>144</v>
      </c>
      <c r="B89" s="3">
        <v>25</v>
      </c>
      <c r="C89" s="7">
        <v>128</v>
      </c>
      <c r="D89" s="7">
        <v>129</v>
      </c>
      <c r="E89" s="7">
        <v>126</v>
      </c>
      <c r="F89" s="7">
        <v>125</v>
      </c>
      <c r="G89" s="7">
        <v>113</v>
      </c>
      <c r="H89" s="7">
        <f>MIN(C89:G89)</f>
        <v>113.0</v>
      </c>
      <c r="I89" s="6" t="s">
        <v>26</v>
      </c>
      <c r="J89" s="8">
        <f>IF($H89=0,"",(C89-$H89)/$H89)</f>
        <v>0.13274336283185842</v>
      </c>
      <c r="K89" s="8">
        <f>IF($H89=0,"",(D89-$H89)/$H89)</f>
        <v>0.1415929203539823</v>
      </c>
      <c r="L89" s="8">
        <f>IF($H89=0,"",(E89-$H89)/$H89)</f>
        <v>0.11504424778761062</v>
      </c>
      <c r="M89" s="8">
        <f>IF($H89=0,"",(F89-$H89)/$H89)</f>
        <v>0.10619469026548672</v>
      </c>
      <c r="N89" s="8">
        <f>IF($H89=0,"",(G89-$H89)/$H89)</f>
        <v>0.0</v>
      </c>
      <c r="O89" s="9">
        <f>IF(ABS(C89-$H89)&lt;=1E-9,1,0)</f>
        <v>0</v>
      </c>
      <c r="P89" s="9">
        <f>IF(ABS(D89-$H89)&lt;=1E-9,1,0)</f>
        <v>0</v>
      </c>
      <c r="Q89" s="9">
        <f>IF(ABS(E89-$H89)&lt;=1E-9,1,0)</f>
        <v>0</v>
      </c>
      <c r="R89" s="9">
        <f>IF(ABS(F89-$H89)&lt;=1E-9,1,0)</f>
        <v>0</v>
      </c>
      <c r="S89" s="9">
        <f>IF(ABS(G89-$H89)&lt;=1E-9,1,0)</f>
        <v>1</v>
      </c>
      <c r="T89" s="6" t="s">
        <v>26</v>
      </c>
    </row>
    <row r="90" spans="1:20">
      <c r="A90" s="6" t="s">
        <v>145</v>
      </c>
      <c r="B90" s="3">
        <v>25</v>
      </c>
      <c r="C90" s="7">
        <v>7</v>
      </c>
      <c r="D90" s="7">
        <v>7</v>
      </c>
      <c r="E90" s="7">
        <v>7</v>
      </c>
      <c r="F90" s="7">
        <v>9</v>
      </c>
      <c r="G90" s="7">
        <v>7</v>
      </c>
      <c r="H90" s="7">
        <f>MIN(C90:G90)</f>
        <v>7.0</v>
      </c>
      <c r="I90" s="6" t="s">
        <v>133</v>
      </c>
      <c r="J90" s="8">
        <f>IF($H90=0,"",(C90-$H90)/$H90)</f>
        <v>0.0</v>
      </c>
      <c r="K90" s="8">
        <f>IF($H90=0,"",(D90-$H90)/$H90)</f>
        <v>0.0</v>
      </c>
      <c r="L90" s="8">
        <f>IF($H90=0,"",(E90-$H90)/$H90)</f>
        <v>0.0</v>
      </c>
      <c r="M90" s="8">
        <f>IF($H90=0,"",(F90-$H90)/$H90)</f>
        <v>0.2857142857142857</v>
      </c>
      <c r="N90" s="8">
        <f>IF($H90=0,"",(G90-$H90)/$H90)</f>
        <v>0.0</v>
      </c>
      <c r="O90" s="9">
        <f>IF(ABS(C90-$H90)&lt;=1E-9,1,0)</f>
        <v>1</v>
      </c>
      <c r="P90" s="9">
        <f>IF(ABS(D90-$H90)&lt;=1E-9,1,0)</f>
        <v>1</v>
      </c>
      <c r="Q90" s="9">
        <f>IF(ABS(E90-$H90)&lt;=1E-9,1,0)</f>
        <v>1</v>
      </c>
      <c r="R90" s="9">
        <f>IF(ABS(F90-$H90)&lt;=1E-9,1,0)</f>
        <v>0</v>
      </c>
      <c r="S90" s="9">
        <f>IF(ABS(G90-$H90)&lt;=1E-9,1,0)</f>
        <v>1</v>
      </c>
      <c r="T90" s="6" t="s">
        <v>51</v>
      </c>
    </row>
    <row r="91" spans="1:20">
      <c r="A91" s="6" t="s">
        <v>146</v>
      </c>
      <c r="B91" s="3">
        <v>25</v>
      </c>
      <c r="C91" s="7">
        <v>7</v>
      </c>
      <c r="D91" s="7">
        <v>7</v>
      </c>
      <c r="E91" s="7">
        <v>7</v>
      </c>
      <c r="F91" s="7">
        <v>8</v>
      </c>
      <c r="G91" s="7">
        <v>7</v>
      </c>
      <c r="H91" s="7">
        <f>MIN(C91:G91)</f>
        <v>7.0</v>
      </c>
      <c r="I91" s="6" t="s">
        <v>133</v>
      </c>
      <c r="J91" s="8">
        <f>IF($H91=0,"",(C91-$H91)/$H91)</f>
        <v>0.0</v>
      </c>
      <c r="K91" s="8">
        <f>IF($H91=0,"",(D91-$H91)/$H91)</f>
        <v>0.0</v>
      </c>
      <c r="L91" s="8">
        <f>IF($H91=0,"",(E91-$H91)/$H91)</f>
        <v>0.0</v>
      </c>
      <c r="M91" s="8">
        <f>IF($H91=0,"",(F91-$H91)/$H91)</f>
        <v>0.14285714285714285</v>
      </c>
      <c r="N91" s="8">
        <f>IF($H91=0,"",(G91-$H91)/$H91)</f>
        <v>0.0</v>
      </c>
      <c r="O91" s="9">
        <f>IF(ABS(C91-$H91)&lt;=1E-9,1,0)</f>
        <v>1</v>
      </c>
      <c r="P91" s="9">
        <f>IF(ABS(D91-$H91)&lt;=1E-9,1,0)</f>
        <v>1</v>
      </c>
      <c r="Q91" s="9">
        <f>IF(ABS(E91-$H91)&lt;=1E-9,1,0)</f>
        <v>1</v>
      </c>
      <c r="R91" s="9">
        <f>IF(ABS(F91-$H91)&lt;=1E-9,1,0)</f>
        <v>0</v>
      </c>
      <c r="S91" s="9">
        <f>IF(ABS(G91-$H91)&lt;=1E-9,1,0)</f>
        <v>1</v>
      </c>
      <c r="T91" s="6" t="s">
        <v>51</v>
      </c>
    </row>
    <row r="92" spans="1:20">
      <c r="A92" s="6" t="s">
        <v>147</v>
      </c>
      <c r="B92" s="3">
        <v>25</v>
      </c>
      <c r="C92" s="7">
        <v>153</v>
      </c>
      <c r="D92" s="7">
        <v>150</v>
      </c>
      <c r="E92" s="7">
        <v>138</v>
      </c>
      <c r="F92" s="7">
        <v>139</v>
      </c>
      <c r="G92" s="7">
        <v>129</v>
      </c>
      <c r="H92" s="7">
        <f>MIN(C92:G92)</f>
        <v>129.0</v>
      </c>
      <c r="I92" s="6" t="s">
        <v>26</v>
      </c>
      <c r="J92" s="8">
        <f>IF($H92=0,"",(C92-$H92)/$H92)</f>
        <v>0.18604651162790697</v>
      </c>
      <c r="K92" s="8">
        <f>IF($H92=0,"",(D92-$H92)/$H92)</f>
        <v>0.16279069767441862</v>
      </c>
      <c r="L92" s="8">
        <f>IF($H92=0,"",(E92-$H92)/$H92)</f>
        <v>0.06976744186046512</v>
      </c>
      <c r="M92" s="8">
        <f>IF($H92=0,"",(F92-$H92)/$H92)</f>
        <v>0.07751937984496124</v>
      </c>
      <c r="N92" s="8">
        <f>IF($H92=0,"",(G92-$H92)/$H92)</f>
        <v>0.0</v>
      </c>
      <c r="O92" s="9">
        <f>IF(ABS(C92-$H92)&lt;=1E-9,1,0)</f>
        <v>0</v>
      </c>
      <c r="P92" s="9">
        <f>IF(ABS(D92-$H92)&lt;=1E-9,1,0)</f>
        <v>0</v>
      </c>
      <c r="Q92" s="9">
        <f>IF(ABS(E92-$H92)&lt;=1E-9,1,0)</f>
        <v>0</v>
      </c>
      <c r="R92" s="9">
        <f>IF(ABS(F92-$H92)&lt;=1E-9,1,0)</f>
        <v>0</v>
      </c>
      <c r="S92" s="9">
        <f>IF(ABS(G92-$H92)&lt;=1E-9,1,0)</f>
        <v>1</v>
      </c>
      <c r="T92" s="6" t="s">
        <v>26</v>
      </c>
    </row>
    <row r="93" spans="1:20">
      <c r="A93" s="6" t="s">
        <v>148</v>
      </c>
      <c r="B93" s="3">
        <v>25</v>
      </c>
      <c r="C93" s="7">
        <v>116</v>
      </c>
      <c r="D93" s="7">
        <v>111</v>
      </c>
      <c r="E93" s="7">
        <v>114</v>
      </c>
      <c r="F93" s="7">
        <v>116</v>
      </c>
      <c r="G93" s="7">
        <v>107</v>
      </c>
      <c r="H93" s="7">
        <f>MIN(C93:G93)</f>
        <v>107.0</v>
      </c>
      <c r="I93" s="6" t="s">
        <v>26</v>
      </c>
      <c r="J93" s="8">
        <f>IF($H93=0,"",(C93-$H93)/$H93)</f>
        <v>0.08411214953271028</v>
      </c>
      <c r="K93" s="8">
        <f>IF($H93=0,"",(D93-$H93)/$H93)</f>
        <v>0.037383177570093455</v>
      </c>
      <c r="L93" s="8">
        <f>IF($H93=0,"",(E93-$H93)/$H93)</f>
        <v>0.06542056074766354</v>
      </c>
      <c r="M93" s="8">
        <f>IF($H93=0,"",(F93-$H93)/$H93)</f>
        <v>0.08411214953271028</v>
      </c>
      <c r="N93" s="8">
        <f>IF($H93=0,"",(G93-$H93)/$H93)</f>
        <v>0.0</v>
      </c>
      <c r="O93" s="9">
        <f>IF(ABS(C93-$H93)&lt;=1E-9,1,0)</f>
        <v>0</v>
      </c>
      <c r="P93" s="9">
        <f>IF(ABS(D93-$H93)&lt;=1E-9,1,0)</f>
        <v>0</v>
      </c>
      <c r="Q93" s="9">
        <f>IF(ABS(E93-$H93)&lt;=1E-9,1,0)</f>
        <v>0</v>
      </c>
      <c r="R93" s="9">
        <f>IF(ABS(F93-$H93)&lt;=1E-9,1,0)</f>
        <v>0</v>
      </c>
      <c r="S93" s="9">
        <f>IF(ABS(G93-$H93)&lt;=1E-9,1,0)</f>
        <v>1</v>
      </c>
      <c r="T93" s="6" t="s">
        <v>26</v>
      </c>
    </row>
    <row r="94" spans="1:20">
      <c r="A94" s="6" t="s">
        <v>149</v>
      </c>
      <c r="B94" s="3">
        <v>25</v>
      </c>
      <c r="C94" s="7">
        <v>7</v>
      </c>
      <c r="D94" s="7">
        <v>7</v>
      </c>
      <c r="E94" s="7">
        <v>7</v>
      </c>
      <c r="F94" s="7">
        <v>8</v>
      </c>
      <c r="G94" s="7">
        <v>6</v>
      </c>
      <c r="H94" s="7">
        <f>MIN(C94:G94)</f>
        <v>6.0</v>
      </c>
      <c r="I94" s="6" t="s">
        <v>26</v>
      </c>
      <c r="J94" s="8">
        <f>IF($H94=0,"",(C94-$H94)/$H94)</f>
        <v>0.16666666666666663</v>
      </c>
      <c r="K94" s="8">
        <f>IF($H94=0,"",(D94-$H94)/$H94)</f>
        <v>0.16666666666666663</v>
      </c>
      <c r="L94" s="8">
        <f>IF($H94=0,"",(E94-$H94)/$H94)</f>
        <v>0.16666666666666663</v>
      </c>
      <c r="M94" s="8">
        <f>IF($H94=0,"",(F94-$H94)/$H94)</f>
        <v>0.33333333333333326</v>
      </c>
      <c r="N94" s="8">
        <f>IF($H94=0,"",(G94-$H94)/$H94)</f>
        <v>0.0</v>
      </c>
      <c r="O94" s="9">
        <f>IF(ABS(C94-$H94)&lt;=1E-9,1,0)</f>
        <v>0</v>
      </c>
      <c r="P94" s="9">
        <f>IF(ABS(D94-$H94)&lt;=1E-9,1,0)</f>
        <v>0</v>
      </c>
      <c r="Q94" s="9">
        <f>IF(ABS(E94-$H94)&lt;=1E-9,1,0)</f>
        <v>0</v>
      </c>
      <c r="R94" s="9">
        <f>IF(ABS(F94-$H94)&lt;=1E-9,1,0)</f>
        <v>0</v>
      </c>
      <c r="S94" s="9">
        <f>IF(ABS(G94-$H94)&lt;=1E-9,1,0)</f>
        <v>1</v>
      </c>
      <c r="T94" s="6" t="s">
        <v>26</v>
      </c>
    </row>
    <row r="95" spans="1:20">
      <c r="A95" s="6" t="s">
        <v>150</v>
      </c>
      <c r="B95" s="3">
        <v>25</v>
      </c>
      <c r="C95" s="7">
        <v>7</v>
      </c>
      <c r="D95" s="7">
        <v>7</v>
      </c>
      <c r="E95" s="7">
        <v>7</v>
      </c>
      <c r="F95" s="7">
        <v>9</v>
      </c>
      <c r="G95" s="7">
        <v>7</v>
      </c>
      <c r="H95" s="7">
        <f>MIN(C95:G95)</f>
        <v>7.0</v>
      </c>
      <c r="I95" s="6" t="s">
        <v>133</v>
      </c>
      <c r="J95" s="8">
        <f>IF($H95=0,"",(C95-$H95)/$H95)</f>
        <v>0.0</v>
      </c>
      <c r="K95" s="8">
        <f>IF($H95=0,"",(D95-$H95)/$H95)</f>
        <v>0.0</v>
      </c>
      <c r="L95" s="8">
        <f>IF($H95=0,"",(E95-$H95)/$H95)</f>
        <v>0.0</v>
      </c>
      <c r="M95" s="8">
        <f>IF($H95=0,"",(F95-$H95)/$H95)</f>
        <v>0.2857142857142857</v>
      </c>
      <c r="N95" s="8">
        <f>IF($H95=0,"",(G95-$H95)/$H95)</f>
        <v>0.0</v>
      </c>
      <c r="O95" s="9">
        <f>IF(ABS(C95-$H95)&lt;=1E-9,1,0)</f>
        <v>1</v>
      </c>
      <c r="P95" s="9">
        <f>IF(ABS(D95-$H95)&lt;=1E-9,1,0)</f>
        <v>1</v>
      </c>
      <c r="Q95" s="9">
        <f>IF(ABS(E95-$H95)&lt;=1E-9,1,0)</f>
        <v>1</v>
      </c>
      <c r="R95" s="9">
        <f>IF(ABS(F95-$H95)&lt;=1E-9,1,0)</f>
        <v>0</v>
      </c>
      <c r="S95" s="9">
        <f>IF(ABS(G95-$H95)&lt;=1E-9,1,0)</f>
        <v>1</v>
      </c>
      <c r="T95" s="6" t="s">
        <v>51</v>
      </c>
    </row>
    <row r="96" spans="1:20">
      <c r="A96" s="6" t="s">
        <v>151</v>
      </c>
      <c r="B96" s="3">
        <v>25</v>
      </c>
      <c r="C96" s="7">
        <v>113</v>
      </c>
      <c r="D96" s="7">
        <v>122</v>
      </c>
      <c r="E96" s="7">
        <v>139</v>
      </c>
      <c r="F96" s="7">
        <v>153</v>
      </c>
      <c r="G96" s="7">
        <v>118</v>
      </c>
      <c r="H96" s="7">
        <f>MIN(C96:G96)</f>
        <v>113.0</v>
      </c>
      <c r="I96" s="6" t="s">
        <v>16</v>
      </c>
      <c r="J96" s="8">
        <f>IF($H96=0,"",(C96-$H96)/$H96)</f>
        <v>0.0</v>
      </c>
      <c r="K96" s="8">
        <f>IF($H96=0,"",(D96-$H96)/$H96)</f>
        <v>0.07964601769911504</v>
      </c>
      <c r="L96" s="8">
        <f>IF($H96=0,"",(E96-$H96)/$H96)</f>
        <v>0.23008849557522124</v>
      </c>
      <c r="M96" s="8">
        <f>IF($H96=0,"",(F96-$H96)/$H96)</f>
        <v>0.35398230088495575</v>
      </c>
      <c r="N96" s="8">
        <f>IF($H96=0,"",(G96-$H96)/$H96)</f>
        <v>0.04424778761061947</v>
      </c>
      <c r="O96" s="9">
        <f>IF(ABS(C96-$H96)&lt;=1E-9,1,0)</f>
        <v>1</v>
      </c>
      <c r="P96" s="9">
        <f>IF(ABS(D96-$H96)&lt;=1E-9,1,0)</f>
        <v>0</v>
      </c>
      <c r="Q96" s="9">
        <f>IF(ABS(E96-$H96)&lt;=1E-9,1,0)</f>
        <v>0</v>
      </c>
      <c r="R96" s="9">
        <f>IF(ABS(F96-$H96)&lt;=1E-9,1,0)</f>
        <v>0</v>
      </c>
      <c r="S96" s="9">
        <f>IF(ABS(G96-$H96)&lt;=1E-9,1,0)</f>
        <v>0</v>
      </c>
      <c r="T96" s="6" t="s">
        <v>16</v>
      </c>
    </row>
    <row r="97" spans="1:20">
      <c r="A97" s="6" t="s">
        <v>152</v>
      </c>
      <c r="B97" s="3">
        <v>25</v>
      </c>
      <c r="C97" s="7">
        <v>114</v>
      </c>
      <c r="D97" s="7">
        <v>116</v>
      </c>
      <c r="E97" s="7">
        <v>116</v>
      </c>
      <c r="F97" s="7">
        <v>125</v>
      </c>
      <c r="G97" s="7">
        <v>99</v>
      </c>
      <c r="H97" s="7">
        <f>MIN(C97:G97)</f>
        <v>99.0</v>
      </c>
      <c r="I97" s="6" t="s">
        <v>26</v>
      </c>
      <c r="J97" s="8">
        <f>IF($H97=0,"",(C97-$H97)/$H97)</f>
        <v>0.15151515151515152</v>
      </c>
      <c r="K97" s="8">
        <f>IF($H97=0,"",(D97-$H97)/$H97)</f>
        <v>0.17171717171717168</v>
      </c>
      <c r="L97" s="8">
        <f>IF($H97=0,"",(E97-$H97)/$H97)</f>
        <v>0.17171717171717168</v>
      </c>
      <c r="M97" s="8">
        <f>IF($H97=0,"",(F97-$H97)/$H97)</f>
        <v>0.26262626262626265</v>
      </c>
      <c r="N97" s="8">
        <f>IF($H97=0,"",(G97-$H97)/$H97)</f>
        <v>0.0</v>
      </c>
      <c r="O97" s="9">
        <f>IF(ABS(C97-$H97)&lt;=1E-9,1,0)</f>
        <v>0</v>
      </c>
      <c r="P97" s="9">
        <f>IF(ABS(D97-$H97)&lt;=1E-9,1,0)</f>
        <v>0</v>
      </c>
      <c r="Q97" s="9">
        <f>IF(ABS(E97-$H97)&lt;=1E-9,1,0)</f>
        <v>0</v>
      </c>
      <c r="R97" s="9">
        <f>IF(ABS(F97-$H97)&lt;=1E-9,1,0)</f>
        <v>0</v>
      </c>
      <c r="S97" s="9">
        <f>IF(ABS(G97-$H97)&lt;=1E-9,1,0)</f>
        <v>1</v>
      </c>
      <c r="T97" s="6" t="s">
        <v>26</v>
      </c>
    </row>
    <row r="98" spans="1:20">
      <c r="A98" s="6" t="s">
        <v>153</v>
      </c>
      <c r="B98" s="3">
        <v>50</v>
      </c>
      <c r="C98" s="7">
        <v>21</v>
      </c>
      <c r="D98" s="7">
        <v>21</v>
      </c>
      <c r="E98" s="7">
        <v>21</v>
      </c>
      <c r="F98" s="7">
        <v>20</v>
      </c>
      <c r="G98" s="7">
        <v>19</v>
      </c>
      <c r="H98" s="7">
        <f>MIN(C98:G98)</f>
        <v>19.0</v>
      </c>
      <c r="I98" s="6" t="s">
        <v>26</v>
      </c>
      <c r="J98" s="8">
        <f>IF($H98=0,"",(C98-$H98)/$H98)</f>
        <v>0.10526315789473684</v>
      </c>
      <c r="K98" s="8">
        <f>IF($H98=0,"",(D98-$H98)/$H98)</f>
        <v>0.10526315789473684</v>
      </c>
      <c r="L98" s="8">
        <f>IF($H98=0,"",(E98-$H98)/$H98)</f>
        <v>0.10526315789473684</v>
      </c>
      <c r="M98" s="8">
        <f>IF($H98=0,"",(F98-$H98)/$H98)</f>
        <v>0.05263157894736842</v>
      </c>
      <c r="N98" s="8">
        <f>IF($H98=0,"",(G98-$H98)/$H98)</f>
        <v>0.0</v>
      </c>
      <c r="O98" s="9">
        <f>IF(ABS(C98-$H98)&lt;=1E-9,1,0)</f>
        <v>0</v>
      </c>
      <c r="P98" s="9">
        <f>IF(ABS(D98-$H98)&lt;=1E-9,1,0)</f>
        <v>0</v>
      </c>
      <c r="Q98" s="9">
        <f>IF(ABS(E98-$H98)&lt;=1E-9,1,0)</f>
        <v>0</v>
      </c>
      <c r="R98" s="9">
        <f>IF(ABS(F98-$H98)&lt;=1E-9,1,0)</f>
        <v>0</v>
      </c>
      <c r="S98" s="9">
        <f>IF(ABS(G98-$H98)&lt;=1E-9,1,0)</f>
        <v>1</v>
      </c>
      <c r="T98" s="6" t="s">
        <v>26</v>
      </c>
    </row>
    <row r="99" spans="1:20">
      <c r="A99" s="6" t="s">
        <v>154</v>
      </c>
      <c r="B99" s="3">
        <v>50</v>
      </c>
      <c r="C99" s="7">
        <v>21</v>
      </c>
      <c r="D99" s="7">
        <v>21</v>
      </c>
      <c r="E99" s="7">
        <v>22</v>
      </c>
      <c r="F99" s="7">
        <v>20</v>
      </c>
      <c r="G99" s="7">
        <v>19</v>
      </c>
      <c r="H99" s="7">
        <f>MIN(C99:G99)</f>
        <v>19.0</v>
      </c>
      <c r="I99" s="6" t="s">
        <v>26</v>
      </c>
      <c r="J99" s="8">
        <f>IF($H99=0,"",(C99-$H99)/$H99)</f>
        <v>0.10526315789473684</v>
      </c>
      <c r="K99" s="8">
        <f>IF($H99=0,"",(D99-$H99)/$H99)</f>
        <v>0.10526315789473684</v>
      </c>
      <c r="L99" s="8">
        <f>IF($H99=0,"",(E99-$H99)/$H99)</f>
        <v>0.15789473684210525</v>
      </c>
      <c r="M99" s="8">
        <f>IF($H99=0,"",(F99-$H99)/$H99)</f>
        <v>0.05263157894736842</v>
      </c>
      <c r="N99" s="8">
        <f>IF($H99=0,"",(G99-$H99)/$H99)</f>
        <v>0.0</v>
      </c>
      <c r="O99" s="9">
        <f>IF(ABS(C99-$H99)&lt;=1E-9,1,0)</f>
        <v>0</v>
      </c>
      <c r="P99" s="9">
        <f>IF(ABS(D99-$H99)&lt;=1E-9,1,0)</f>
        <v>0</v>
      </c>
      <c r="Q99" s="9">
        <f>IF(ABS(E99-$H99)&lt;=1E-9,1,0)</f>
        <v>0</v>
      </c>
      <c r="R99" s="9">
        <f>IF(ABS(F99-$H99)&lt;=1E-9,1,0)</f>
        <v>0</v>
      </c>
      <c r="S99" s="9">
        <f>IF(ABS(G99-$H99)&lt;=1E-9,1,0)</f>
        <v>1</v>
      </c>
      <c r="T99" s="6" t="s">
        <v>26</v>
      </c>
    </row>
    <row r="100" spans="1:20">
      <c r="A100" s="6" t="s">
        <v>155</v>
      </c>
      <c r="B100" s="3">
        <v>50</v>
      </c>
      <c r="C100" s="7">
        <v>373</v>
      </c>
      <c r="D100" s="7">
        <v>360</v>
      </c>
      <c r="E100" s="7">
        <v>375</v>
      </c>
      <c r="F100" s="7">
        <v>311</v>
      </c>
      <c r="G100" s="7">
        <v>291</v>
      </c>
      <c r="H100" s="7">
        <f>MIN(C100:G100)</f>
        <v>291.0</v>
      </c>
      <c r="I100" s="6" t="s">
        <v>26</v>
      </c>
      <c r="J100" s="8">
        <f>IF($H100=0,"",(C100-$H100)/$H100)</f>
        <v>0.281786941580756</v>
      </c>
      <c r="K100" s="8">
        <f>IF($H100=0,"",(D100-$H100)/$H100)</f>
        <v>0.23711340206185563</v>
      </c>
      <c r="L100" s="8">
        <f>IF($H100=0,"",(E100-$H100)/$H100)</f>
        <v>0.28865979381443296</v>
      </c>
      <c r="M100" s="8">
        <f>IF($H100=0,"",(F100-$H100)/$H100)</f>
        <v>0.06872852233676977</v>
      </c>
      <c r="N100" s="8">
        <f>IF($H100=0,"",(G100-$H100)/$H100)</f>
        <v>0.0</v>
      </c>
      <c r="O100" s="9">
        <f>IF(ABS(C100-$H100)&lt;=1E-9,1,0)</f>
        <v>0</v>
      </c>
      <c r="P100" s="9">
        <f>IF(ABS(D100-$H100)&lt;=1E-9,1,0)</f>
        <v>0</v>
      </c>
      <c r="Q100" s="9">
        <f>IF(ABS(E100-$H100)&lt;=1E-9,1,0)</f>
        <v>0</v>
      </c>
      <c r="R100" s="9">
        <f>IF(ABS(F100-$H100)&lt;=1E-9,1,0)</f>
        <v>0</v>
      </c>
      <c r="S100" s="9">
        <f>IF(ABS(G100-$H100)&lt;=1E-9,1,0)</f>
        <v>1</v>
      </c>
      <c r="T100" s="6" t="s">
        <v>26</v>
      </c>
    </row>
    <row r="101" spans="1:20">
      <c r="A101" s="6" t="s">
        <v>156</v>
      </c>
      <c r="B101" s="3">
        <v>50</v>
      </c>
      <c r="C101" s="7">
        <v>353</v>
      </c>
      <c r="D101" s="7">
        <v>354</v>
      </c>
      <c r="E101" s="7">
        <v>379</v>
      </c>
      <c r="F101" s="7">
        <v>303</v>
      </c>
      <c r="G101" s="7">
        <v>286</v>
      </c>
      <c r="H101" s="7">
        <f>MIN(C101:G101)</f>
        <v>286.0</v>
      </c>
      <c r="I101" s="6" t="s">
        <v>26</v>
      </c>
      <c r="J101" s="8">
        <f>IF($H101=0,"",(C101-$H101)/$H101)</f>
        <v>0.23426573426573427</v>
      </c>
      <c r="K101" s="8">
        <f>IF($H101=0,"",(D101-$H101)/$H101)</f>
        <v>0.23776223776223776</v>
      </c>
      <c r="L101" s="8">
        <f>IF($H101=0,"",(E101-$H101)/$H101)</f>
        <v>0.32517482517482516</v>
      </c>
      <c r="M101" s="8">
        <f>IF($H101=0,"",(F101-$H101)/$H101)</f>
        <v>0.05944055944055944</v>
      </c>
      <c r="N101" s="8">
        <f>IF($H101=0,"",(G101-$H101)/$H101)</f>
        <v>0.0</v>
      </c>
      <c r="O101" s="9">
        <f>IF(ABS(C101-$H101)&lt;=1E-9,1,0)</f>
        <v>0</v>
      </c>
      <c r="P101" s="9">
        <f>IF(ABS(D101-$H101)&lt;=1E-9,1,0)</f>
        <v>0</v>
      </c>
      <c r="Q101" s="9">
        <f>IF(ABS(E101-$H101)&lt;=1E-9,1,0)</f>
        <v>0</v>
      </c>
      <c r="R101" s="9">
        <f>IF(ABS(F101-$H101)&lt;=1E-9,1,0)</f>
        <v>0</v>
      </c>
      <c r="S101" s="9">
        <f>IF(ABS(G101-$H101)&lt;=1E-9,1,0)</f>
        <v>1</v>
      </c>
      <c r="T101" s="6" t="s">
        <v>26</v>
      </c>
    </row>
    <row r="102" spans="1:20">
      <c r="A102" s="6" t="s">
        <v>157</v>
      </c>
      <c r="B102" s="3">
        <v>50</v>
      </c>
      <c r="C102" s="7">
        <v>16</v>
      </c>
      <c r="D102" s="7">
        <v>16</v>
      </c>
      <c r="E102" s="7">
        <v>17</v>
      </c>
      <c r="F102" s="7">
        <v>17</v>
      </c>
      <c r="G102" s="7">
        <v>16</v>
      </c>
      <c r="H102" s="7">
        <f>MIN(C102:G102)</f>
        <v>16.0</v>
      </c>
      <c r="I102" s="6" t="s">
        <v>65</v>
      </c>
      <c r="J102" s="8">
        <f>IF($H102=0,"",(C102-$H102)/$H102)</f>
        <v>0.0</v>
      </c>
      <c r="K102" s="8">
        <f>IF($H102=0,"",(D102-$H102)/$H102)</f>
        <v>0.0</v>
      </c>
      <c r="L102" s="8">
        <f>IF($H102=0,"",(E102-$H102)/$H102)</f>
        <v>0.0625</v>
      </c>
      <c r="M102" s="8">
        <f>IF($H102=0,"",(F102-$H102)/$H102)</f>
        <v>0.0625</v>
      </c>
      <c r="N102" s="8">
        <f>IF($H102=0,"",(G102-$H102)/$H102)</f>
        <v>0.0</v>
      </c>
      <c r="O102" s="9">
        <f>IF(ABS(C102-$H102)&lt;=1E-9,1,0)</f>
        <v>1</v>
      </c>
      <c r="P102" s="9">
        <f>IF(ABS(D102-$H102)&lt;=1E-9,1,0)</f>
        <v>1</v>
      </c>
      <c r="Q102" s="9">
        <f>IF(ABS(E102-$H102)&lt;=1E-9,1,0)</f>
        <v>0</v>
      </c>
      <c r="R102" s="9">
        <f>IF(ABS(F102-$H102)&lt;=1E-9,1,0)</f>
        <v>0</v>
      </c>
      <c r="S102" s="9">
        <f>IF(ABS(G102-$H102)&lt;=1E-9,1,0)</f>
        <v>1</v>
      </c>
      <c r="T102" s="6" t="s">
        <v>51</v>
      </c>
    </row>
    <row r="103" spans="1:20">
      <c r="A103" s="6" t="s">
        <v>158</v>
      </c>
      <c r="B103" s="3">
        <v>50</v>
      </c>
      <c r="C103" s="7">
        <v>16</v>
      </c>
      <c r="D103" s="7">
        <v>16</v>
      </c>
      <c r="E103" s="7">
        <v>17</v>
      </c>
      <c r="F103" s="7">
        <v>19</v>
      </c>
      <c r="G103" s="7">
        <v>15</v>
      </c>
      <c r="H103" s="7">
        <f>MIN(C103:G103)</f>
        <v>15.0</v>
      </c>
      <c r="I103" s="6" t="s">
        <v>26</v>
      </c>
      <c r="J103" s="8">
        <f>IF($H103=0,"",(C103-$H103)/$H103)</f>
        <v>0.06666666666666667</v>
      </c>
      <c r="K103" s="8">
        <f>IF($H103=0,"",(D103-$H103)/$H103)</f>
        <v>0.06666666666666667</v>
      </c>
      <c r="L103" s="8">
        <f>IF($H103=0,"",(E103-$H103)/$H103)</f>
        <v>0.13333333333333333</v>
      </c>
      <c r="M103" s="8">
        <f>IF($H103=0,"",(F103-$H103)/$H103)</f>
        <v>0.26666666666666666</v>
      </c>
      <c r="N103" s="8">
        <f>IF($H103=0,"",(G103-$H103)/$H103)</f>
        <v>0.0</v>
      </c>
      <c r="O103" s="9">
        <f>IF(ABS(C103-$H103)&lt;=1E-9,1,0)</f>
        <v>0</v>
      </c>
      <c r="P103" s="9">
        <f>IF(ABS(D103-$H103)&lt;=1E-9,1,0)</f>
        <v>0</v>
      </c>
      <c r="Q103" s="9">
        <f>IF(ABS(E103-$H103)&lt;=1E-9,1,0)</f>
        <v>0</v>
      </c>
      <c r="R103" s="9">
        <f>IF(ABS(F103-$H103)&lt;=1E-9,1,0)</f>
        <v>0</v>
      </c>
      <c r="S103" s="9">
        <f>IF(ABS(G103-$H103)&lt;=1E-9,1,0)</f>
        <v>1</v>
      </c>
      <c r="T103" s="6" t="s">
        <v>26</v>
      </c>
    </row>
    <row r="104" spans="1:20">
      <c r="A104" s="6" t="s">
        <v>159</v>
      </c>
      <c r="B104" s="3">
        <v>50</v>
      </c>
      <c r="C104" s="7">
        <v>320</v>
      </c>
      <c r="D104" s="7">
        <v>320</v>
      </c>
      <c r="E104" s="7">
        <v>317</v>
      </c>
      <c r="F104" s="7">
        <v>269</v>
      </c>
      <c r="G104" s="7">
        <v>251</v>
      </c>
      <c r="H104" s="7">
        <f>MIN(C104:G104)</f>
        <v>251.0</v>
      </c>
      <c r="I104" s="6" t="s">
        <v>26</v>
      </c>
      <c r="J104" s="8">
        <f>IF($H104=0,"",(C104-$H104)/$H104)</f>
        <v>0.2749003984063745</v>
      </c>
      <c r="K104" s="8">
        <f>IF($H104=0,"",(D104-$H104)/$H104)</f>
        <v>0.2749003984063745</v>
      </c>
      <c r="L104" s="8">
        <f>IF($H104=0,"",(E104-$H104)/$H104)</f>
        <v>0.26294820717131473</v>
      </c>
      <c r="M104" s="8">
        <f>IF($H104=0,"",(F104-$H104)/$H104)</f>
        <v>0.07171314741035857</v>
      </c>
      <c r="N104" s="8">
        <f>IF($H104=0,"",(G104-$H104)/$H104)</f>
        <v>0.0</v>
      </c>
      <c r="O104" s="9">
        <f>IF(ABS(C104-$H104)&lt;=1E-9,1,0)</f>
        <v>0</v>
      </c>
      <c r="P104" s="9">
        <f>IF(ABS(D104-$H104)&lt;=1E-9,1,0)</f>
        <v>0</v>
      </c>
      <c r="Q104" s="9">
        <f>IF(ABS(E104-$H104)&lt;=1E-9,1,0)</f>
        <v>0</v>
      </c>
      <c r="R104" s="9">
        <f>IF(ABS(F104-$H104)&lt;=1E-9,1,0)</f>
        <v>0</v>
      </c>
      <c r="S104" s="9">
        <f>IF(ABS(G104-$H104)&lt;=1E-9,1,0)</f>
        <v>1</v>
      </c>
      <c r="T104" s="6" t="s">
        <v>26</v>
      </c>
    </row>
    <row r="105" spans="1:20">
      <c r="A105" s="6" t="s">
        <v>160</v>
      </c>
      <c r="B105" s="3">
        <v>50</v>
      </c>
      <c r="C105" s="7">
        <v>314</v>
      </c>
      <c r="D105" s="7">
        <v>318</v>
      </c>
      <c r="E105" s="7">
        <v>322</v>
      </c>
      <c r="F105" s="7">
        <v>282</v>
      </c>
      <c r="G105" s="7">
        <v>256</v>
      </c>
      <c r="H105" s="7">
        <f>MIN(C105:G105)</f>
        <v>256.0</v>
      </c>
      <c r="I105" s="6" t="s">
        <v>26</v>
      </c>
      <c r="J105" s="8">
        <f>IF($H105=0,"",(C105-$H105)/$H105)</f>
        <v>0.2265625</v>
      </c>
      <c r="K105" s="8">
        <f>IF($H105=0,"",(D105-$H105)/$H105)</f>
        <v>0.2421875</v>
      </c>
      <c r="L105" s="8">
        <f>IF($H105=0,"",(E105-$H105)/$H105)</f>
        <v>0.2578125</v>
      </c>
      <c r="M105" s="8">
        <f>IF($H105=0,"",(F105-$H105)/$H105)</f>
        <v>0.1015625</v>
      </c>
      <c r="N105" s="8">
        <f>IF($H105=0,"",(G105-$H105)/$H105)</f>
        <v>0.0</v>
      </c>
      <c r="O105" s="9">
        <f>IF(ABS(C105-$H105)&lt;=1E-9,1,0)</f>
        <v>0</v>
      </c>
      <c r="P105" s="9">
        <f>IF(ABS(D105-$H105)&lt;=1E-9,1,0)</f>
        <v>0</v>
      </c>
      <c r="Q105" s="9">
        <f>IF(ABS(E105-$H105)&lt;=1E-9,1,0)</f>
        <v>0</v>
      </c>
      <c r="R105" s="9">
        <f>IF(ABS(F105-$H105)&lt;=1E-9,1,0)</f>
        <v>0</v>
      </c>
      <c r="S105" s="9">
        <f>IF(ABS(G105-$H105)&lt;=1E-9,1,0)</f>
        <v>1</v>
      </c>
      <c r="T105" s="6" t="s">
        <v>26</v>
      </c>
    </row>
    <row r="106" spans="1:20">
      <c r="A106" s="6" t="s">
        <v>161</v>
      </c>
      <c r="B106" s="3">
        <v>50</v>
      </c>
      <c r="C106" s="7">
        <v>13</v>
      </c>
      <c r="D106" s="7">
        <v>14</v>
      </c>
      <c r="E106" s="7">
        <v>14</v>
      </c>
      <c r="F106" s="7">
        <v>16</v>
      </c>
      <c r="G106" s="7">
        <v>12</v>
      </c>
      <c r="H106" s="7">
        <f>MIN(C106:G106)</f>
        <v>12.0</v>
      </c>
      <c r="I106" s="6" t="s">
        <v>26</v>
      </c>
      <c r="J106" s="8">
        <f>IF($H106=0,"",(C106-$H106)/$H106)</f>
        <v>0.08333333333333331</v>
      </c>
      <c r="K106" s="8">
        <f>IF($H106=0,"",(D106-$H106)/$H106)</f>
        <v>0.16666666666666663</v>
      </c>
      <c r="L106" s="8">
        <f>IF($H106=0,"",(E106-$H106)/$H106)</f>
        <v>0.16666666666666663</v>
      </c>
      <c r="M106" s="8">
        <f>IF($H106=0,"",(F106-$H106)/$H106)</f>
        <v>0.33333333333333326</v>
      </c>
      <c r="N106" s="8">
        <f>IF($H106=0,"",(G106-$H106)/$H106)</f>
        <v>0.0</v>
      </c>
      <c r="O106" s="9">
        <f>IF(ABS(C106-$H106)&lt;=1E-9,1,0)</f>
        <v>0</v>
      </c>
      <c r="P106" s="9">
        <f>IF(ABS(D106-$H106)&lt;=1E-9,1,0)</f>
        <v>0</v>
      </c>
      <c r="Q106" s="9">
        <f>IF(ABS(E106-$H106)&lt;=1E-9,1,0)</f>
        <v>0</v>
      </c>
      <c r="R106" s="9">
        <f>IF(ABS(F106-$H106)&lt;=1E-9,1,0)</f>
        <v>0</v>
      </c>
      <c r="S106" s="9">
        <f>IF(ABS(G106-$H106)&lt;=1E-9,1,0)</f>
        <v>1</v>
      </c>
      <c r="T106" s="6" t="s">
        <v>26</v>
      </c>
    </row>
    <row r="107" spans="1:20">
      <c r="A107" s="6" t="s">
        <v>162</v>
      </c>
      <c r="B107" s="3">
        <v>50</v>
      </c>
      <c r="C107" s="7">
        <v>14</v>
      </c>
      <c r="D107" s="7">
        <v>13</v>
      </c>
      <c r="E107" s="7">
        <v>14</v>
      </c>
      <c r="F107" s="7">
        <v>16</v>
      </c>
      <c r="G107" s="7">
        <v>12</v>
      </c>
      <c r="H107" s="7">
        <f>MIN(C107:G107)</f>
        <v>12.0</v>
      </c>
      <c r="I107" s="6" t="s">
        <v>26</v>
      </c>
      <c r="J107" s="8">
        <f>IF($H107=0,"",(C107-$H107)/$H107)</f>
        <v>0.16666666666666663</v>
      </c>
      <c r="K107" s="8">
        <f>IF($H107=0,"",(D107-$H107)/$H107)</f>
        <v>0.08333333333333331</v>
      </c>
      <c r="L107" s="8">
        <f>IF($H107=0,"",(E107-$H107)/$H107)</f>
        <v>0.16666666666666663</v>
      </c>
      <c r="M107" s="8">
        <f>IF($H107=0,"",(F107-$H107)/$H107)</f>
        <v>0.33333333333333326</v>
      </c>
      <c r="N107" s="8">
        <f>IF($H107=0,"",(G107-$H107)/$H107)</f>
        <v>0.0</v>
      </c>
      <c r="O107" s="9">
        <f>IF(ABS(C107-$H107)&lt;=1E-9,1,0)</f>
        <v>0</v>
      </c>
      <c r="P107" s="9">
        <f>IF(ABS(D107-$H107)&lt;=1E-9,1,0)</f>
        <v>0</v>
      </c>
      <c r="Q107" s="9">
        <f>IF(ABS(E107-$H107)&lt;=1E-9,1,0)</f>
        <v>0</v>
      </c>
      <c r="R107" s="9">
        <f>IF(ABS(F107-$H107)&lt;=1E-9,1,0)</f>
        <v>0</v>
      </c>
      <c r="S107" s="9">
        <f>IF(ABS(G107-$H107)&lt;=1E-9,1,0)</f>
        <v>1</v>
      </c>
      <c r="T107" s="6" t="s">
        <v>26</v>
      </c>
    </row>
    <row r="108" spans="1:20">
      <c r="A108" s="6" t="s">
        <v>163</v>
      </c>
      <c r="B108" s="3">
        <v>50</v>
      </c>
      <c r="C108" s="7">
        <v>221</v>
      </c>
      <c r="D108" s="7">
        <v>228</v>
      </c>
      <c r="E108" s="7">
        <v>233</v>
      </c>
      <c r="F108" s="7">
        <v>208</v>
      </c>
      <c r="G108" s="7">
        <v>183</v>
      </c>
      <c r="H108" s="7">
        <f>MIN(C108:G108)</f>
        <v>183.0</v>
      </c>
      <c r="I108" s="6" t="s">
        <v>26</v>
      </c>
      <c r="J108" s="8">
        <f>IF($H108=0,"",(C108-$H108)/$H108)</f>
        <v>0.20765027322404372</v>
      </c>
      <c r="K108" s="8">
        <f>IF($H108=0,"",(D108-$H108)/$H108)</f>
        <v>0.2459016393442623</v>
      </c>
      <c r="L108" s="8">
        <f>IF($H108=0,"",(E108-$H108)/$H108)</f>
        <v>0.273224043715847</v>
      </c>
      <c r="M108" s="8">
        <f>IF($H108=0,"",(F108-$H108)/$H108)</f>
        <v>0.1366120218579235</v>
      </c>
      <c r="N108" s="8">
        <f>IF($H108=0,"",(G108-$H108)/$H108)</f>
        <v>0.0</v>
      </c>
      <c r="O108" s="9">
        <f>IF(ABS(C108-$H108)&lt;=1E-9,1,0)</f>
        <v>0</v>
      </c>
      <c r="P108" s="9">
        <f>IF(ABS(D108-$H108)&lt;=1E-9,1,0)</f>
        <v>0</v>
      </c>
      <c r="Q108" s="9">
        <f>IF(ABS(E108-$H108)&lt;=1E-9,1,0)</f>
        <v>0</v>
      </c>
      <c r="R108" s="9">
        <f>IF(ABS(F108-$H108)&lt;=1E-9,1,0)</f>
        <v>0</v>
      </c>
      <c r="S108" s="9">
        <f>IF(ABS(G108-$H108)&lt;=1E-9,1,0)</f>
        <v>1</v>
      </c>
      <c r="T108" s="6" t="s">
        <v>26</v>
      </c>
    </row>
    <row r="109" spans="1:20">
      <c r="A109" s="6" t="s">
        <v>164</v>
      </c>
      <c r="B109" s="3">
        <v>50</v>
      </c>
      <c r="C109" s="7">
        <v>245</v>
      </c>
      <c r="D109" s="7">
        <v>258</v>
      </c>
      <c r="E109" s="7">
        <v>251</v>
      </c>
      <c r="F109" s="7">
        <v>251</v>
      </c>
      <c r="G109" s="7">
        <v>212</v>
      </c>
      <c r="H109" s="7">
        <f>MIN(C109:G109)</f>
        <v>212.0</v>
      </c>
      <c r="I109" s="6" t="s">
        <v>26</v>
      </c>
      <c r="J109" s="8">
        <f>IF($H109=0,"",(C109-$H109)/$H109)</f>
        <v>0.15566037735849056</v>
      </c>
      <c r="K109" s="8">
        <f>IF($H109=0,"",(D109-$H109)/$H109)</f>
        <v>0.2169811320754717</v>
      </c>
      <c r="L109" s="8">
        <f>IF($H109=0,"",(E109-$H109)/$H109)</f>
        <v>0.1839622641509434</v>
      </c>
      <c r="M109" s="8">
        <f>IF($H109=0,"",(F109-$H109)/$H109)</f>
        <v>0.1839622641509434</v>
      </c>
      <c r="N109" s="8">
        <f>IF($H109=0,"",(G109-$H109)/$H109)</f>
        <v>0.0</v>
      </c>
      <c r="O109" s="9">
        <f>IF(ABS(C109-$H109)&lt;=1E-9,1,0)</f>
        <v>0</v>
      </c>
      <c r="P109" s="9">
        <f>IF(ABS(D109-$H109)&lt;=1E-9,1,0)</f>
        <v>0</v>
      </c>
      <c r="Q109" s="9">
        <f>IF(ABS(E109-$H109)&lt;=1E-9,1,0)</f>
        <v>0</v>
      </c>
      <c r="R109" s="9">
        <f>IF(ABS(F109-$H109)&lt;=1E-9,1,0)</f>
        <v>0</v>
      </c>
      <c r="S109" s="9">
        <f>IF(ABS(G109-$H109)&lt;=1E-9,1,0)</f>
        <v>1</v>
      </c>
      <c r="T109" s="6" t="s">
        <v>26</v>
      </c>
    </row>
    <row r="110" spans="1:20">
      <c r="A110" s="6" t="s">
        <v>165</v>
      </c>
      <c r="B110" s="3">
        <v>50</v>
      </c>
      <c r="C110" s="7">
        <v>11</v>
      </c>
      <c r="D110" s="7">
        <v>12</v>
      </c>
      <c r="E110" s="7">
        <v>13</v>
      </c>
      <c r="F110" s="7">
        <v>14</v>
      </c>
      <c r="G110" s="7">
        <v>11</v>
      </c>
      <c r="H110" s="7">
        <f>MIN(C110:G110)</f>
        <v>11.0</v>
      </c>
      <c r="I110" s="6" t="s">
        <v>119</v>
      </c>
      <c r="J110" s="8">
        <f>IF($H110=0,"",(C110-$H110)/$H110)</f>
        <v>0.0</v>
      </c>
      <c r="K110" s="8">
        <f>IF($H110=0,"",(D110-$H110)/$H110)</f>
        <v>0.09090909090909091</v>
      </c>
      <c r="L110" s="8">
        <f>IF($H110=0,"",(E110-$H110)/$H110)</f>
        <v>0.18181818181818182</v>
      </c>
      <c r="M110" s="8">
        <f>IF($H110=0,"",(F110-$H110)/$H110)</f>
        <v>0.2727272727272727</v>
      </c>
      <c r="N110" s="8">
        <f>IF($H110=0,"",(G110-$H110)/$H110)</f>
        <v>0.0</v>
      </c>
      <c r="O110" s="9">
        <f>IF(ABS(C110-$H110)&lt;=1E-9,1,0)</f>
        <v>1</v>
      </c>
      <c r="P110" s="9">
        <f>IF(ABS(D110-$H110)&lt;=1E-9,1,0)</f>
        <v>0</v>
      </c>
      <c r="Q110" s="9">
        <f>IF(ABS(E110-$H110)&lt;=1E-9,1,0)</f>
        <v>0</v>
      </c>
      <c r="R110" s="9">
        <f>IF(ABS(F110-$H110)&lt;=1E-9,1,0)</f>
        <v>0</v>
      </c>
      <c r="S110" s="9">
        <f>IF(ABS(G110-$H110)&lt;=1E-9,1,0)</f>
        <v>1</v>
      </c>
      <c r="T110" s="6" t="s">
        <v>51</v>
      </c>
    </row>
    <row r="111" spans="1:20">
      <c r="A111" s="6" t="s">
        <v>166</v>
      </c>
      <c r="B111" s="3">
        <v>50</v>
      </c>
      <c r="C111" s="7">
        <v>12</v>
      </c>
      <c r="D111" s="7">
        <v>11</v>
      </c>
      <c r="E111" s="7">
        <v>13</v>
      </c>
      <c r="F111" s="7">
        <v>14</v>
      </c>
      <c r="G111" s="7">
        <v>11</v>
      </c>
      <c r="H111" s="7">
        <f>MIN(C111:G111)</f>
        <v>11.0</v>
      </c>
      <c r="I111" s="6" t="s">
        <v>97</v>
      </c>
      <c r="J111" s="8">
        <f>IF($H111=0,"",(C111-$H111)/$H111)</f>
        <v>0.09090909090909091</v>
      </c>
      <c r="K111" s="8">
        <f>IF($H111=0,"",(D111-$H111)/$H111)</f>
        <v>0.0</v>
      </c>
      <c r="L111" s="8">
        <f>IF($H111=0,"",(E111-$H111)/$H111)</f>
        <v>0.18181818181818182</v>
      </c>
      <c r="M111" s="8">
        <f>IF($H111=0,"",(F111-$H111)/$H111)</f>
        <v>0.2727272727272727</v>
      </c>
      <c r="N111" s="8">
        <f>IF($H111=0,"",(G111-$H111)/$H111)</f>
        <v>0.0</v>
      </c>
      <c r="O111" s="9">
        <f>IF(ABS(C111-$H111)&lt;=1E-9,1,0)</f>
        <v>0</v>
      </c>
      <c r="P111" s="9">
        <f>IF(ABS(D111-$H111)&lt;=1E-9,1,0)</f>
        <v>1</v>
      </c>
      <c r="Q111" s="9">
        <f>IF(ABS(E111-$H111)&lt;=1E-9,1,0)</f>
        <v>0</v>
      </c>
      <c r="R111" s="9">
        <f>IF(ABS(F111-$H111)&lt;=1E-9,1,0)</f>
        <v>0</v>
      </c>
      <c r="S111" s="9">
        <f>IF(ABS(G111-$H111)&lt;=1E-9,1,0)</f>
        <v>1</v>
      </c>
      <c r="T111" s="6" t="s">
        <v>51</v>
      </c>
    </row>
    <row r="112" spans="1:20">
      <c r="A112" s="6" t="s">
        <v>167</v>
      </c>
      <c r="B112" s="3">
        <v>50</v>
      </c>
      <c r="C112" s="7">
        <v>210</v>
      </c>
      <c r="D112" s="7">
        <v>215</v>
      </c>
      <c r="E112" s="7">
        <v>233</v>
      </c>
      <c r="F112" s="7">
        <v>204</v>
      </c>
      <c r="G112" s="7">
        <v>183</v>
      </c>
      <c r="H112" s="7">
        <f>MIN(C112:G112)</f>
        <v>183.0</v>
      </c>
      <c r="I112" s="6" t="s">
        <v>26</v>
      </c>
      <c r="J112" s="8">
        <f>IF($H112=0,"",(C112-$H112)/$H112)</f>
        <v>0.14754098360655737</v>
      </c>
      <c r="K112" s="8">
        <f>IF($H112=0,"",(D112-$H112)/$H112)</f>
        <v>0.1748633879781421</v>
      </c>
      <c r="L112" s="8">
        <f>IF($H112=0,"",(E112-$H112)/$H112)</f>
        <v>0.273224043715847</v>
      </c>
      <c r="M112" s="8">
        <f>IF($H112=0,"",(F112-$H112)/$H112)</f>
        <v>0.11475409836065573</v>
      </c>
      <c r="N112" s="8">
        <f>IF($H112=0,"",(G112-$H112)/$H112)</f>
        <v>0.0</v>
      </c>
      <c r="O112" s="9">
        <f>IF(ABS(C112-$H112)&lt;=1E-9,1,0)</f>
        <v>0</v>
      </c>
      <c r="P112" s="9">
        <f>IF(ABS(D112-$H112)&lt;=1E-9,1,0)</f>
        <v>0</v>
      </c>
      <c r="Q112" s="9">
        <f>IF(ABS(E112-$H112)&lt;=1E-9,1,0)</f>
        <v>0</v>
      </c>
      <c r="R112" s="9">
        <f>IF(ABS(F112-$H112)&lt;=1E-9,1,0)</f>
        <v>0</v>
      </c>
      <c r="S112" s="9">
        <f>IF(ABS(G112-$H112)&lt;=1E-9,1,0)</f>
        <v>1</v>
      </c>
      <c r="T112" s="6" t="s">
        <v>26</v>
      </c>
    </row>
    <row r="113" spans="1:20">
      <c r="A113" s="6" t="s">
        <v>168</v>
      </c>
      <c r="B113" s="3">
        <v>50</v>
      </c>
      <c r="C113" s="7">
        <v>224</v>
      </c>
      <c r="D113" s="7">
        <v>227</v>
      </c>
      <c r="E113" s="7">
        <v>230</v>
      </c>
      <c r="F113" s="7">
        <v>213</v>
      </c>
      <c r="G113" s="7">
        <v>194</v>
      </c>
      <c r="H113" s="7">
        <f>MIN(C113:G113)</f>
        <v>194.0</v>
      </c>
      <c r="I113" s="6" t="s">
        <v>26</v>
      </c>
      <c r="J113" s="8">
        <f>IF($H113=0,"",(C113-$H113)/$H113)</f>
        <v>0.15463917525773196</v>
      </c>
      <c r="K113" s="8">
        <f>IF($H113=0,"",(D113-$H113)/$H113)</f>
        <v>0.17010309278350516</v>
      </c>
      <c r="L113" s="8">
        <f>IF($H113=0,"",(E113-$H113)/$H113)</f>
        <v>0.18556701030927836</v>
      </c>
      <c r="M113" s="8">
        <f>IF($H113=0,"",(F113-$H113)/$H113)</f>
        <v>0.09793814432989692</v>
      </c>
      <c r="N113" s="8">
        <f>IF($H113=0,"",(G113-$H113)/$H113)</f>
        <v>0.0</v>
      </c>
      <c r="O113" s="9">
        <f>IF(ABS(C113-$H113)&lt;=1E-9,1,0)</f>
        <v>0</v>
      </c>
      <c r="P113" s="9">
        <f>IF(ABS(D113-$H113)&lt;=1E-9,1,0)</f>
        <v>0</v>
      </c>
      <c r="Q113" s="9">
        <f>IF(ABS(E113-$H113)&lt;=1E-9,1,0)</f>
        <v>0</v>
      </c>
      <c r="R113" s="9">
        <f>IF(ABS(F113-$H113)&lt;=1E-9,1,0)</f>
        <v>0</v>
      </c>
      <c r="S113" s="9">
        <f>IF(ABS(G113-$H113)&lt;=1E-9,1,0)</f>
        <v>1</v>
      </c>
      <c r="T113" s="6" t="s">
        <v>26</v>
      </c>
    </row>
    <row r="114" spans="1:20">
      <c r="A114" s="6" t="s">
        <v>169</v>
      </c>
      <c r="B114" s="3">
        <v>50</v>
      </c>
      <c r="C114" s="7">
        <v>20</v>
      </c>
      <c r="D114" s="7">
        <v>20</v>
      </c>
      <c r="E114" s="7">
        <v>20</v>
      </c>
      <c r="F114" s="7">
        <v>19</v>
      </c>
      <c r="G114" s="7">
        <v>18</v>
      </c>
      <c r="H114" s="7">
        <f>MIN(C114:G114)</f>
        <v>18.0</v>
      </c>
      <c r="I114" s="6" t="s">
        <v>26</v>
      </c>
      <c r="J114" s="8">
        <f>IF($H114=0,"",(C114-$H114)/$H114)</f>
        <v>0.1111111111111111</v>
      </c>
      <c r="K114" s="8">
        <f>IF($H114=0,"",(D114-$H114)/$H114)</f>
        <v>0.1111111111111111</v>
      </c>
      <c r="L114" s="8">
        <f>IF($H114=0,"",(E114-$H114)/$H114)</f>
        <v>0.1111111111111111</v>
      </c>
      <c r="M114" s="8">
        <f>IF($H114=0,"",(F114-$H114)/$H114)</f>
        <v>0.05555555555555555</v>
      </c>
      <c r="N114" s="8">
        <f>IF($H114=0,"",(G114-$H114)/$H114)</f>
        <v>0.0</v>
      </c>
      <c r="O114" s="9">
        <f>IF(ABS(C114-$H114)&lt;=1E-9,1,0)</f>
        <v>0</v>
      </c>
      <c r="P114" s="9">
        <f>IF(ABS(D114-$H114)&lt;=1E-9,1,0)</f>
        <v>0</v>
      </c>
      <c r="Q114" s="9">
        <f>IF(ABS(E114-$H114)&lt;=1E-9,1,0)</f>
        <v>0</v>
      </c>
      <c r="R114" s="9">
        <f>IF(ABS(F114-$H114)&lt;=1E-9,1,0)</f>
        <v>0</v>
      </c>
      <c r="S114" s="9">
        <f>IF(ABS(G114-$H114)&lt;=1E-9,1,0)</f>
        <v>1</v>
      </c>
      <c r="T114" s="6" t="s">
        <v>26</v>
      </c>
    </row>
    <row r="115" spans="1:20">
      <c r="A115" s="6" t="s">
        <v>170</v>
      </c>
      <c r="B115" s="3">
        <v>50</v>
      </c>
      <c r="C115" s="7">
        <v>19</v>
      </c>
      <c r="D115" s="7">
        <v>18</v>
      </c>
      <c r="E115" s="7">
        <v>19</v>
      </c>
      <c r="F115" s="7">
        <v>19</v>
      </c>
      <c r="G115" s="7">
        <v>17</v>
      </c>
      <c r="H115" s="7">
        <f>MIN(C115:G115)</f>
        <v>17.0</v>
      </c>
      <c r="I115" s="6" t="s">
        <v>26</v>
      </c>
      <c r="J115" s="8">
        <f>IF($H115=0,"",(C115-$H115)/$H115)</f>
        <v>0.1176470588235294</v>
      </c>
      <c r="K115" s="8">
        <f>IF($H115=0,"",(D115-$H115)/$H115)</f>
        <v>0.0588235294117647</v>
      </c>
      <c r="L115" s="8">
        <f>IF($H115=0,"",(E115-$H115)/$H115)</f>
        <v>0.1176470588235294</v>
      </c>
      <c r="M115" s="8">
        <f>IF($H115=0,"",(F115-$H115)/$H115)</f>
        <v>0.1176470588235294</v>
      </c>
      <c r="N115" s="8">
        <f>IF($H115=0,"",(G115-$H115)/$H115)</f>
        <v>0.0</v>
      </c>
      <c r="O115" s="9">
        <f>IF(ABS(C115-$H115)&lt;=1E-9,1,0)</f>
        <v>0</v>
      </c>
      <c r="P115" s="9">
        <f>IF(ABS(D115-$H115)&lt;=1E-9,1,0)</f>
        <v>0</v>
      </c>
      <c r="Q115" s="9">
        <f>IF(ABS(E115-$H115)&lt;=1E-9,1,0)</f>
        <v>0</v>
      </c>
      <c r="R115" s="9">
        <f>IF(ABS(F115-$H115)&lt;=1E-9,1,0)</f>
        <v>0</v>
      </c>
      <c r="S115" s="9">
        <f>IF(ABS(G115-$H115)&lt;=1E-9,1,0)</f>
        <v>1</v>
      </c>
      <c r="T115" s="6" t="s">
        <v>26</v>
      </c>
    </row>
    <row r="116" spans="1:20">
      <c r="A116" s="6" t="s">
        <v>171</v>
      </c>
      <c r="B116" s="3">
        <v>50</v>
      </c>
      <c r="C116" s="7">
        <v>321</v>
      </c>
      <c r="D116" s="7">
        <v>330</v>
      </c>
      <c r="E116" s="7">
        <v>324</v>
      </c>
      <c r="F116" s="7">
        <v>278</v>
      </c>
      <c r="G116" s="7">
        <v>236</v>
      </c>
      <c r="H116" s="7">
        <f>MIN(C116:G116)</f>
        <v>236.0</v>
      </c>
      <c r="I116" s="6" t="s">
        <v>26</v>
      </c>
      <c r="J116" s="8">
        <f>IF($H116=0,"",(C116-$H116)/$H116)</f>
        <v>0.3601694915254237</v>
      </c>
      <c r="K116" s="8">
        <f>IF($H116=0,"",(D116-$H116)/$H116)</f>
        <v>0.3983050847457627</v>
      </c>
      <c r="L116" s="8">
        <f>IF($H116=0,"",(E116-$H116)/$H116)</f>
        <v>0.3728813559322034</v>
      </c>
      <c r="M116" s="8">
        <f>IF($H116=0,"",(F116-$H116)/$H116)</f>
        <v>0.17796610169491525</v>
      </c>
      <c r="N116" s="8">
        <f>IF($H116=0,"",(G116-$H116)/$H116)</f>
        <v>0.0</v>
      </c>
      <c r="O116" s="9">
        <f>IF(ABS(C116-$H116)&lt;=1E-9,1,0)</f>
        <v>0</v>
      </c>
      <c r="P116" s="9">
        <f>IF(ABS(D116-$H116)&lt;=1E-9,1,0)</f>
        <v>0</v>
      </c>
      <c r="Q116" s="9">
        <f>IF(ABS(E116-$H116)&lt;=1E-9,1,0)</f>
        <v>0</v>
      </c>
      <c r="R116" s="9">
        <f>IF(ABS(F116-$H116)&lt;=1E-9,1,0)</f>
        <v>0</v>
      </c>
      <c r="S116" s="9">
        <f>IF(ABS(G116-$H116)&lt;=1E-9,1,0)</f>
        <v>1</v>
      </c>
      <c r="T116" s="6" t="s">
        <v>26</v>
      </c>
    </row>
    <row r="117" spans="1:20">
      <c r="A117" s="6" t="s">
        <v>172</v>
      </c>
      <c r="B117" s="3">
        <v>50</v>
      </c>
      <c r="C117" s="7">
        <v>312</v>
      </c>
      <c r="D117" s="7">
        <v>321</v>
      </c>
      <c r="E117" s="7">
        <v>328</v>
      </c>
      <c r="F117" s="7">
        <v>273</v>
      </c>
      <c r="G117" s="7">
        <v>238</v>
      </c>
      <c r="H117" s="7">
        <f>MIN(C117:G117)</f>
        <v>238.0</v>
      </c>
      <c r="I117" s="6" t="s">
        <v>26</v>
      </c>
      <c r="J117" s="8">
        <f>IF($H117=0,"",(C117-$H117)/$H117)</f>
        <v>0.31092436974789917</v>
      </c>
      <c r="K117" s="8">
        <f>IF($H117=0,"",(D117-$H117)/$H117)</f>
        <v>0.3487394957983193</v>
      </c>
      <c r="L117" s="8">
        <f>IF($H117=0,"",(E117-$H117)/$H117)</f>
        <v>0.37815126050420167</v>
      </c>
      <c r="M117" s="8">
        <f>IF($H117=0,"",(F117-$H117)/$H117)</f>
        <v>0.14705882352941177</v>
      </c>
      <c r="N117" s="8">
        <f>IF($H117=0,"",(G117-$H117)/$H117)</f>
        <v>0.0</v>
      </c>
      <c r="O117" s="9">
        <f>IF(ABS(C117-$H117)&lt;=1E-9,1,0)</f>
        <v>0</v>
      </c>
      <c r="P117" s="9">
        <f>IF(ABS(D117-$H117)&lt;=1E-9,1,0)</f>
        <v>0</v>
      </c>
      <c r="Q117" s="9">
        <f>IF(ABS(E117-$H117)&lt;=1E-9,1,0)</f>
        <v>0</v>
      </c>
      <c r="R117" s="9">
        <f>IF(ABS(F117-$H117)&lt;=1E-9,1,0)</f>
        <v>0</v>
      </c>
      <c r="S117" s="9">
        <f>IF(ABS(G117-$H117)&lt;=1E-9,1,0)</f>
        <v>1</v>
      </c>
      <c r="T117" s="6" t="s">
        <v>26</v>
      </c>
    </row>
    <row r="118" spans="1:20">
      <c r="A118" s="6" t="s">
        <v>173</v>
      </c>
      <c r="B118" s="3">
        <v>50</v>
      </c>
      <c r="C118" s="7">
        <v>15</v>
      </c>
      <c r="D118" s="7">
        <v>15</v>
      </c>
      <c r="E118" s="7">
        <v>16</v>
      </c>
      <c r="F118" s="7">
        <v>16</v>
      </c>
      <c r="G118" s="7">
        <v>15</v>
      </c>
      <c r="H118" s="7">
        <f>MIN(C118:G118)</f>
        <v>15.0</v>
      </c>
      <c r="I118" s="6" t="s">
        <v>65</v>
      </c>
      <c r="J118" s="8">
        <f>IF($H118=0,"",(C118-$H118)/$H118)</f>
        <v>0.0</v>
      </c>
      <c r="K118" s="8">
        <f>IF($H118=0,"",(D118-$H118)/$H118)</f>
        <v>0.0</v>
      </c>
      <c r="L118" s="8">
        <f>IF($H118=0,"",(E118-$H118)/$H118)</f>
        <v>0.06666666666666667</v>
      </c>
      <c r="M118" s="8">
        <f>IF($H118=0,"",(F118-$H118)/$H118)</f>
        <v>0.06666666666666667</v>
      </c>
      <c r="N118" s="8">
        <f>IF($H118=0,"",(G118-$H118)/$H118)</f>
        <v>0.0</v>
      </c>
      <c r="O118" s="9">
        <f>IF(ABS(C118-$H118)&lt;=1E-9,1,0)</f>
        <v>1</v>
      </c>
      <c r="P118" s="9">
        <f>IF(ABS(D118-$H118)&lt;=1E-9,1,0)</f>
        <v>1</v>
      </c>
      <c r="Q118" s="9">
        <f>IF(ABS(E118-$H118)&lt;=1E-9,1,0)</f>
        <v>0</v>
      </c>
      <c r="R118" s="9">
        <f>IF(ABS(F118-$H118)&lt;=1E-9,1,0)</f>
        <v>0</v>
      </c>
      <c r="S118" s="9">
        <f>IF(ABS(G118-$H118)&lt;=1E-9,1,0)</f>
        <v>1</v>
      </c>
      <c r="T118" s="6" t="s">
        <v>51</v>
      </c>
    </row>
    <row r="119" spans="1:20">
      <c r="A119" s="6" t="s">
        <v>174</v>
      </c>
      <c r="B119" s="3">
        <v>50</v>
      </c>
      <c r="C119" s="7">
        <v>16</v>
      </c>
      <c r="D119" s="7">
        <v>16</v>
      </c>
      <c r="E119" s="7">
        <v>16</v>
      </c>
      <c r="F119" s="7">
        <v>18</v>
      </c>
      <c r="G119" s="7">
        <v>15</v>
      </c>
      <c r="H119" s="7">
        <f>MIN(C119:G119)</f>
        <v>15.0</v>
      </c>
      <c r="I119" s="6" t="s">
        <v>26</v>
      </c>
      <c r="J119" s="8">
        <f>IF($H119=0,"",(C119-$H119)/$H119)</f>
        <v>0.06666666666666667</v>
      </c>
      <c r="K119" s="8">
        <f>IF($H119=0,"",(D119-$H119)/$H119)</f>
        <v>0.06666666666666667</v>
      </c>
      <c r="L119" s="8">
        <f>IF($H119=0,"",(E119-$H119)/$H119)</f>
        <v>0.06666666666666667</v>
      </c>
      <c r="M119" s="8">
        <f>IF($H119=0,"",(F119-$H119)/$H119)</f>
        <v>0.2</v>
      </c>
      <c r="N119" s="8">
        <f>IF($H119=0,"",(G119-$H119)/$H119)</f>
        <v>0.0</v>
      </c>
      <c r="O119" s="9">
        <f>IF(ABS(C119-$H119)&lt;=1E-9,1,0)</f>
        <v>0</v>
      </c>
      <c r="P119" s="9">
        <f>IF(ABS(D119-$H119)&lt;=1E-9,1,0)</f>
        <v>0</v>
      </c>
      <c r="Q119" s="9">
        <f>IF(ABS(E119-$H119)&lt;=1E-9,1,0)</f>
        <v>0</v>
      </c>
      <c r="R119" s="9">
        <f>IF(ABS(F119-$H119)&lt;=1E-9,1,0)</f>
        <v>0</v>
      </c>
      <c r="S119" s="9">
        <f>IF(ABS(G119-$H119)&lt;=1E-9,1,0)</f>
        <v>1</v>
      </c>
      <c r="T119" s="6" t="s">
        <v>26</v>
      </c>
    </row>
    <row r="120" spans="1:20">
      <c r="A120" s="6" t="s">
        <v>175</v>
      </c>
      <c r="B120" s="3">
        <v>50</v>
      </c>
      <c r="C120" s="7">
        <v>329</v>
      </c>
      <c r="D120" s="7">
        <v>338</v>
      </c>
      <c r="E120" s="7">
        <v>318</v>
      </c>
      <c r="F120" s="7">
        <v>280</v>
      </c>
      <c r="G120" s="7">
        <v>240</v>
      </c>
      <c r="H120" s="7">
        <f>MIN(C120:G120)</f>
        <v>240.0</v>
      </c>
      <c r="I120" s="6" t="s">
        <v>26</v>
      </c>
      <c r="J120" s="8">
        <f>IF($H120=0,"",(C120-$H120)/$H120)</f>
        <v>0.37083333333333335</v>
      </c>
      <c r="K120" s="8">
        <f>IF($H120=0,"",(D120-$H120)/$H120)</f>
        <v>0.4083333333333334</v>
      </c>
      <c r="L120" s="8">
        <f>IF($H120=0,"",(E120-$H120)/$H120)</f>
        <v>0.325</v>
      </c>
      <c r="M120" s="8">
        <f>IF($H120=0,"",(F120-$H120)/$H120)</f>
        <v>0.16666666666666663</v>
      </c>
      <c r="N120" s="8">
        <f>IF($H120=0,"",(G120-$H120)/$H120)</f>
        <v>0.0</v>
      </c>
      <c r="O120" s="9">
        <f>IF(ABS(C120-$H120)&lt;=1E-9,1,0)</f>
        <v>0</v>
      </c>
      <c r="P120" s="9">
        <f>IF(ABS(D120-$H120)&lt;=1E-9,1,0)</f>
        <v>0</v>
      </c>
      <c r="Q120" s="9">
        <f>IF(ABS(E120-$H120)&lt;=1E-9,1,0)</f>
        <v>0</v>
      </c>
      <c r="R120" s="9">
        <f>IF(ABS(F120-$H120)&lt;=1E-9,1,0)</f>
        <v>0</v>
      </c>
      <c r="S120" s="9">
        <f>IF(ABS(G120-$H120)&lt;=1E-9,1,0)</f>
        <v>1</v>
      </c>
      <c r="T120" s="6" t="s">
        <v>26</v>
      </c>
    </row>
    <row r="121" spans="1:20">
      <c r="A121" s="6" t="s">
        <v>176</v>
      </c>
      <c r="B121" s="3">
        <v>50</v>
      </c>
      <c r="C121" s="7">
        <v>276</v>
      </c>
      <c r="D121" s="7">
        <v>280</v>
      </c>
      <c r="E121" s="7">
        <v>281</v>
      </c>
      <c r="F121" s="7">
        <v>242</v>
      </c>
      <c r="G121" s="7">
        <v>218</v>
      </c>
      <c r="H121" s="7">
        <f>MIN(C121:G121)</f>
        <v>218.0</v>
      </c>
      <c r="I121" s="6" t="s">
        <v>26</v>
      </c>
      <c r="J121" s="8">
        <f>IF($H121=0,"",(C121-$H121)/$H121)</f>
        <v>0.26605504587155965</v>
      </c>
      <c r="K121" s="8">
        <f>IF($H121=0,"",(D121-$H121)/$H121)</f>
        <v>0.28440366972477066</v>
      </c>
      <c r="L121" s="8">
        <f>IF($H121=0,"",(E121-$H121)/$H121)</f>
        <v>0.2889908256880734</v>
      </c>
      <c r="M121" s="8">
        <f>IF($H121=0,"",(F121-$H121)/$H121)</f>
        <v>0.11009174311926608</v>
      </c>
      <c r="N121" s="8">
        <f>IF($H121=0,"",(G121-$H121)/$H121)</f>
        <v>0.0</v>
      </c>
      <c r="O121" s="9">
        <f>IF(ABS(C121-$H121)&lt;=1E-9,1,0)</f>
        <v>0</v>
      </c>
      <c r="P121" s="9">
        <f>IF(ABS(D121-$H121)&lt;=1E-9,1,0)</f>
        <v>0</v>
      </c>
      <c r="Q121" s="9">
        <f>IF(ABS(E121-$H121)&lt;=1E-9,1,0)</f>
        <v>0</v>
      </c>
      <c r="R121" s="9">
        <f>IF(ABS(F121-$H121)&lt;=1E-9,1,0)</f>
        <v>0</v>
      </c>
      <c r="S121" s="9">
        <f>IF(ABS(G121-$H121)&lt;=1E-9,1,0)</f>
        <v>1</v>
      </c>
      <c r="T121" s="6" t="s">
        <v>26</v>
      </c>
    </row>
    <row r="122" spans="1:20">
      <c r="A122" s="6" t="s">
        <v>177</v>
      </c>
      <c r="B122" s="3">
        <v>50</v>
      </c>
      <c r="C122" s="7">
        <v>13</v>
      </c>
      <c r="D122" s="7">
        <v>13</v>
      </c>
      <c r="E122" s="7">
        <v>14</v>
      </c>
      <c r="F122" s="7">
        <v>17</v>
      </c>
      <c r="G122" s="7">
        <v>12</v>
      </c>
      <c r="H122" s="7">
        <f>MIN(C122:G122)</f>
        <v>12.0</v>
      </c>
      <c r="I122" s="6" t="s">
        <v>26</v>
      </c>
      <c r="J122" s="8">
        <f>IF($H122=0,"",(C122-$H122)/$H122)</f>
        <v>0.08333333333333331</v>
      </c>
      <c r="K122" s="8">
        <f>IF($H122=0,"",(D122-$H122)/$H122)</f>
        <v>0.08333333333333331</v>
      </c>
      <c r="L122" s="8">
        <f>IF($H122=0,"",(E122-$H122)/$H122)</f>
        <v>0.16666666666666663</v>
      </c>
      <c r="M122" s="8">
        <f>IF($H122=0,"",(F122-$H122)/$H122)</f>
        <v>0.41666666666666674</v>
      </c>
      <c r="N122" s="8">
        <f>IF($H122=0,"",(G122-$H122)/$H122)</f>
        <v>0.0</v>
      </c>
      <c r="O122" s="9">
        <f>IF(ABS(C122-$H122)&lt;=1E-9,1,0)</f>
        <v>0</v>
      </c>
      <c r="P122" s="9">
        <f>IF(ABS(D122-$H122)&lt;=1E-9,1,0)</f>
        <v>0</v>
      </c>
      <c r="Q122" s="9">
        <f>IF(ABS(E122-$H122)&lt;=1E-9,1,0)</f>
        <v>0</v>
      </c>
      <c r="R122" s="9">
        <f>IF(ABS(F122-$H122)&lt;=1E-9,1,0)</f>
        <v>0</v>
      </c>
      <c r="S122" s="9">
        <f>IF(ABS(G122-$H122)&lt;=1E-9,1,0)</f>
        <v>1</v>
      </c>
      <c r="T122" s="6" t="s">
        <v>26</v>
      </c>
    </row>
    <row r="123" spans="1:20">
      <c r="A123" s="6" t="s">
        <v>178</v>
      </c>
      <c r="B123" s="3">
        <v>50</v>
      </c>
      <c r="C123" s="7">
        <v>12</v>
      </c>
      <c r="D123" s="7">
        <v>13</v>
      </c>
      <c r="E123" s="7">
        <v>13</v>
      </c>
      <c r="F123" s="7">
        <v>15</v>
      </c>
      <c r="G123" s="7">
        <v>12</v>
      </c>
      <c r="H123" s="7">
        <f>MIN(C123:G123)</f>
        <v>12.0</v>
      </c>
      <c r="I123" s="6" t="s">
        <v>119</v>
      </c>
      <c r="J123" s="8">
        <f>IF($H123=0,"",(C123-$H123)/$H123)</f>
        <v>0.0</v>
      </c>
      <c r="K123" s="8">
        <f>IF($H123=0,"",(D123-$H123)/$H123)</f>
        <v>0.08333333333333331</v>
      </c>
      <c r="L123" s="8">
        <f>IF($H123=0,"",(E123-$H123)/$H123)</f>
        <v>0.08333333333333331</v>
      </c>
      <c r="M123" s="8">
        <f>IF($H123=0,"",(F123-$H123)/$H123)</f>
        <v>0.25</v>
      </c>
      <c r="N123" s="8">
        <f>IF($H123=0,"",(G123-$H123)/$H123)</f>
        <v>0.0</v>
      </c>
      <c r="O123" s="9">
        <f>IF(ABS(C123-$H123)&lt;=1E-9,1,0)</f>
        <v>1</v>
      </c>
      <c r="P123" s="9">
        <f>IF(ABS(D123-$H123)&lt;=1E-9,1,0)</f>
        <v>0</v>
      </c>
      <c r="Q123" s="9">
        <f>IF(ABS(E123-$H123)&lt;=1E-9,1,0)</f>
        <v>0</v>
      </c>
      <c r="R123" s="9">
        <f>IF(ABS(F123-$H123)&lt;=1E-9,1,0)</f>
        <v>0</v>
      </c>
      <c r="S123" s="9">
        <f>IF(ABS(G123-$H123)&lt;=1E-9,1,0)</f>
        <v>1</v>
      </c>
      <c r="T123" s="6" t="s">
        <v>51</v>
      </c>
    </row>
    <row r="124" spans="1:20">
      <c r="A124" s="6" t="s">
        <v>179</v>
      </c>
      <c r="B124" s="3">
        <v>50</v>
      </c>
      <c r="C124" s="7">
        <v>238</v>
      </c>
      <c r="D124" s="7">
        <v>243</v>
      </c>
      <c r="E124" s="7">
        <v>238</v>
      </c>
      <c r="F124" s="7">
        <v>226</v>
      </c>
      <c r="G124" s="7">
        <v>191</v>
      </c>
      <c r="H124" s="7">
        <f>MIN(C124:G124)</f>
        <v>191.0</v>
      </c>
      <c r="I124" s="6" t="s">
        <v>26</v>
      </c>
      <c r="J124" s="8">
        <f>IF($H124=0,"",(C124-$H124)/$H124)</f>
        <v>0.24607329842931938</v>
      </c>
      <c r="K124" s="8">
        <f>IF($H124=0,"",(D124-$H124)/$H124)</f>
        <v>0.27225130890052357</v>
      </c>
      <c r="L124" s="8">
        <f>IF($H124=0,"",(E124-$H124)/$H124)</f>
        <v>0.24607329842931938</v>
      </c>
      <c r="M124" s="8">
        <f>IF($H124=0,"",(F124-$H124)/$H124)</f>
        <v>0.1832460732984293</v>
      </c>
      <c r="N124" s="8">
        <f>IF($H124=0,"",(G124-$H124)/$H124)</f>
        <v>0.0</v>
      </c>
      <c r="O124" s="9">
        <f>IF(ABS(C124-$H124)&lt;=1E-9,1,0)</f>
        <v>0</v>
      </c>
      <c r="P124" s="9">
        <f>IF(ABS(D124-$H124)&lt;=1E-9,1,0)</f>
        <v>0</v>
      </c>
      <c r="Q124" s="9">
        <f>IF(ABS(E124-$H124)&lt;=1E-9,1,0)</f>
        <v>0</v>
      </c>
      <c r="R124" s="9">
        <f>IF(ABS(F124-$H124)&lt;=1E-9,1,0)</f>
        <v>0</v>
      </c>
      <c r="S124" s="9">
        <f>IF(ABS(G124-$H124)&lt;=1E-9,1,0)</f>
        <v>1</v>
      </c>
      <c r="T124" s="6" t="s">
        <v>26</v>
      </c>
    </row>
    <row r="125" spans="1:20">
      <c r="A125" s="6" t="s">
        <v>180</v>
      </c>
      <c r="B125" s="3">
        <v>50</v>
      </c>
      <c r="C125" s="7">
        <v>250</v>
      </c>
      <c r="D125" s="7">
        <v>249</v>
      </c>
      <c r="E125" s="7">
        <v>251</v>
      </c>
      <c r="F125" s="7">
        <v>236</v>
      </c>
      <c r="G125" s="7">
        <v>192</v>
      </c>
      <c r="H125" s="7">
        <f>MIN(C125:G125)</f>
        <v>192.0</v>
      </c>
      <c r="I125" s="6" t="s">
        <v>26</v>
      </c>
      <c r="J125" s="8">
        <f>IF($H125=0,"",(C125-$H125)/$H125)</f>
        <v>0.3020833333333333</v>
      </c>
      <c r="K125" s="8">
        <f>IF($H125=0,"",(D125-$H125)/$H125)</f>
        <v>0.296875</v>
      </c>
      <c r="L125" s="8">
        <f>IF($H125=0,"",(E125-$H125)/$H125)</f>
        <v>0.3072916666666667</v>
      </c>
      <c r="M125" s="8">
        <f>IF($H125=0,"",(F125-$H125)/$H125)</f>
        <v>0.22916666666666663</v>
      </c>
      <c r="N125" s="8">
        <f>IF($H125=0,"",(G125-$H125)/$H125)</f>
        <v>0.0</v>
      </c>
      <c r="O125" s="9">
        <f>IF(ABS(C125-$H125)&lt;=1E-9,1,0)</f>
        <v>0</v>
      </c>
      <c r="P125" s="9">
        <f>IF(ABS(D125-$H125)&lt;=1E-9,1,0)</f>
        <v>0</v>
      </c>
      <c r="Q125" s="9">
        <f>IF(ABS(E125-$H125)&lt;=1E-9,1,0)</f>
        <v>0</v>
      </c>
      <c r="R125" s="9">
        <f>IF(ABS(F125-$H125)&lt;=1E-9,1,0)</f>
        <v>0</v>
      </c>
      <c r="S125" s="9">
        <f>IF(ABS(G125-$H125)&lt;=1E-9,1,0)</f>
        <v>1</v>
      </c>
      <c r="T125" s="6" t="s">
        <v>26</v>
      </c>
    </row>
    <row r="126" spans="1:20">
      <c r="A126" s="6" t="s">
        <v>181</v>
      </c>
      <c r="B126" s="3">
        <v>50</v>
      </c>
      <c r="C126" s="7">
        <v>11</v>
      </c>
      <c r="D126" s="7">
        <v>11</v>
      </c>
      <c r="E126" s="7">
        <v>11</v>
      </c>
      <c r="F126" s="7">
        <v>14</v>
      </c>
      <c r="G126" s="7">
        <v>10</v>
      </c>
      <c r="H126" s="7">
        <f>MIN(C126:G126)</f>
        <v>10.0</v>
      </c>
      <c r="I126" s="6" t="s">
        <v>26</v>
      </c>
      <c r="J126" s="8">
        <f>IF($H126=0,"",(C126-$H126)/$H126)</f>
        <v>0.1</v>
      </c>
      <c r="K126" s="8">
        <f>IF($H126=0,"",(D126-$H126)/$H126)</f>
        <v>0.1</v>
      </c>
      <c r="L126" s="8">
        <f>IF($H126=0,"",(E126-$H126)/$H126)</f>
        <v>0.1</v>
      </c>
      <c r="M126" s="8">
        <f>IF($H126=0,"",(F126-$H126)/$H126)</f>
        <v>0.4</v>
      </c>
      <c r="N126" s="8">
        <f>IF($H126=0,"",(G126-$H126)/$H126)</f>
        <v>0.0</v>
      </c>
      <c r="O126" s="9">
        <f>IF(ABS(C126-$H126)&lt;=1E-9,1,0)</f>
        <v>0</v>
      </c>
      <c r="P126" s="9">
        <f>IF(ABS(D126-$H126)&lt;=1E-9,1,0)</f>
        <v>0</v>
      </c>
      <c r="Q126" s="9">
        <f>IF(ABS(E126-$H126)&lt;=1E-9,1,0)</f>
        <v>0</v>
      </c>
      <c r="R126" s="9">
        <f>IF(ABS(F126-$H126)&lt;=1E-9,1,0)</f>
        <v>0</v>
      </c>
      <c r="S126" s="9">
        <f>IF(ABS(G126-$H126)&lt;=1E-9,1,0)</f>
        <v>1</v>
      </c>
      <c r="T126" s="6" t="s">
        <v>26</v>
      </c>
    </row>
    <row r="127" spans="1:20">
      <c r="A127" s="6" t="s">
        <v>182</v>
      </c>
      <c r="B127" s="3">
        <v>50</v>
      </c>
      <c r="C127" s="7">
        <v>12</v>
      </c>
      <c r="D127" s="7">
        <v>12</v>
      </c>
      <c r="E127" s="7">
        <v>12</v>
      </c>
      <c r="F127" s="7">
        <v>16</v>
      </c>
      <c r="G127" s="7">
        <v>10</v>
      </c>
      <c r="H127" s="7">
        <f>MIN(C127:G127)</f>
        <v>10.0</v>
      </c>
      <c r="I127" s="6" t="s">
        <v>26</v>
      </c>
      <c r="J127" s="8">
        <f>IF($H127=0,"",(C127-$H127)/$H127)</f>
        <v>0.2</v>
      </c>
      <c r="K127" s="8">
        <f>IF($H127=0,"",(D127-$H127)/$H127)</f>
        <v>0.2</v>
      </c>
      <c r="L127" s="8">
        <f>IF($H127=0,"",(E127-$H127)/$H127)</f>
        <v>0.2</v>
      </c>
      <c r="M127" s="8">
        <f>IF($H127=0,"",(F127-$H127)/$H127)</f>
        <v>0.6</v>
      </c>
      <c r="N127" s="8">
        <f>IF($H127=0,"",(G127-$H127)/$H127)</f>
        <v>0.0</v>
      </c>
      <c r="O127" s="9">
        <f>IF(ABS(C127-$H127)&lt;=1E-9,1,0)</f>
        <v>0</v>
      </c>
      <c r="P127" s="9">
        <f>IF(ABS(D127-$H127)&lt;=1E-9,1,0)</f>
        <v>0</v>
      </c>
      <c r="Q127" s="9">
        <f>IF(ABS(E127-$H127)&lt;=1E-9,1,0)</f>
        <v>0</v>
      </c>
      <c r="R127" s="9">
        <f>IF(ABS(F127-$H127)&lt;=1E-9,1,0)</f>
        <v>0</v>
      </c>
      <c r="S127" s="9">
        <f>IF(ABS(G127-$H127)&lt;=1E-9,1,0)</f>
        <v>1</v>
      </c>
      <c r="T127" s="6" t="s">
        <v>26</v>
      </c>
    </row>
    <row r="128" spans="1:20">
      <c r="A128" s="6" t="s">
        <v>183</v>
      </c>
      <c r="B128" s="3">
        <v>50</v>
      </c>
      <c r="C128" s="7">
        <v>249</v>
      </c>
      <c r="D128" s="7">
        <v>244</v>
      </c>
      <c r="E128" s="7">
        <v>242</v>
      </c>
      <c r="F128" s="7">
        <v>243</v>
      </c>
      <c r="G128" s="7">
        <v>197</v>
      </c>
      <c r="H128" s="7">
        <f>MIN(C128:G128)</f>
        <v>197.0</v>
      </c>
      <c r="I128" s="6" t="s">
        <v>26</v>
      </c>
      <c r="J128" s="8">
        <f>IF($H128=0,"",(C128-$H128)/$H128)</f>
        <v>0.2639593908629442</v>
      </c>
      <c r="K128" s="8">
        <f>IF($H128=0,"",(D128-$H128)/$H128)</f>
        <v>0.23857868020304568</v>
      </c>
      <c r="L128" s="8">
        <f>IF($H128=0,"",(E128-$H128)/$H128)</f>
        <v>0.22842639593908629</v>
      </c>
      <c r="M128" s="8">
        <f>IF($H128=0,"",(F128-$H128)/$H128)</f>
        <v>0.233502538071066</v>
      </c>
      <c r="N128" s="8">
        <f>IF($H128=0,"",(G128-$H128)/$H128)</f>
        <v>0.0</v>
      </c>
      <c r="O128" s="9">
        <f>IF(ABS(C128-$H128)&lt;=1E-9,1,0)</f>
        <v>0</v>
      </c>
      <c r="P128" s="9">
        <f>IF(ABS(D128-$H128)&lt;=1E-9,1,0)</f>
        <v>0</v>
      </c>
      <c r="Q128" s="9">
        <f>IF(ABS(E128-$H128)&lt;=1E-9,1,0)</f>
        <v>0</v>
      </c>
      <c r="R128" s="9">
        <f>IF(ABS(F128-$H128)&lt;=1E-9,1,0)</f>
        <v>0</v>
      </c>
      <c r="S128" s="9">
        <f>IF(ABS(G128-$H128)&lt;=1E-9,1,0)</f>
        <v>1</v>
      </c>
      <c r="T128" s="6" t="s">
        <v>26</v>
      </c>
    </row>
    <row r="129" spans="1:20">
      <c r="A129" s="6" t="s">
        <v>184</v>
      </c>
      <c r="B129" s="3">
        <v>50</v>
      </c>
      <c r="C129" s="7">
        <v>228</v>
      </c>
      <c r="D129" s="7">
        <v>213</v>
      </c>
      <c r="E129" s="7">
        <v>221</v>
      </c>
      <c r="F129" s="7">
        <v>225</v>
      </c>
      <c r="G129" s="7">
        <v>185</v>
      </c>
      <c r="H129" s="7">
        <f>MIN(C129:G129)</f>
        <v>185.0</v>
      </c>
      <c r="I129" s="6" t="s">
        <v>26</v>
      </c>
      <c r="J129" s="8">
        <f>IF($H129=0,"",(C129-$H129)/$H129)</f>
        <v>0.23243243243243245</v>
      </c>
      <c r="K129" s="8">
        <f>IF($H129=0,"",(D129-$H129)/$H129)</f>
        <v>0.15135135135135136</v>
      </c>
      <c r="L129" s="8">
        <f>IF($H129=0,"",(E129-$H129)/$H129)</f>
        <v>0.1945945945945946</v>
      </c>
      <c r="M129" s="8">
        <f>IF($H129=0,"",(F129-$H129)/$H129)</f>
        <v>0.2162162162162162</v>
      </c>
      <c r="N129" s="8">
        <f>IF($H129=0,"",(G129-$H129)/$H129)</f>
        <v>0.0</v>
      </c>
      <c r="O129" s="9">
        <f>IF(ABS(C129-$H129)&lt;=1E-9,1,0)</f>
        <v>0</v>
      </c>
      <c r="P129" s="9">
        <f>IF(ABS(D129-$H129)&lt;=1E-9,1,0)</f>
        <v>0</v>
      </c>
      <c r="Q129" s="9">
        <f>IF(ABS(E129-$H129)&lt;=1E-9,1,0)</f>
        <v>0</v>
      </c>
      <c r="R129" s="9">
        <f>IF(ABS(F129-$H129)&lt;=1E-9,1,0)</f>
        <v>0</v>
      </c>
      <c r="S129" s="9">
        <f>IF(ABS(G129-$H129)&lt;=1E-9,1,0)</f>
        <v>1</v>
      </c>
      <c r="T129" s="6" t="s">
        <v>26</v>
      </c>
    </row>
    <row r="130" spans="1:20">
      <c r="A130" s="6" t="s">
        <v>185</v>
      </c>
      <c r="B130" s="3">
        <v>75</v>
      </c>
      <c r="C130" s="7">
        <v>28</v>
      </c>
      <c r="D130" s="7">
        <v>29</v>
      </c>
      <c r="E130" s="7">
        <v>30</v>
      </c>
      <c r="F130" s="7">
        <v>28</v>
      </c>
      <c r="G130" s="7">
        <v>27</v>
      </c>
      <c r="H130" s="7">
        <f>MIN(C130:G130)</f>
        <v>27.0</v>
      </c>
      <c r="I130" s="6" t="s">
        <v>26</v>
      </c>
      <c r="J130" s="8">
        <f>IF($H130=0,"",(C130-$H130)/$H130)</f>
        <v>0.037037037037037035</v>
      </c>
      <c r="K130" s="8">
        <f>IF($H130=0,"",(D130-$H130)/$H130)</f>
        <v>0.07407407407407407</v>
      </c>
      <c r="L130" s="8">
        <f>IF($H130=0,"",(E130-$H130)/$H130)</f>
        <v>0.1111111111111111</v>
      </c>
      <c r="M130" s="8">
        <f>IF($H130=0,"",(F130-$H130)/$H130)</f>
        <v>0.037037037037037035</v>
      </c>
      <c r="N130" s="8">
        <f>IF($H130=0,"",(G130-$H130)/$H130)</f>
        <v>0.0</v>
      </c>
      <c r="O130" s="9">
        <f>IF(ABS(C130-$H130)&lt;=1E-9,1,0)</f>
        <v>0</v>
      </c>
      <c r="P130" s="9">
        <f>IF(ABS(D130-$H130)&lt;=1E-9,1,0)</f>
        <v>0</v>
      </c>
      <c r="Q130" s="9">
        <f>IF(ABS(E130-$H130)&lt;=1E-9,1,0)</f>
        <v>0</v>
      </c>
      <c r="R130" s="9">
        <f>IF(ABS(F130-$H130)&lt;=1E-9,1,0)</f>
        <v>0</v>
      </c>
      <c r="S130" s="9">
        <f>IF(ABS(G130-$H130)&lt;=1E-9,1,0)</f>
        <v>1</v>
      </c>
      <c r="T130" s="6" t="s">
        <v>26</v>
      </c>
    </row>
    <row r="131" spans="1:20">
      <c r="A131" s="6" t="s">
        <v>186</v>
      </c>
      <c r="B131" s="3">
        <v>75</v>
      </c>
      <c r="C131" s="7">
        <v>30</v>
      </c>
      <c r="D131" s="7">
        <v>32</v>
      </c>
      <c r="E131" s="7">
        <v>31</v>
      </c>
      <c r="F131" s="7">
        <v>30</v>
      </c>
      <c r="G131" s="7">
        <v>28</v>
      </c>
      <c r="H131" s="7">
        <f>MIN(C131:G131)</f>
        <v>28.0</v>
      </c>
      <c r="I131" s="6" t="s">
        <v>26</v>
      </c>
      <c r="J131" s="8">
        <f>IF($H131=0,"",(C131-$H131)/$H131)</f>
        <v>0.07142857142857142</v>
      </c>
      <c r="K131" s="8">
        <f>IF($H131=0,"",(D131-$H131)/$H131)</f>
        <v>0.14285714285714285</v>
      </c>
      <c r="L131" s="8">
        <f>IF($H131=0,"",(E131-$H131)/$H131)</f>
        <v>0.10714285714285714</v>
      </c>
      <c r="M131" s="8">
        <f>IF($H131=0,"",(F131-$H131)/$H131)</f>
        <v>0.07142857142857142</v>
      </c>
      <c r="N131" s="8">
        <f>IF($H131=0,"",(G131-$H131)/$H131)</f>
        <v>0.0</v>
      </c>
      <c r="O131" s="9">
        <f>IF(ABS(C131-$H131)&lt;=1E-9,1,0)</f>
        <v>0</v>
      </c>
      <c r="P131" s="9">
        <f>IF(ABS(D131-$H131)&lt;=1E-9,1,0)</f>
        <v>0</v>
      </c>
      <c r="Q131" s="9">
        <f>IF(ABS(E131-$H131)&lt;=1E-9,1,0)</f>
        <v>0</v>
      </c>
      <c r="R131" s="9">
        <f>IF(ABS(F131-$H131)&lt;=1E-9,1,0)</f>
        <v>0</v>
      </c>
      <c r="S131" s="9">
        <f>IF(ABS(G131-$H131)&lt;=1E-9,1,0)</f>
        <v>1</v>
      </c>
      <c r="T131" s="6" t="s">
        <v>26</v>
      </c>
    </row>
    <row r="132" spans="1:20">
      <c r="A132" s="6" t="s">
        <v>187</v>
      </c>
      <c r="B132" s="3">
        <v>75</v>
      </c>
      <c r="C132" s="7">
        <v>490</v>
      </c>
      <c r="D132" s="7">
        <v>503</v>
      </c>
      <c r="E132" s="7">
        <v>510</v>
      </c>
      <c r="F132" s="7">
        <v>398</v>
      </c>
      <c r="G132" s="7">
        <v>371</v>
      </c>
      <c r="H132" s="7">
        <f>MIN(C132:G132)</f>
        <v>371.0</v>
      </c>
      <c r="I132" s="6" t="s">
        <v>26</v>
      </c>
      <c r="J132" s="8">
        <f>IF($H132=0,"",(C132-$H132)/$H132)</f>
        <v>0.32075471698113206</v>
      </c>
      <c r="K132" s="8">
        <f>IF($H132=0,"",(D132-$H132)/$H132)</f>
        <v>0.3557951482479784</v>
      </c>
      <c r="L132" s="8">
        <f>IF($H132=0,"",(E132-$H132)/$H132)</f>
        <v>0.3746630727762803</v>
      </c>
      <c r="M132" s="8">
        <f>IF($H132=0,"",(F132-$H132)/$H132)</f>
        <v>0.07277628032345014</v>
      </c>
      <c r="N132" s="8">
        <f>IF($H132=0,"",(G132-$H132)/$H132)</f>
        <v>0.0</v>
      </c>
      <c r="O132" s="9">
        <f>IF(ABS(C132-$H132)&lt;=1E-9,1,0)</f>
        <v>0</v>
      </c>
      <c r="P132" s="9">
        <f>IF(ABS(D132-$H132)&lt;=1E-9,1,0)</f>
        <v>0</v>
      </c>
      <c r="Q132" s="9">
        <f>IF(ABS(E132-$H132)&lt;=1E-9,1,0)</f>
        <v>0</v>
      </c>
      <c r="R132" s="9">
        <f>IF(ABS(F132-$H132)&lt;=1E-9,1,0)</f>
        <v>0</v>
      </c>
      <c r="S132" s="9">
        <f>IF(ABS(G132-$H132)&lt;=1E-9,1,0)</f>
        <v>1</v>
      </c>
      <c r="T132" s="6" t="s">
        <v>26</v>
      </c>
    </row>
    <row r="133" spans="1:20">
      <c r="A133" s="6" t="s">
        <v>188</v>
      </c>
      <c r="B133" s="3">
        <v>75</v>
      </c>
      <c r="C133" s="7">
        <v>459</v>
      </c>
      <c r="D133" s="7">
        <v>460</v>
      </c>
      <c r="E133" s="7">
        <v>469</v>
      </c>
      <c r="F133" s="7">
        <v>389</v>
      </c>
      <c r="G133" s="7">
        <v>354</v>
      </c>
      <c r="H133" s="7">
        <f>MIN(C133:G133)</f>
        <v>354.0</v>
      </c>
      <c r="I133" s="6" t="s">
        <v>26</v>
      </c>
      <c r="J133" s="8">
        <f>IF($H133=0,"",(C133-$H133)/$H133)</f>
        <v>0.2966101694915254</v>
      </c>
      <c r="K133" s="8">
        <f>IF($H133=0,"",(D133-$H133)/$H133)</f>
        <v>0.2994350282485876</v>
      </c>
      <c r="L133" s="8">
        <f>IF($H133=0,"",(E133-$H133)/$H133)</f>
        <v>0.3248587570621469</v>
      </c>
      <c r="M133" s="8">
        <f>IF($H133=0,"",(F133-$H133)/$H133)</f>
        <v>0.09887005649717513</v>
      </c>
      <c r="N133" s="8">
        <f>IF($H133=0,"",(G133-$H133)/$H133)</f>
        <v>0.0</v>
      </c>
      <c r="O133" s="9">
        <f>IF(ABS(C133-$H133)&lt;=1E-9,1,0)</f>
        <v>0</v>
      </c>
      <c r="P133" s="9">
        <f>IF(ABS(D133-$H133)&lt;=1E-9,1,0)</f>
        <v>0</v>
      </c>
      <c r="Q133" s="9">
        <f>IF(ABS(E133-$H133)&lt;=1E-9,1,0)</f>
        <v>0</v>
      </c>
      <c r="R133" s="9">
        <f>IF(ABS(F133-$H133)&lt;=1E-9,1,0)</f>
        <v>0</v>
      </c>
      <c r="S133" s="9">
        <f>IF(ABS(G133-$H133)&lt;=1E-9,1,0)</f>
        <v>1</v>
      </c>
      <c r="T133" s="6" t="s">
        <v>26</v>
      </c>
    </row>
    <row r="134" spans="1:20">
      <c r="A134" s="6" t="s">
        <v>189</v>
      </c>
      <c r="B134" s="3">
        <v>75</v>
      </c>
      <c r="C134" s="7">
        <v>23</v>
      </c>
      <c r="D134" s="7">
        <v>23</v>
      </c>
      <c r="E134" s="7">
        <v>23</v>
      </c>
      <c r="F134" s="7">
        <v>23</v>
      </c>
      <c r="G134" s="7">
        <v>22</v>
      </c>
      <c r="H134" s="7">
        <f>MIN(C134:G134)</f>
        <v>22.0</v>
      </c>
      <c r="I134" s="6" t="s">
        <v>26</v>
      </c>
      <c r="J134" s="8">
        <f>IF($H134=0,"",(C134-$H134)/$H134)</f>
        <v>0.045454545454545456</v>
      </c>
      <c r="K134" s="8">
        <f>IF($H134=0,"",(D134-$H134)/$H134)</f>
        <v>0.045454545454545456</v>
      </c>
      <c r="L134" s="8">
        <f>IF($H134=0,"",(E134-$H134)/$H134)</f>
        <v>0.045454545454545456</v>
      </c>
      <c r="M134" s="8">
        <f>IF($H134=0,"",(F134-$H134)/$H134)</f>
        <v>0.045454545454545456</v>
      </c>
      <c r="N134" s="8">
        <f>IF($H134=0,"",(G134-$H134)/$H134)</f>
        <v>0.0</v>
      </c>
      <c r="O134" s="9">
        <f>IF(ABS(C134-$H134)&lt;=1E-9,1,0)</f>
        <v>0</v>
      </c>
      <c r="P134" s="9">
        <f>IF(ABS(D134-$H134)&lt;=1E-9,1,0)</f>
        <v>0</v>
      </c>
      <c r="Q134" s="9">
        <f>IF(ABS(E134-$H134)&lt;=1E-9,1,0)</f>
        <v>0</v>
      </c>
      <c r="R134" s="9">
        <f>IF(ABS(F134-$H134)&lt;=1E-9,1,0)</f>
        <v>0</v>
      </c>
      <c r="S134" s="9">
        <f>IF(ABS(G134-$H134)&lt;=1E-9,1,0)</f>
        <v>1</v>
      </c>
      <c r="T134" s="6" t="s">
        <v>26</v>
      </c>
    </row>
    <row r="135" spans="1:20">
      <c r="A135" s="6" t="s">
        <v>190</v>
      </c>
      <c r="B135" s="3">
        <v>75</v>
      </c>
      <c r="C135" s="7">
        <v>25</v>
      </c>
      <c r="D135" s="7">
        <v>24</v>
      </c>
      <c r="E135" s="7">
        <v>24</v>
      </c>
      <c r="F135" s="7">
        <v>25</v>
      </c>
      <c r="G135" s="7">
        <v>23</v>
      </c>
      <c r="H135" s="7">
        <f>MIN(C135:G135)</f>
        <v>23.0</v>
      </c>
      <c r="I135" s="6" t="s">
        <v>26</v>
      </c>
      <c r="J135" s="8">
        <f>IF($H135=0,"",(C135-$H135)/$H135)</f>
        <v>0.08695652173913043</v>
      </c>
      <c r="K135" s="8">
        <f>IF($H135=0,"",(D135-$H135)/$H135)</f>
        <v>0.043478260869565216</v>
      </c>
      <c r="L135" s="8">
        <f>IF($H135=0,"",(E135-$H135)/$H135)</f>
        <v>0.043478260869565216</v>
      </c>
      <c r="M135" s="8">
        <f>IF($H135=0,"",(F135-$H135)/$H135)</f>
        <v>0.08695652173913043</v>
      </c>
      <c r="N135" s="8">
        <f>IF($H135=0,"",(G135-$H135)/$H135)</f>
        <v>0.0</v>
      </c>
      <c r="O135" s="9">
        <f>IF(ABS(C135-$H135)&lt;=1E-9,1,0)</f>
        <v>0</v>
      </c>
      <c r="P135" s="9">
        <f>IF(ABS(D135-$H135)&lt;=1E-9,1,0)</f>
        <v>0</v>
      </c>
      <c r="Q135" s="9">
        <f>IF(ABS(E135-$H135)&lt;=1E-9,1,0)</f>
        <v>0</v>
      </c>
      <c r="R135" s="9">
        <f>IF(ABS(F135-$H135)&lt;=1E-9,1,0)</f>
        <v>0</v>
      </c>
      <c r="S135" s="9">
        <f>IF(ABS(G135-$H135)&lt;=1E-9,1,0)</f>
        <v>1</v>
      </c>
      <c r="T135" s="6" t="s">
        <v>26</v>
      </c>
    </row>
    <row r="136" spans="1:20">
      <c r="A136" s="6" t="s">
        <v>191</v>
      </c>
      <c r="B136" s="3">
        <v>75</v>
      </c>
      <c r="C136" s="7">
        <v>462</v>
      </c>
      <c r="D136" s="7">
        <v>468</v>
      </c>
      <c r="E136" s="7">
        <v>455</v>
      </c>
      <c r="F136" s="7">
        <v>383</v>
      </c>
      <c r="G136" s="7">
        <v>345</v>
      </c>
      <c r="H136" s="7">
        <f>MIN(C136:G136)</f>
        <v>345.0</v>
      </c>
      <c r="I136" s="6" t="s">
        <v>26</v>
      </c>
      <c r="J136" s="8">
        <f>IF($H136=0,"",(C136-$H136)/$H136)</f>
        <v>0.3391304347826087</v>
      </c>
      <c r="K136" s="8">
        <f>IF($H136=0,"",(D136-$H136)/$H136)</f>
        <v>0.3565217391304348</v>
      </c>
      <c r="L136" s="8">
        <f>IF($H136=0,"",(E136-$H136)/$H136)</f>
        <v>0.3188405797101449</v>
      </c>
      <c r="M136" s="8">
        <f>IF($H136=0,"",(F136-$H136)/$H136)</f>
        <v>0.11014492753623188</v>
      </c>
      <c r="N136" s="8">
        <f>IF($H136=0,"",(G136-$H136)/$H136)</f>
        <v>0.0</v>
      </c>
      <c r="O136" s="9">
        <f>IF(ABS(C136-$H136)&lt;=1E-9,1,0)</f>
        <v>0</v>
      </c>
      <c r="P136" s="9">
        <f>IF(ABS(D136-$H136)&lt;=1E-9,1,0)</f>
        <v>0</v>
      </c>
      <c r="Q136" s="9">
        <f>IF(ABS(E136-$H136)&lt;=1E-9,1,0)</f>
        <v>0</v>
      </c>
      <c r="R136" s="9">
        <f>IF(ABS(F136-$H136)&lt;=1E-9,1,0)</f>
        <v>0</v>
      </c>
      <c r="S136" s="9">
        <f>IF(ABS(G136-$H136)&lt;=1E-9,1,0)</f>
        <v>1</v>
      </c>
      <c r="T136" s="6" t="s">
        <v>26</v>
      </c>
    </row>
    <row r="137" spans="1:20">
      <c r="A137" s="6" t="s">
        <v>192</v>
      </c>
      <c r="B137" s="3">
        <v>75</v>
      </c>
      <c r="C137" s="7">
        <v>415</v>
      </c>
      <c r="D137" s="7">
        <v>407</v>
      </c>
      <c r="E137" s="7">
        <v>426</v>
      </c>
      <c r="F137" s="7">
        <v>339</v>
      </c>
      <c r="G137" s="7">
        <v>313</v>
      </c>
      <c r="H137" s="7">
        <f>MIN(C137:G137)</f>
        <v>313.0</v>
      </c>
      <c r="I137" s="6" t="s">
        <v>26</v>
      </c>
      <c r="J137" s="8">
        <f>IF($H137=0,"",(C137-$H137)/$H137)</f>
        <v>0.32587859424920124</v>
      </c>
      <c r="K137" s="8">
        <f>IF($H137=0,"",(D137-$H137)/$H137)</f>
        <v>0.3003194888178914</v>
      </c>
      <c r="L137" s="8">
        <f>IF($H137=0,"",(E137-$H137)/$H137)</f>
        <v>0.3610223642172524</v>
      </c>
      <c r="M137" s="8">
        <f>IF($H137=0,"",(F137-$H137)/$H137)</f>
        <v>0.0830670926517572</v>
      </c>
      <c r="N137" s="8">
        <f>IF($H137=0,"",(G137-$H137)/$H137)</f>
        <v>0.0</v>
      </c>
      <c r="O137" s="9">
        <f>IF(ABS(C137-$H137)&lt;=1E-9,1,0)</f>
        <v>0</v>
      </c>
      <c r="P137" s="9">
        <f>IF(ABS(D137-$H137)&lt;=1E-9,1,0)</f>
        <v>0</v>
      </c>
      <c r="Q137" s="9">
        <f>IF(ABS(E137-$H137)&lt;=1E-9,1,0)</f>
        <v>0</v>
      </c>
      <c r="R137" s="9">
        <f>IF(ABS(F137-$H137)&lt;=1E-9,1,0)</f>
        <v>0</v>
      </c>
      <c r="S137" s="9">
        <f>IF(ABS(G137-$H137)&lt;=1E-9,1,0)</f>
        <v>1</v>
      </c>
      <c r="T137" s="6" t="s">
        <v>26</v>
      </c>
    </row>
    <row r="138" spans="1:20">
      <c r="A138" s="6" t="s">
        <v>193</v>
      </c>
      <c r="B138" s="3">
        <v>75</v>
      </c>
      <c r="C138" s="7">
        <v>18</v>
      </c>
      <c r="D138" s="7">
        <v>18</v>
      </c>
      <c r="E138" s="7">
        <v>19</v>
      </c>
      <c r="F138" s="7">
        <v>22</v>
      </c>
      <c r="G138" s="7">
        <v>18</v>
      </c>
      <c r="H138" s="7">
        <f>MIN(C138:G138)</f>
        <v>18.0</v>
      </c>
      <c r="I138" s="6" t="s">
        <v>65</v>
      </c>
      <c r="J138" s="8">
        <f>IF($H138=0,"",(C138-$H138)/$H138)</f>
        <v>0.0</v>
      </c>
      <c r="K138" s="8">
        <f>IF($H138=0,"",(D138-$H138)/$H138)</f>
        <v>0.0</v>
      </c>
      <c r="L138" s="8">
        <f>IF($H138=0,"",(E138-$H138)/$H138)</f>
        <v>0.05555555555555555</v>
      </c>
      <c r="M138" s="8">
        <f>IF($H138=0,"",(F138-$H138)/$H138)</f>
        <v>0.2222222222222222</v>
      </c>
      <c r="N138" s="8">
        <f>IF($H138=0,"",(G138-$H138)/$H138)</f>
        <v>0.0</v>
      </c>
      <c r="O138" s="9">
        <f>IF(ABS(C138-$H138)&lt;=1E-9,1,0)</f>
        <v>1</v>
      </c>
      <c r="P138" s="9">
        <f>IF(ABS(D138-$H138)&lt;=1E-9,1,0)</f>
        <v>1</v>
      </c>
      <c r="Q138" s="9">
        <f>IF(ABS(E138-$H138)&lt;=1E-9,1,0)</f>
        <v>0</v>
      </c>
      <c r="R138" s="9">
        <f>IF(ABS(F138-$H138)&lt;=1E-9,1,0)</f>
        <v>0</v>
      </c>
      <c r="S138" s="9">
        <f>IF(ABS(G138-$H138)&lt;=1E-9,1,0)</f>
        <v>1</v>
      </c>
      <c r="T138" s="6" t="s">
        <v>51</v>
      </c>
    </row>
    <row r="139" spans="1:20">
      <c r="A139" s="6" t="s">
        <v>194</v>
      </c>
      <c r="B139" s="3">
        <v>75</v>
      </c>
      <c r="C139" s="7">
        <v>19</v>
      </c>
      <c r="D139" s="7">
        <v>18</v>
      </c>
      <c r="E139" s="7">
        <v>20</v>
      </c>
      <c r="F139" s="7">
        <v>20</v>
      </c>
      <c r="G139" s="7">
        <v>17</v>
      </c>
      <c r="H139" s="7">
        <f>MIN(C139:G139)</f>
        <v>17.0</v>
      </c>
      <c r="I139" s="6" t="s">
        <v>26</v>
      </c>
      <c r="J139" s="8">
        <f>IF($H139=0,"",(C139-$H139)/$H139)</f>
        <v>0.1176470588235294</v>
      </c>
      <c r="K139" s="8">
        <f>IF($H139=0,"",(D139-$H139)/$H139)</f>
        <v>0.0588235294117647</v>
      </c>
      <c r="L139" s="8">
        <f>IF($H139=0,"",(E139-$H139)/$H139)</f>
        <v>0.17647058823529413</v>
      </c>
      <c r="M139" s="8">
        <f>IF($H139=0,"",(F139-$H139)/$H139)</f>
        <v>0.17647058823529413</v>
      </c>
      <c r="N139" s="8">
        <f>IF($H139=0,"",(G139-$H139)/$H139)</f>
        <v>0.0</v>
      </c>
      <c r="O139" s="9">
        <f>IF(ABS(C139-$H139)&lt;=1E-9,1,0)</f>
        <v>0</v>
      </c>
      <c r="P139" s="9">
        <f>IF(ABS(D139-$H139)&lt;=1E-9,1,0)</f>
        <v>0</v>
      </c>
      <c r="Q139" s="9">
        <f>IF(ABS(E139-$H139)&lt;=1E-9,1,0)</f>
        <v>0</v>
      </c>
      <c r="R139" s="9">
        <f>IF(ABS(F139-$H139)&lt;=1E-9,1,0)</f>
        <v>0</v>
      </c>
      <c r="S139" s="9">
        <f>IF(ABS(G139-$H139)&lt;=1E-9,1,0)</f>
        <v>1</v>
      </c>
      <c r="T139" s="6" t="s">
        <v>26</v>
      </c>
    </row>
    <row r="140" spans="1:20">
      <c r="A140" s="6" t="s">
        <v>195</v>
      </c>
      <c r="B140" s="3">
        <v>75</v>
      </c>
      <c r="C140" s="7">
        <v>392</v>
      </c>
      <c r="D140" s="7">
        <v>393</v>
      </c>
      <c r="E140" s="7">
        <v>396</v>
      </c>
      <c r="F140" s="7">
        <v>321</v>
      </c>
      <c r="G140" s="7">
        <v>279</v>
      </c>
      <c r="H140" s="7">
        <f>MIN(C140:G140)</f>
        <v>279.0</v>
      </c>
      <c r="I140" s="6" t="s">
        <v>26</v>
      </c>
      <c r="J140" s="8">
        <f>IF($H140=0,"",(C140-$H140)/$H140)</f>
        <v>0.4050179211469534</v>
      </c>
      <c r="K140" s="8">
        <f>IF($H140=0,"",(D140-$H140)/$H140)</f>
        <v>0.4086021505376344</v>
      </c>
      <c r="L140" s="8">
        <f>IF($H140=0,"",(E140-$H140)/$H140)</f>
        <v>0.41935483870967744</v>
      </c>
      <c r="M140" s="8">
        <f>IF($H140=0,"",(F140-$H140)/$H140)</f>
        <v>0.15053763440860216</v>
      </c>
      <c r="N140" s="8">
        <f>IF($H140=0,"",(G140-$H140)/$H140)</f>
        <v>0.0</v>
      </c>
      <c r="O140" s="9">
        <f>IF(ABS(C140-$H140)&lt;=1E-9,1,0)</f>
        <v>0</v>
      </c>
      <c r="P140" s="9">
        <f>IF(ABS(D140-$H140)&lt;=1E-9,1,0)</f>
        <v>0</v>
      </c>
      <c r="Q140" s="9">
        <f>IF(ABS(E140-$H140)&lt;=1E-9,1,0)</f>
        <v>0</v>
      </c>
      <c r="R140" s="9">
        <f>IF(ABS(F140-$H140)&lt;=1E-9,1,0)</f>
        <v>0</v>
      </c>
      <c r="S140" s="9">
        <f>IF(ABS(G140-$H140)&lt;=1E-9,1,0)</f>
        <v>1</v>
      </c>
      <c r="T140" s="6" t="s">
        <v>26</v>
      </c>
    </row>
    <row r="141" spans="1:20">
      <c r="A141" s="6" t="s">
        <v>196</v>
      </c>
      <c r="B141" s="3">
        <v>75</v>
      </c>
      <c r="C141" s="7">
        <v>364</v>
      </c>
      <c r="D141" s="7">
        <v>364</v>
      </c>
      <c r="E141" s="7">
        <v>347</v>
      </c>
      <c r="F141" s="7">
        <v>339</v>
      </c>
      <c r="G141" s="7">
        <v>279</v>
      </c>
      <c r="H141" s="7">
        <f>MIN(C141:G141)</f>
        <v>279.0</v>
      </c>
      <c r="I141" s="6" t="s">
        <v>26</v>
      </c>
      <c r="J141" s="8">
        <f>IF($H141=0,"",(C141-$H141)/$H141)</f>
        <v>0.3046594982078853</v>
      </c>
      <c r="K141" s="8">
        <f>IF($H141=0,"",(D141-$H141)/$H141)</f>
        <v>0.3046594982078853</v>
      </c>
      <c r="L141" s="8">
        <f>IF($H141=0,"",(E141-$H141)/$H141)</f>
        <v>0.24372759856630824</v>
      </c>
      <c r="M141" s="8">
        <f>IF($H141=0,"",(F141-$H141)/$H141)</f>
        <v>0.2150537634408602</v>
      </c>
      <c r="N141" s="8">
        <f>IF($H141=0,"",(G141-$H141)/$H141)</f>
        <v>0.0</v>
      </c>
      <c r="O141" s="9">
        <f>IF(ABS(C141-$H141)&lt;=1E-9,1,0)</f>
        <v>0</v>
      </c>
      <c r="P141" s="9">
        <f>IF(ABS(D141-$H141)&lt;=1E-9,1,0)</f>
        <v>0</v>
      </c>
      <c r="Q141" s="9">
        <f>IF(ABS(E141-$H141)&lt;=1E-9,1,0)</f>
        <v>0</v>
      </c>
      <c r="R141" s="9">
        <f>IF(ABS(F141-$H141)&lt;=1E-9,1,0)</f>
        <v>0</v>
      </c>
      <c r="S141" s="9">
        <f>IF(ABS(G141-$H141)&lt;=1E-9,1,0)</f>
        <v>1</v>
      </c>
      <c r="T141" s="6" t="s">
        <v>26</v>
      </c>
    </row>
    <row r="142" spans="1:20">
      <c r="A142" s="6" t="s">
        <v>197</v>
      </c>
      <c r="B142" s="3">
        <v>75</v>
      </c>
      <c r="C142" s="7">
        <v>16</v>
      </c>
      <c r="D142" s="7">
        <v>16</v>
      </c>
      <c r="E142" s="7">
        <v>17</v>
      </c>
      <c r="F142" s="7">
        <v>22</v>
      </c>
      <c r="G142" s="7">
        <v>14</v>
      </c>
      <c r="H142" s="7">
        <f>MIN(C142:G142)</f>
        <v>14.0</v>
      </c>
      <c r="I142" s="6" t="s">
        <v>26</v>
      </c>
      <c r="J142" s="8">
        <f>IF($H142=0,"",(C142-$H142)/$H142)</f>
        <v>0.14285714285714285</v>
      </c>
      <c r="K142" s="8">
        <f>IF($H142=0,"",(D142-$H142)/$H142)</f>
        <v>0.14285714285714285</v>
      </c>
      <c r="L142" s="8">
        <f>IF($H142=0,"",(E142-$H142)/$H142)</f>
        <v>0.21428571428571427</v>
      </c>
      <c r="M142" s="8">
        <f>IF($H142=0,"",(F142-$H142)/$H142)</f>
        <v>0.5714285714285714</v>
      </c>
      <c r="N142" s="8">
        <f>IF($H142=0,"",(G142-$H142)/$H142)</f>
        <v>0.0</v>
      </c>
      <c r="O142" s="9">
        <f>IF(ABS(C142-$H142)&lt;=1E-9,1,0)</f>
        <v>0</v>
      </c>
      <c r="P142" s="9">
        <f>IF(ABS(D142-$H142)&lt;=1E-9,1,0)</f>
        <v>0</v>
      </c>
      <c r="Q142" s="9">
        <f>IF(ABS(E142-$H142)&lt;=1E-9,1,0)</f>
        <v>0</v>
      </c>
      <c r="R142" s="9">
        <f>IF(ABS(F142-$H142)&lt;=1E-9,1,0)</f>
        <v>0</v>
      </c>
      <c r="S142" s="9">
        <f>IF(ABS(G142-$H142)&lt;=1E-9,1,0)</f>
        <v>1</v>
      </c>
      <c r="T142" s="6" t="s">
        <v>26</v>
      </c>
    </row>
    <row r="143" spans="1:20">
      <c r="A143" s="6" t="s">
        <v>198</v>
      </c>
      <c r="B143" s="3">
        <v>75</v>
      </c>
      <c r="C143" s="7">
        <v>15</v>
      </c>
      <c r="D143" s="7">
        <v>16</v>
      </c>
      <c r="E143" s="7">
        <v>17</v>
      </c>
      <c r="F143" s="7">
        <v>22</v>
      </c>
      <c r="G143" s="7">
        <v>14</v>
      </c>
      <c r="H143" s="7">
        <f>MIN(C143:G143)</f>
        <v>14.0</v>
      </c>
      <c r="I143" s="6" t="s">
        <v>26</v>
      </c>
      <c r="J143" s="8">
        <f>IF($H143=0,"",(C143-$H143)/$H143)</f>
        <v>0.07142857142857142</v>
      </c>
      <c r="K143" s="8">
        <f>IF($H143=0,"",(D143-$H143)/$H143)</f>
        <v>0.14285714285714285</v>
      </c>
      <c r="L143" s="8">
        <f>IF($H143=0,"",(E143-$H143)/$H143)</f>
        <v>0.21428571428571427</v>
      </c>
      <c r="M143" s="8">
        <f>IF($H143=0,"",(F143-$H143)/$H143)</f>
        <v>0.5714285714285714</v>
      </c>
      <c r="N143" s="8">
        <f>IF($H143=0,"",(G143-$H143)/$H143)</f>
        <v>0.0</v>
      </c>
      <c r="O143" s="9">
        <f>IF(ABS(C143-$H143)&lt;=1E-9,1,0)</f>
        <v>0</v>
      </c>
      <c r="P143" s="9">
        <f>IF(ABS(D143-$H143)&lt;=1E-9,1,0)</f>
        <v>0</v>
      </c>
      <c r="Q143" s="9">
        <f>IF(ABS(E143-$H143)&lt;=1E-9,1,0)</f>
        <v>0</v>
      </c>
      <c r="R143" s="9">
        <f>IF(ABS(F143-$H143)&lt;=1E-9,1,0)</f>
        <v>0</v>
      </c>
      <c r="S143" s="9">
        <f>IF(ABS(G143-$H143)&lt;=1E-9,1,0)</f>
        <v>1</v>
      </c>
      <c r="T143" s="6" t="s">
        <v>26</v>
      </c>
    </row>
    <row r="144" spans="1:20">
      <c r="A144" s="6" t="s">
        <v>199</v>
      </c>
      <c r="B144" s="3">
        <v>75</v>
      </c>
      <c r="C144" s="7">
        <v>361</v>
      </c>
      <c r="D144" s="7">
        <v>372</v>
      </c>
      <c r="E144" s="7">
        <v>385</v>
      </c>
      <c r="F144" s="7">
        <v>340</v>
      </c>
      <c r="G144" s="7">
        <v>278</v>
      </c>
      <c r="H144" s="7">
        <f>MIN(C144:G144)</f>
        <v>278.0</v>
      </c>
      <c r="I144" s="6" t="s">
        <v>26</v>
      </c>
      <c r="J144" s="8">
        <f>IF($H144=0,"",(C144-$H144)/$H144)</f>
        <v>0.29856115107913667</v>
      </c>
      <c r="K144" s="8">
        <f>IF($H144=0,"",(D144-$H144)/$H144)</f>
        <v>0.3381294964028777</v>
      </c>
      <c r="L144" s="8">
        <f>IF($H144=0,"",(E144-$H144)/$H144)</f>
        <v>0.38489208633093525</v>
      </c>
      <c r="M144" s="8">
        <f>IF($H144=0,"",(F144-$H144)/$H144)</f>
        <v>0.22302158273381295</v>
      </c>
      <c r="N144" s="8">
        <f>IF($H144=0,"",(G144-$H144)/$H144)</f>
        <v>0.0</v>
      </c>
      <c r="O144" s="9">
        <f>IF(ABS(C144-$H144)&lt;=1E-9,1,0)</f>
        <v>0</v>
      </c>
      <c r="P144" s="9">
        <f>IF(ABS(D144-$H144)&lt;=1E-9,1,0)</f>
        <v>0</v>
      </c>
      <c r="Q144" s="9">
        <f>IF(ABS(E144-$H144)&lt;=1E-9,1,0)</f>
        <v>0</v>
      </c>
      <c r="R144" s="9">
        <f>IF(ABS(F144-$H144)&lt;=1E-9,1,0)</f>
        <v>0</v>
      </c>
      <c r="S144" s="9">
        <f>IF(ABS(G144-$H144)&lt;=1E-9,1,0)</f>
        <v>1</v>
      </c>
      <c r="T144" s="6" t="s">
        <v>26</v>
      </c>
    </row>
    <row r="145" spans="1:20">
      <c r="A145" s="6" t="s">
        <v>200</v>
      </c>
      <c r="B145" s="3">
        <v>75</v>
      </c>
      <c r="C145" s="7">
        <v>338</v>
      </c>
      <c r="D145" s="7">
        <v>346</v>
      </c>
      <c r="E145" s="7">
        <v>359</v>
      </c>
      <c r="F145" s="7">
        <v>327</v>
      </c>
      <c r="G145" s="7">
        <v>280</v>
      </c>
      <c r="H145" s="7">
        <f>MIN(C145:G145)</f>
        <v>280.0</v>
      </c>
      <c r="I145" s="6" t="s">
        <v>26</v>
      </c>
      <c r="J145" s="8">
        <f>IF($H145=0,"",(C145-$H145)/$H145)</f>
        <v>0.20714285714285716</v>
      </c>
      <c r="K145" s="8">
        <f>IF($H145=0,"",(D145-$H145)/$H145)</f>
        <v>0.23571428571428568</v>
      </c>
      <c r="L145" s="8">
        <f>IF($H145=0,"",(E145-$H145)/$H145)</f>
        <v>0.28214285714285714</v>
      </c>
      <c r="M145" s="8">
        <f>IF($H145=0,"",(F145-$H145)/$H145)</f>
        <v>0.16785714285714284</v>
      </c>
      <c r="N145" s="8">
        <f>IF($H145=0,"",(G145-$H145)/$H145)</f>
        <v>0.0</v>
      </c>
      <c r="O145" s="9">
        <f>IF(ABS(C145-$H145)&lt;=1E-9,1,0)</f>
        <v>0</v>
      </c>
      <c r="P145" s="9">
        <f>IF(ABS(D145-$H145)&lt;=1E-9,1,0)</f>
        <v>0</v>
      </c>
      <c r="Q145" s="9">
        <f>IF(ABS(E145-$H145)&lt;=1E-9,1,0)</f>
        <v>0</v>
      </c>
      <c r="R145" s="9">
        <f>IF(ABS(F145-$H145)&lt;=1E-9,1,0)</f>
        <v>0</v>
      </c>
      <c r="S145" s="9">
        <f>IF(ABS(G145-$H145)&lt;=1E-9,1,0)</f>
        <v>1</v>
      </c>
      <c r="T145" s="6" t="s">
        <v>26</v>
      </c>
    </row>
    <row r="146" spans="1:20">
      <c r="A146" s="6" t="s">
        <v>201</v>
      </c>
      <c r="B146" s="3">
        <v>75</v>
      </c>
      <c r="C146" s="7">
        <v>27</v>
      </c>
      <c r="D146" s="7">
        <v>27</v>
      </c>
      <c r="E146" s="7">
        <v>28</v>
      </c>
      <c r="F146" s="7">
        <v>28</v>
      </c>
      <c r="G146" s="7">
        <v>24</v>
      </c>
      <c r="H146" s="7">
        <f>MIN(C146:G146)</f>
        <v>24.0</v>
      </c>
      <c r="I146" s="6" t="s">
        <v>26</v>
      </c>
      <c r="J146" s="8">
        <f>IF($H146=0,"",(C146-$H146)/$H146)</f>
        <v>0.125</v>
      </c>
      <c r="K146" s="8">
        <f>IF($H146=0,"",(D146-$H146)/$H146)</f>
        <v>0.125</v>
      </c>
      <c r="L146" s="8">
        <f>IF($H146=0,"",(E146-$H146)/$H146)</f>
        <v>0.16666666666666663</v>
      </c>
      <c r="M146" s="8">
        <f>IF($H146=0,"",(F146-$H146)/$H146)</f>
        <v>0.16666666666666663</v>
      </c>
      <c r="N146" s="8">
        <f>IF($H146=0,"",(G146-$H146)/$H146)</f>
        <v>0.0</v>
      </c>
      <c r="O146" s="9">
        <f>IF(ABS(C146-$H146)&lt;=1E-9,1,0)</f>
        <v>0</v>
      </c>
      <c r="P146" s="9">
        <f>IF(ABS(D146-$H146)&lt;=1E-9,1,0)</f>
        <v>0</v>
      </c>
      <c r="Q146" s="9">
        <f>IF(ABS(E146-$H146)&lt;=1E-9,1,0)</f>
        <v>0</v>
      </c>
      <c r="R146" s="9">
        <f>IF(ABS(F146-$H146)&lt;=1E-9,1,0)</f>
        <v>0</v>
      </c>
      <c r="S146" s="9">
        <f>IF(ABS(G146-$H146)&lt;=1E-9,1,0)</f>
        <v>1</v>
      </c>
      <c r="T146" s="6" t="s">
        <v>26</v>
      </c>
    </row>
    <row r="147" spans="1:20">
      <c r="A147" s="6" t="s">
        <v>202</v>
      </c>
      <c r="B147" s="3">
        <v>75</v>
      </c>
      <c r="C147" s="7">
        <v>30</v>
      </c>
      <c r="D147" s="7">
        <v>30</v>
      </c>
      <c r="E147" s="7">
        <v>29</v>
      </c>
      <c r="F147" s="7">
        <v>27</v>
      </c>
      <c r="G147" s="7">
        <v>25</v>
      </c>
      <c r="H147" s="7">
        <f>MIN(C147:G147)</f>
        <v>25.0</v>
      </c>
      <c r="I147" s="6" t="s">
        <v>26</v>
      </c>
      <c r="J147" s="8">
        <f>IF($H147=0,"",(C147-$H147)/$H147)</f>
        <v>0.2</v>
      </c>
      <c r="K147" s="8">
        <f>IF($H147=0,"",(D147-$H147)/$H147)</f>
        <v>0.2</v>
      </c>
      <c r="L147" s="8">
        <f>IF($H147=0,"",(E147-$H147)/$H147)</f>
        <v>0.16</v>
      </c>
      <c r="M147" s="8">
        <f>IF($H147=0,"",(F147-$H147)/$H147)</f>
        <v>0.08</v>
      </c>
      <c r="N147" s="8">
        <f>IF($H147=0,"",(G147-$H147)/$H147)</f>
        <v>0.0</v>
      </c>
      <c r="O147" s="9">
        <f>IF(ABS(C147-$H147)&lt;=1E-9,1,0)</f>
        <v>0</v>
      </c>
      <c r="P147" s="9">
        <f>IF(ABS(D147-$H147)&lt;=1E-9,1,0)</f>
        <v>0</v>
      </c>
      <c r="Q147" s="9">
        <f>IF(ABS(E147-$H147)&lt;=1E-9,1,0)</f>
        <v>0</v>
      </c>
      <c r="R147" s="9">
        <f>IF(ABS(F147-$H147)&lt;=1E-9,1,0)</f>
        <v>0</v>
      </c>
      <c r="S147" s="9">
        <f>IF(ABS(G147-$H147)&lt;=1E-9,1,0)</f>
        <v>1</v>
      </c>
      <c r="T147" s="6" t="s">
        <v>26</v>
      </c>
    </row>
    <row r="148" spans="1:20">
      <c r="A148" s="6" t="s">
        <v>203</v>
      </c>
      <c r="B148" s="3">
        <v>75</v>
      </c>
      <c r="C148" s="7">
        <v>423</v>
      </c>
      <c r="D148" s="7">
        <v>426</v>
      </c>
      <c r="E148" s="7">
        <v>443</v>
      </c>
      <c r="F148" s="7">
        <v>366</v>
      </c>
      <c r="G148" s="7">
        <v>318</v>
      </c>
      <c r="H148" s="7">
        <f>MIN(C148:G148)</f>
        <v>318.0</v>
      </c>
      <c r="I148" s="6" t="s">
        <v>26</v>
      </c>
      <c r="J148" s="8">
        <f>IF($H148=0,"",(C148-$H148)/$H148)</f>
        <v>0.330188679245283</v>
      </c>
      <c r="K148" s="8">
        <f>IF($H148=0,"",(D148-$H148)/$H148)</f>
        <v>0.339622641509434</v>
      </c>
      <c r="L148" s="8">
        <f>IF($H148=0,"",(E148-$H148)/$H148)</f>
        <v>0.39308176100628933</v>
      </c>
      <c r="M148" s="8">
        <f>IF($H148=0,"",(F148-$H148)/$H148)</f>
        <v>0.1509433962264151</v>
      </c>
      <c r="N148" s="8">
        <f>IF($H148=0,"",(G148-$H148)/$H148)</f>
        <v>0.0</v>
      </c>
      <c r="O148" s="9">
        <f>IF(ABS(C148-$H148)&lt;=1E-9,1,0)</f>
        <v>0</v>
      </c>
      <c r="P148" s="9">
        <f>IF(ABS(D148-$H148)&lt;=1E-9,1,0)</f>
        <v>0</v>
      </c>
      <c r="Q148" s="9">
        <f>IF(ABS(E148-$H148)&lt;=1E-9,1,0)</f>
        <v>0</v>
      </c>
      <c r="R148" s="9">
        <f>IF(ABS(F148-$H148)&lt;=1E-9,1,0)</f>
        <v>0</v>
      </c>
      <c r="S148" s="9">
        <f>IF(ABS(G148-$H148)&lt;=1E-9,1,0)</f>
        <v>1</v>
      </c>
      <c r="T148" s="6" t="s">
        <v>26</v>
      </c>
    </row>
    <row r="149" spans="1:20">
      <c r="A149" s="6" t="s">
        <v>204</v>
      </c>
      <c r="B149" s="3">
        <v>75</v>
      </c>
      <c r="C149" s="7">
        <v>400</v>
      </c>
      <c r="D149" s="7">
        <v>426</v>
      </c>
      <c r="E149" s="7">
        <v>421</v>
      </c>
      <c r="F149" s="7">
        <v>339</v>
      </c>
      <c r="G149" s="7">
        <v>308</v>
      </c>
      <c r="H149" s="7">
        <f>MIN(C149:G149)</f>
        <v>308.0</v>
      </c>
      <c r="I149" s="6" t="s">
        <v>26</v>
      </c>
      <c r="J149" s="8">
        <f>IF($H149=0,"",(C149-$H149)/$H149)</f>
        <v>0.2987012987012987</v>
      </c>
      <c r="K149" s="8">
        <f>IF($H149=0,"",(D149-$H149)/$H149)</f>
        <v>0.38311688311688313</v>
      </c>
      <c r="L149" s="8">
        <f>IF($H149=0,"",(E149-$H149)/$H149)</f>
        <v>0.36688311688311687</v>
      </c>
      <c r="M149" s="8">
        <f>IF($H149=0,"",(F149-$H149)/$H149)</f>
        <v>0.10064935064935066</v>
      </c>
      <c r="N149" s="8">
        <f>IF($H149=0,"",(G149-$H149)/$H149)</f>
        <v>0.0</v>
      </c>
      <c r="O149" s="9">
        <f>IF(ABS(C149-$H149)&lt;=1E-9,1,0)</f>
        <v>0</v>
      </c>
      <c r="P149" s="9">
        <f>IF(ABS(D149-$H149)&lt;=1E-9,1,0)</f>
        <v>0</v>
      </c>
      <c r="Q149" s="9">
        <f>IF(ABS(E149-$H149)&lt;=1E-9,1,0)</f>
        <v>0</v>
      </c>
      <c r="R149" s="9">
        <f>IF(ABS(F149-$H149)&lt;=1E-9,1,0)</f>
        <v>0</v>
      </c>
      <c r="S149" s="9">
        <f>IF(ABS(G149-$H149)&lt;=1E-9,1,0)</f>
        <v>1</v>
      </c>
      <c r="T149" s="6" t="s">
        <v>26</v>
      </c>
    </row>
    <row r="150" spans="1:20">
      <c r="A150" s="6" t="s">
        <v>205</v>
      </c>
      <c r="B150" s="3">
        <v>75</v>
      </c>
      <c r="C150" s="7">
        <v>23</v>
      </c>
      <c r="D150" s="7">
        <v>22</v>
      </c>
      <c r="E150" s="7">
        <v>23</v>
      </c>
      <c r="F150" s="7">
        <v>25</v>
      </c>
      <c r="G150" s="7">
        <v>22</v>
      </c>
      <c r="H150" s="7">
        <f>MIN(C150:G150)</f>
        <v>22.0</v>
      </c>
      <c r="I150" s="6" t="s">
        <v>97</v>
      </c>
      <c r="J150" s="8">
        <f>IF($H150=0,"",(C150-$H150)/$H150)</f>
        <v>0.045454545454545456</v>
      </c>
      <c r="K150" s="8">
        <f>IF($H150=0,"",(D150-$H150)/$H150)</f>
        <v>0.0</v>
      </c>
      <c r="L150" s="8">
        <f>IF($H150=0,"",(E150-$H150)/$H150)</f>
        <v>0.045454545454545456</v>
      </c>
      <c r="M150" s="8">
        <f>IF($H150=0,"",(F150-$H150)/$H150)</f>
        <v>0.13636363636363635</v>
      </c>
      <c r="N150" s="8">
        <f>IF($H150=0,"",(G150-$H150)/$H150)</f>
        <v>0.0</v>
      </c>
      <c r="O150" s="9">
        <f>IF(ABS(C150-$H150)&lt;=1E-9,1,0)</f>
        <v>0</v>
      </c>
      <c r="P150" s="9">
        <f>IF(ABS(D150-$H150)&lt;=1E-9,1,0)</f>
        <v>1</v>
      </c>
      <c r="Q150" s="9">
        <f>IF(ABS(E150-$H150)&lt;=1E-9,1,0)</f>
        <v>0</v>
      </c>
      <c r="R150" s="9">
        <f>IF(ABS(F150-$H150)&lt;=1E-9,1,0)</f>
        <v>0</v>
      </c>
      <c r="S150" s="9">
        <f>IF(ABS(G150-$H150)&lt;=1E-9,1,0)</f>
        <v>1</v>
      </c>
      <c r="T150" s="6" t="s">
        <v>51</v>
      </c>
    </row>
    <row r="151" spans="1:20">
      <c r="A151" s="6" t="s">
        <v>206</v>
      </c>
      <c r="B151" s="3">
        <v>75</v>
      </c>
      <c r="C151" s="7">
        <v>23</v>
      </c>
      <c r="D151" s="7">
        <v>25</v>
      </c>
      <c r="E151" s="7">
        <v>24</v>
      </c>
      <c r="F151" s="7">
        <v>24</v>
      </c>
      <c r="G151" s="7">
        <v>23</v>
      </c>
      <c r="H151" s="7">
        <f>MIN(C151:G151)</f>
        <v>23.0</v>
      </c>
      <c r="I151" s="6" t="s">
        <v>119</v>
      </c>
      <c r="J151" s="8">
        <f>IF($H151=0,"",(C151-$H151)/$H151)</f>
        <v>0.0</v>
      </c>
      <c r="K151" s="8">
        <f>IF($H151=0,"",(D151-$H151)/$H151)</f>
        <v>0.08695652173913043</v>
      </c>
      <c r="L151" s="8">
        <f>IF($H151=0,"",(E151-$H151)/$H151)</f>
        <v>0.043478260869565216</v>
      </c>
      <c r="M151" s="8">
        <f>IF($H151=0,"",(F151-$H151)/$H151)</f>
        <v>0.043478260869565216</v>
      </c>
      <c r="N151" s="8">
        <f>IF($H151=0,"",(G151-$H151)/$H151)</f>
        <v>0.0</v>
      </c>
      <c r="O151" s="9">
        <f>IF(ABS(C151-$H151)&lt;=1E-9,1,0)</f>
        <v>1</v>
      </c>
      <c r="P151" s="9">
        <f>IF(ABS(D151-$H151)&lt;=1E-9,1,0)</f>
        <v>0</v>
      </c>
      <c r="Q151" s="9">
        <f>IF(ABS(E151-$H151)&lt;=1E-9,1,0)</f>
        <v>0</v>
      </c>
      <c r="R151" s="9">
        <f>IF(ABS(F151-$H151)&lt;=1E-9,1,0)</f>
        <v>0</v>
      </c>
      <c r="S151" s="9">
        <f>IF(ABS(G151-$H151)&lt;=1E-9,1,0)</f>
        <v>1</v>
      </c>
      <c r="T151" s="6" t="s">
        <v>51</v>
      </c>
    </row>
    <row r="152" spans="1:20">
      <c r="A152" s="6" t="s">
        <v>207</v>
      </c>
      <c r="B152" s="3">
        <v>75</v>
      </c>
      <c r="C152" s="7">
        <v>415</v>
      </c>
      <c r="D152" s="7">
        <v>405</v>
      </c>
      <c r="E152" s="7">
        <v>403</v>
      </c>
      <c r="F152" s="7">
        <v>374</v>
      </c>
      <c r="G152" s="7">
        <v>293</v>
      </c>
      <c r="H152" s="7">
        <f>MIN(C152:G152)</f>
        <v>293.0</v>
      </c>
      <c r="I152" s="6" t="s">
        <v>26</v>
      </c>
      <c r="J152" s="8">
        <f>IF($H152=0,"",(C152-$H152)/$H152)</f>
        <v>0.41638225255972694</v>
      </c>
      <c r="K152" s="8">
        <f>IF($H152=0,"",(D152-$H152)/$H152)</f>
        <v>0.3822525597269625</v>
      </c>
      <c r="L152" s="8">
        <f>IF($H152=0,"",(E152-$H152)/$H152)</f>
        <v>0.37542662116040953</v>
      </c>
      <c r="M152" s="8">
        <f>IF($H152=0,"",(F152-$H152)/$H152)</f>
        <v>0.2764505119453925</v>
      </c>
      <c r="N152" s="8">
        <f>IF($H152=0,"",(G152-$H152)/$H152)</f>
        <v>0.0</v>
      </c>
      <c r="O152" s="9">
        <f>IF(ABS(C152-$H152)&lt;=1E-9,1,0)</f>
        <v>0</v>
      </c>
      <c r="P152" s="9">
        <f>IF(ABS(D152-$H152)&lt;=1E-9,1,0)</f>
        <v>0</v>
      </c>
      <c r="Q152" s="9">
        <f>IF(ABS(E152-$H152)&lt;=1E-9,1,0)</f>
        <v>0</v>
      </c>
      <c r="R152" s="9">
        <f>IF(ABS(F152-$H152)&lt;=1E-9,1,0)</f>
        <v>0</v>
      </c>
      <c r="S152" s="9">
        <f>IF(ABS(G152-$H152)&lt;=1E-9,1,0)</f>
        <v>1</v>
      </c>
      <c r="T152" s="6" t="s">
        <v>26</v>
      </c>
    </row>
    <row r="153" spans="1:20">
      <c r="A153" s="6" t="s">
        <v>208</v>
      </c>
      <c r="B153" s="3">
        <v>75</v>
      </c>
      <c r="C153" s="7">
        <v>376</v>
      </c>
      <c r="D153" s="7">
        <v>378</v>
      </c>
      <c r="E153" s="7">
        <v>370</v>
      </c>
      <c r="F153" s="7">
        <v>331</v>
      </c>
      <c r="G153" s="7">
        <v>284</v>
      </c>
      <c r="H153" s="7">
        <f>MIN(C153:G153)</f>
        <v>284.0</v>
      </c>
      <c r="I153" s="6" t="s">
        <v>26</v>
      </c>
      <c r="J153" s="8">
        <f>IF($H153=0,"",(C153-$H153)/$H153)</f>
        <v>0.32394366197183105</v>
      </c>
      <c r="K153" s="8">
        <f>IF($H153=0,"",(D153-$H153)/$H153)</f>
        <v>0.33098591549295775</v>
      </c>
      <c r="L153" s="8">
        <f>IF($H153=0,"",(E153-$H153)/$H153)</f>
        <v>0.3028169014084507</v>
      </c>
      <c r="M153" s="8">
        <f>IF($H153=0,"",(F153-$H153)/$H153)</f>
        <v>0.16549295774647887</v>
      </c>
      <c r="N153" s="8">
        <f>IF($H153=0,"",(G153-$H153)/$H153)</f>
        <v>0.0</v>
      </c>
      <c r="O153" s="9">
        <f>IF(ABS(C153-$H153)&lt;=1E-9,1,0)</f>
        <v>0</v>
      </c>
      <c r="P153" s="9">
        <f>IF(ABS(D153-$H153)&lt;=1E-9,1,0)</f>
        <v>0</v>
      </c>
      <c r="Q153" s="9">
        <f>IF(ABS(E153-$H153)&lt;=1E-9,1,0)</f>
        <v>0</v>
      </c>
      <c r="R153" s="9">
        <f>IF(ABS(F153-$H153)&lt;=1E-9,1,0)</f>
        <v>0</v>
      </c>
      <c r="S153" s="9">
        <f>IF(ABS(G153-$H153)&lt;=1E-9,1,0)</f>
        <v>1</v>
      </c>
      <c r="T153" s="6" t="s">
        <v>26</v>
      </c>
    </row>
    <row r="154" spans="1:20">
      <c r="A154" s="6" t="s">
        <v>209</v>
      </c>
      <c r="B154" s="3">
        <v>75</v>
      </c>
      <c r="C154" s="7">
        <v>17</v>
      </c>
      <c r="D154" s="7">
        <v>17</v>
      </c>
      <c r="E154" s="7">
        <v>18</v>
      </c>
      <c r="F154" s="7">
        <v>23</v>
      </c>
      <c r="G154" s="7">
        <v>16</v>
      </c>
      <c r="H154" s="7">
        <f>MIN(C154:G154)</f>
        <v>16.0</v>
      </c>
      <c r="I154" s="6" t="s">
        <v>26</v>
      </c>
      <c r="J154" s="8">
        <f>IF($H154=0,"",(C154-$H154)/$H154)</f>
        <v>0.0625</v>
      </c>
      <c r="K154" s="8">
        <f>IF($H154=0,"",(D154-$H154)/$H154)</f>
        <v>0.0625</v>
      </c>
      <c r="L154" s="8">
        <f>IF($H154=0,"",(E154-$H154)/$H154)</f>
        <v>0.125</v>
      </c>
      <c r="M154" s="8">
        <f>IF($H154=0,"",(F154-$H154)/$H154)</f>
        <v>0.4375</v>
      </c>
      <c r="N154" s="8">
        <f>IF($H154=0,"",(G154-$H154)/$H154)</f>
        <v>0.0</v>
      </c>
      <c r="O154" s="9">
        <f>IF(ABS(C154-$H154)&lt;=1E-9,1,0)</f>
        <v>0</v>
      </c>
      <c r="P154" s="9">
        <f>IF(ABS(D154-$H154)&lt;=1E-9,1,0)</f>
        <v>0</v>
      </c>
      <c r="Q154" s="9">
        <f>IF(ABS(E154-$H154)&lt;=1E-9,1,0)</f>
        <v>0</v>
      </c>
      <c r="R154" s="9">
        <f>IF(ABS(F154-$H154)&lt;=1E-9,1,0)</f>
        <v>0</v>
      </c>
      <c r="S154" s="9">
        <f>IF(ABS(G154-$H154)&lt;=1E-9,1,0)</f>
        <v>1</v>
      </c>
      <c r="T154" s="6" t="s">
        <v>26</v>
      </c>
    </row>
    <row r="155" spans="1:20">
      <c r="A155" s="6" t="s">
        <v>210</v>
      </c>
      <c r="B155" s="3">
        <v>75</v>
      </c>
      <c r="C155" s="7">
        <v>18</v>
      </c>
      <c r="D155" s="7">
        <v>18</v>
      </c>
      <c r="E155" s="7">
        <v>18</v>
      </c>
      <c r="F155" s="7">
        <v>23</v>
      </c>
      <c r="G155" s="7">
        <v>17</v>
      </c>
      <c r="H155" s="7">
        <f>MIN(C155:G155)</f>
        <v>17.0</v>
      </c>
      <c r="I155" s="6" t="s">
        <v>26</v>
      </c>
      <c r="J155" s="8">
        <f>IF($H155=0,"",(C155-$H155)/$H155)</f>
        <v>0.0588235294117647</v>
      </c>
      <c r="K155" s="8">
        <f>IF($H155=0,"",(D155-$H155)/$H155)</f>
        <v>0.0588235294117647</v>
      </c>
      <c r="L155" s="8">
        <f>IF($H155=0,"",(E155-$H155)/$H155)</f>
        <v>0.0588235294117647</v>
      </c>
      <c r="M155" s="8">
        <f>IF($H155=0,"",(F155-$H155)/$H155)</f>
        <v>0.35294117647058826</v>
      </c>
      <c r="N155" s="8">
        <f>IF($H155=0,"",(G155-$H155)/$H155)</f>
        <v>0.0</v>
      </c>
      <c r="O155" s="9">
        <f>IF(ABS(C155-$H155)&lt;=1E-9,1,0)</f>
        <v>0</v>
      </c>
      <c r="P155" s="9">
        <f>IF(ABS(D155-$H155)&lt;=1E-9,1,0)</f>
        <v>0</v>
      </c>
      <c r="Q155" s="9">
        <f>IF(ABS(E155-$H155)&lt;=1E-9,1,0)</f>
        <v>0</v>
      </c>
      <c r="R155" s="9">
        <f>IF(ABS(F155-$H155)&lt;=1E-9,1,0)</f>
        <v>0</v>
      </c>
      <c r="S155" s="9">
        <f>IF(ABS(G155-$H155)&lt;=1E-9,1,0)</f>
        <v>1</v>
      </c>
      <c r="T155" s="6" t="s">
        <v>26</v>
      </c>
    </row>
    <row r="156" spans="1:20">
      <c r="A156" s="6" t="s">
        <v>211</v>
      </c>
      <c r="B156" s="3">
        <v>75</v>
      </c>
      <c r="C156" s="7">
        <v>348</v>
      </c>
      <c r="D156" s="7">
        <v>353</v>
      </c>
      <c r="E156" s="7">
        <v>351</v>
      </c>
      <c r="F156" s="7">
        <v>306</v>
      </c>
      <c r="G156" s="7">
        <v>247</v>
      </c>
      <c r="H156" s="7">
        <f>MIN(C156:G156)</f>
        <v>247.0</v>
      </c>
      <c r="I156" s="6" t="s">
        <v>26</v>
      </c>
      <c r="J156" s="8">
        <f>IF($H156=0,"",(C156-$H156)/$H156)</f>
        <v>0.4089068825910931</v>
      </c>
      <c r="K156" s="8">
        <f>IF($H156=0,"",(D156-$H156)/$H156)</f>
        <v>0.4291497975708502</v>
      </c>
      <c r="L156" s="8">
        <f>IF($H156=0,"",(E156-$H156)/$H156)</f>
        <v>0.42105263157894735</v>
      </c>
      <c r="M156" s="8">
        <f>IF($H156=0,"",(F156-$H156)/$H156)</f>
        <v>0.2388663967611336</v>
      </c>
      <c r="N156" s="8">
        <f>IF($H156=0,"",(G156-$H156)/$H156)</f>
        <v>0.0</v>
      </c>
      <c r="O156" s="9">
        <f>IF(ABS(C156-$H156)&lt;=1E-9,1,0)</f>
        <v>0</v>
      </c>
      <c r="P156" s="9">
        <f>IF(ABS(D156-$H156)&lt;=1E-9,1,0)</f>
        <v>0</v>
      </c>
      <c r="Q156" s="9">
        <f>IF(ABS(E156-$H156)&lt;=1E-9,1,0)</f>
        <v>0</v>
      </c>
      <c r="R156" s="9">
        <f>IF(ABS(F156-$H156)&lt;=1E-9,1,0)</f>
        <v>0</v>
      </c>
      <c r="S156" s="9">
        <f>IF(ABS(G156-$H156)&lt;=1E-9,1,0)</f>
        <v>1</v>
      </c>
      <c r="T156" s="6" t="s">
        <v>26</v>
      </c>
    </row>
    <row r="157" spans="1:20">
      <c r="A157" s="6" t="s">
        <v>212</v>
      </c>
      <c r="B157" s="3">
        <v>75</v>
      </c>
      <c r="C157" s="7">
        <v>292</v>
      </c>
      <c r="D157" s="7">
        <v>292</v>
      </c>
      <c r="E157" s="7">
        <v>291</v>
      </c>
      <c r="F157" s="7">
        <v>271</v>
      </c>
      <c r="G157" s="7">
        <v>216</v>
      </c>
      <c r="H157" s="7">
        <f>MIN(C157:G157)</f>
        <v>216.0</v>
      </c>
      <c r="I157" s="6" t="s">
        <v>26</v>
      </c>
      <c r="J157" s="8">
        <f>IF($H157=0,"",(C157-$H157)/$H157)</f>
        <v>0.35185185185185186</v>
      </c>
      <c r="K157" s="8">
        <f>IF($H157=0,"",(D157-$H157)/$H157)</f>
        <v>0.35185185185185186</v>
      </c>
      <c r="L157" s="8">
        <f>IF($H157=0,"",(E157-$H157)/$H157)</f>
        <v>0.3472222222222222</v>
      </c>
      <c r="M157" s="8">
        <f>IF($H157=0,"",(F157-$H157)/$H157)</f>
        <v>0.25462962962962965</v>
      </c>
      <c r="N157" s="8">
        <f>IF($H157=0,"",(G157-$H157)/$H157)</f>
        <v>0.0</v>
      </c>
      <c r="O157" s="9">
        <f>IF(ABS(C157-$H157)&lt;=1E-9,1,0)</f>
        <v>0</v>
      </c>
      <c r="P157" s="9">
        <f>IF(ABS(D157-$H157)&lt;=1E-9,1,0)</f>
        <v>0</v>
      </c>
      <c r="Q157" s="9">
        <f>IF(ABS(E157-$H157)&lt;=1E-9,1,0)</f>
        <v>0</v>
      </c>
      <c r="R157" s="9">
        <f>IF(ABS(F157-$H157)&lt;=1E-9,1,0)</f>
        <v>0</v>
      </c>
      <c r="S157" s="9">
        <f>IF(ABS(G157-$H157)&lt;=1E-9,1,0)</f>
        <v>1</v>
      </c>
      <c r="T157" s="6" t="s">
        <v>26</v>
      </c>
    </row>
    <row r="158" spans="1:20">
      <c r="A158" s="6" t="s">
        <v>213</v>
      </c>
      <c r="B158" s="3">
        <v>75</v>
      </c>
      <c r="C158" s="7">
        <v>14</v>
      </c>
      <c r="D158" s="7">
        <v>14</v>
      </c>
      <c r="E158" s="7">
        <v>17</v>
      </c>
      <c r="F158" s="7">
        <v>21</v>
      </c>
      <c r="G158" s="7">
        <v>14</v>
      </c>
      <c r="H158" s="7">
        <f>MIN(C158:G158)</f>
        <v>14.0</v>
      </c>
      <c r="I158" s="6" t="s">
        <v>65</v>
      </c>
      <c r="J158" s="8">
        <f>IF($H158=0,"",(C158-$H158)/$H158)</f>
        <v>0.0</v>
      </c>
      <c r="K158" s="8">
        <f>IF($H158=0,"",(D158-$H158)/$H158)</f>
        <v>0.0</v>
      </c>
      <c r="L158" s="8">
        <f>IF($H158=0,"",(E158-$H158)/$H158)</f>
        <v>0.21428571428571427</v>
      </c>
      <c r="M158" s="8">
        <f>IF($H158=0,"",(F158-$H158)/$H158)</f>
        <v>0.5</v>
      </c>
      <c r="N158" s="8">
        <f>IF($H158=0,"",(G158-$H158)/$H158)</f>
        <v>0.0</v>
      </c>
      <c r="O158" s="9">
        <f>IF(ABS(C158-$H158)&lt;=1E-9,1,0)</f>
        <v>1</v>
      </c>
      <c r="P158" s="9">
        <f>IF(ABS(D158-$H158)&lt;=1E-9,1,0)</f>
        <v>1</v>
      </c>
      <c r="Q158" s="9">
        <f>IF(ABS(E158-$H158)&lt;=1E-9,1,0)</f>
        <v>0</v>
      </c>
      <c r="R158" s="9">
        <f>IF(ABS(F158-$H158)&lt;=1E-9,1,0)</f>
        <v>0</v>
      </c>
      <c r="S158" s="9">
        <f>IF(ABS(G158-$H158)&lt;=1E-9,1,0)</f>
        <v>1</v>
      </c>
      <c r="T158" s="6" t="s">
        <v>51</v>
      </c>
    </row>
    <row r="159" spans="1:20">
      <c r="A159" s="6" t="s">
        <v>214</v>
      </c>
      <c r="B159" s="3">
        <v>75</v>
      </c>
      <c r="C159" s="7">
        <v>16</v>
      </c>
      <c r="D159" s="7">
        <v>15</v>
      </c>
      <c r="E159" s="7">
        <v>17</v>
      </c>
      <c r="F159" s="7">
        <v>22</v>
      </c>
      <c r="G159" s="7">
        <v>14</v>
      </c>
      <c r="H159" s="7">
        <f>MIN(C159:G159)</f>
        <v>14.0</v>
      </c>
      <c r="I159" s="6" t="s">
        <v>26</v>
      </c>
      <c r="J159" s="8">
        <f>IF($H159=0,"",(C159-$H159)/$H159)</f>
        <v>0.14285714285714285</v>
      </c>
      <c r="K159" s="8">
        <f>IF($H159=0,"",(D159-$H159)/$H159)</f>
        <v>0.07142857142857142</v>
      </c>
      <c r="L159" s="8">
        <f>IF($H159=0,"",(E159-$H159)/$H159)</f>
        <v>0.21428571428571427</v>
      </c>
      <c r="M159" s="8">
        <f>IF($H159=0,"",(F159-$H159)/$H159)</f>
        <v>0.5714285714285714</v>
      </c>
      <c r="N159" s="8">
        <f>IF($H159=0,"",(G159-$H159)/$H159)</f>
        <v>0.0</v>
      </c>
      <c r="O159" s="9">
        <f>IF(ABS(C159-$H159)&lt;=1E-9,1,0)</f>
        <v>0</v>
      </c>
      <c r="P159" s="9">
        <f>IF(ABS(D159-$H159)&lt;=1E-9,1,0)</f>
        <v>0</v>
      </c>
      <c r="Q159" s="9">
        <f>IF(ABS(E159-$H159)&lt;=1E-9,1,0)</f>
        <v>0</v>
      </c>
      <c r="R159" s="9">
        <f>IF(ABS(F159-$H159)&lt;=1E-9,1,0)</f>
        <v>0</v>
      </c>
      <c r="S159" s="9">
        <f>IF(ABS(G159-$H159)&lt;=1E-9,1,0)</f>
        <v>1</v>
      </c>
      <c r="T159" s="6" t="s">
        <v>26</v>
      </c>
    </row>
    <row r="160" spans="1:20">
      <c r="A160" s="6" t="s">
        <v>215</v>
      </c>
      <c r="B160" s="3">
        <v>75</v>
      </c>
      <c r="C160" s="7">
        <v>324</v>
      </c>
      <c r="D160" s="7">
        <v>333</v>
      </c>
      <c r="E160" s="7">
        <v>346</v>
      </c>
      <c r="F160" s="7">
        <v>311</v>
      </c>
      <c r="G160" s="7">
        <v>249</v>
      </c>
      <c r="H160" s="7">
        <f>MIN(C160:G160)</f>
        <v>249.0</v>
      </c>
      <c r="I160" s="6" t="s">
        <v>26</v>
      </c>
      <c r="J160" s="8">
        <f>IF($H160=0,"",(C160-$H160)/$H160)</f>
        <v>0.30120481927710846</v>
      </c>
      <c r="K160" s="8">
        <f>IF($H160=0,"",(D160-$H160)/$H160)</f>
        <v>0.3373493975903614</v>
      </c>
      <c r="L160" s="8">
        <f>IF($H160=0,"",(E160-$H160)/$H160)</f>
        <v>0.3895582329317269</v>
      </c>
      <c r="M160" s="8">
        <f>IF($H160=0,"",(F160-$H160)/$H160)</f>
        <v>0.24899598393574293</v>
      </c>
      <c r="N160" s="8">
        <f>IF($H160=0,"",(G160-$H160)/$H160)</f>
        <v>0.0</v>
      </c>
      <c r="O160" s="9">
        <f>IF(ABS(C160-$H160)&lt;=1E-9,1,0)</f>
        <v>0</v>
      </c>
      <c r="P160" s="9">
        <f>IF(ABS(D160-$H160)&lt;=1E-9,1,0)</f>
        <v>0</v>
      </c>
      <c r="Q160" s="9">
        <f>IF(ABS(E160-$H160)&lt;=1E-9,1,0)</f>
        <v>0</v>
      </c>
      <c r="R160" s="9">
        <f>IF(ABS(F160-$H160)&lt;=1E-9,1,0)</f>
        <v>0</v>
      </c>
      <c r="S160" s="9">
        <f>IF(ABS(G160-$H160)&lt;=1E-9,1,0)</f>
        <v>1</v>
      </c>
      <c r="T160" s="6" t="s">
        <v>26</v>
      </c>
    </row>
    <row r="161" spans="1:20">
      <c r="A161" s="6" t="s">
        <v>216</v>
      </c>
      <c r="B161" s="3">
        <v>75</v>
      </c>
      <c r="C161" s="7">
        <v>272</v>
      </c>
      <c r="D161" s="7">
        <v>274</v>
      </c>
      <c r="E161" s="7">
        <v>286</v>
      </c>
      <c r="F161" s="7">
        <v>275</v>
      </c>
      <c r="G161" s="7">
        <v>209</v>
      </c>
      <c r="H161" s="7">
        <f>MIN(C161:G161)</f>
        <v>209.0</v>
      </c>
      <c r="I161" s="6" t="s">
        <v>26</v>
      </c>
      <c r="J161" s="8">
        <f>IF($H161=0,"",(C161-$H161)/$H161)</f>
        <v>0.3014354066985646</v>
      </c>
      <c r="K161" s="8">
        <f>IF($H161=0,"",(D161-$H161)/$H161)</f>
        <v>0.31100478468899523</v>
      </c>
      <c r="L161" s="8">
        <f>IF($H161=0,"",(E161-$H161)/$H161)</f>
        <v>0.3684210526315789</v>
      </c>
      <c r="M161" s="8">
        <f>IF($H161=0,"",(F161-$H161)/$H161)</f>
        <v>0.3157894736842105</v>
      </c>
      <c r="N161" s="8">
        <f>IF($H161=0,"",(G161-$H161)/$H161)</f>
        <v>0.0</v>
      </c>
      <c r="O161" s="9">
        <f>IF(ABS(C161-$H161)&lt;=1E-9,1,0)</f>
        <v>0</v>
      </c>
      <c r="P161" s="9">
        <f>IF(ABS(D161-$H161)&lt;=1E-9,1,0)</f>
        <v>0</v>
      </c>
      <c r="Q161" s="9">
        <f>IF(ABS(E161-$H161)&lt;=1E-9,1,0)</f>
        <v>0</v>
      </c>
      <c r="R161" s="9">
        <f>IF(ABS(F161-$H161)&lt;=1E-9,1,0)</f>
        <v>0</v>
      </c>
      <c r="S161" s="9">
        <f>IF(ABS(G161-$H161)&lt;=1E-9,1,0)</f>
        <v>1</v>
      </c>
      <c r="T161" s="6" t="s">
        <v>26</v>
      </c>
    </row>
    <row r="162" spans="1:20">
      <c r="A162" s="6" t="s">
        <v>217</v>
      </c>
      <c r="B162" s="3">
        <v>100</v>
      </c>
      <c r="C162" s="7">
        <v>38</v>
      </c>
      <c r="D162" s="7">
        <v>38</v>
      </c>
      <c r="E162" s="7">
        <v>39</v>
      </c>
      <c r="F162" s="7">
        <v>37</v>
      </c>
      <c r="G162" s="7">
        <v>34</v>
      </c>
      <c r="H162" s="7">
        <f>MIN(C162:G162)</f>
        <v>34.0</v>
      </c>
      <c r="I162" s="6" t="s">
        <v>26</v>
      </c>
      <c r="J162" s="8">
        <f>IF($H162=0,"",(C162-$H162)/$H162)</f>
        <v>0.1176470588235294</v>
      </c>
      <c r="K162" s="8">
        <f>IF($H162=0,"",(D162-$H162)/$H162)</f>
        <v>0.1176470588235294</v>
      </c>
      <c r="L162" s="8">
        <f>IF($H162=0,"",(E162-$H162)/$H162)</f>
        <v>0.14705882352941177</v>
      </c>
      <c r="M162" s="8">
        <f>IF($H162=0,"",(F162-$H162)/$H162)</f>
        <v>0.08823529411764706</v>
      </c>
      <c r="N162" s="8">
        <f>IF($H162=0,"",(G162-$H162)/$H162)</f>
        <v>0.0</v>
      </c>
      <c r="O162" s="9">
        <f>IF(ABS(C162-$H162)&lt;=1E-9,1,0)</f>
        <v>0</v>
      </c>
      <c r="P162" s="9">
        <f>IF(ABS(D162-$H162)&lt;=1E-9,1,0)</f>
        <v>0</v>
      </c>
      <c r="Q162" s="9">
        <f>IF(ABS(E162-$H162)&lt;=1E-9,1,0)</f>
        <v>0</v>
      </c>
      <c r="R162" s="9">
        <f>IF(ABS(F162-$H162)&lt;=1E-9,1,0)</f>
        <v>0</v>
      </c>
      <c r="S162" s="9">
        <f>IF(ABS(G162-$H162)&lt;=1E-9,1,0)</f>
        <v>1</v>
      </c>
      <c r="T162" s="6" t="s">
        <v>26</v>
      </c>
    </row>
    <row r="163" spans="1:20">
      <c r="A163" s="6" t="s">
        <v>218</v>
      </c>
      <c r="B163" s="3">
        <v>100</v>
      </c>
      <c r="C163" s="7">
        <v>35</v>
      </c>
      <c r="D163" s="7">
        <v>35</v>
      </c>
      <c r="E163" s="7">
        <v>36</v>
      </c>
      <c r="F163" s="7">
        <v>34</v>
      </c>
      <c r="G163" s="7">
        <v>33</v>
      </c>
      <c r="H163" s="7">
        <f>MIN(C163:G163)</f>
        <v>33.0</v>
      </c>
      <c r="I163" s="6" t="s">
        <v>26</v>
      </c>
      <c r="J163" s="8">
        <f>IF($H163=0,"",(C163-$H163)/$H163)</f>
        <v>0.06060606060606061</v>
      </c>
      <c r="K163" s="8">
        <f>IF($H163=0,"",(D163-$H163)/$H163)</f>
        <v>0.06060606060606061</v>
      </c>
      <c r="L163" s="8">
        <f>IF($H163=0,"",(E163-$H163)/$H163)</f>
        <v>0.09090909090909091</v>
      </c>
      <c r="M163" s="8">
        <f>IF($H163=0,"",(F163-$H163)/$H163)</f>
        <v>0.030303030303030304</v>
      </c>
      <c r="N163" s="8">
        <f>IF($H163=0,"",(G163-$H163)/$H163)</f>
        <v>0.0</v>
      </c>
      <c r="O163" s="9">
        <f>IF(ABS(C163-$H163)&lt;=1E-9,1,0)</f>
        <v>0</v>
      </c>
      <c r="P163" s="9">
        <f>IF(ABS(D163-$H163)&lt;=1E-9,1,0)</f>
        <v>0</v>
      </c>
      <c r="Q163" s="9">
        <f>IF(ABS(E163-$H163)&lt;=1E-9,1,0)</f>
        <v>0</v>
      </c>
      <c r="R163" s="9">
        <f>IF(ABS(F163-$H163)&lt;=1E-9,1,0)</f>
        <v>0</v>
      </c>
      <c r="S163" s="9">
        <f>IF(ABS(G163-$H163)&lt;=1E-9,1,0)</f>
        <v>1</v>
      </c>
      <c r="T163" s="6" t="s">
        <v>26</v>
      </c>
    </row>
    <row r="164" spans="1:20">
      <c r="A164" s="6" t="s">
        <v>219</v>
      </c>
      <c r="B164" s="3">
        <v>100</v>
      </c>
      <c r="C164" s="7">
        <v>611</v>
      </c>
      <c r="D164" s="7">
        <v>627</v>
      </c>
      <c r="E164" s="7">
        <v>638</v>
      </c>
      <c r="F164" s="7">
        <v>505</v>
      </c>
      <c r="G164" s="7">
        <v>451</v>
      </c>
      <c r="H164" s="7">
        <f>MIN(C164:G164)</f>
        <v>451.0</v>
      </c>
      <c r="I164" s="6" t="s">
        <v>26</v>
      </c>
      <c r="J164" s="8">
        <f>IF($H164=0,"",(C164-$H164)/$H164)</f>
        <v>0.3547671840354767</v>
      </c>
      <c r="K164" s="8">
        <f>IF($H164=0,"",(D164-$H164)/$H164)</f>
        <v>0.3902439024390244</v>
      </c>
      <c r="L164" s="8">
        <f>IF($H164=0,"",(E164-$H164)/$H164)</f>
        <v>0.4146341463414634</v>
      </c>
      <c r="M164" s="8">
        <f>IF($H164=0,"",(F164-$H164)/$H164)</f>
        <v>0.11973392461197338</v>
      </c>
      <c r="N164" s="8">
        <f>IF($H164=0,"",(G164-$H164)/$H164)</f>
        <v>0.0</v>
      </c>
      <c r="O164" s="9">
        <f>IF(ABS(C164-$H164)&lt;=1E-9,1,0)</f>
        <v>0</v>
      </c>
      <c r="P164" s="9">
        <f>IF(ABS(D164-$H164)&lt;=1E-9,1,0)</f>
        <v>0</v>
      </c>
      <c r="Q164" s="9">
        <f>IF(ABS(E164-$H164)&lt;=1E-9,1,0)</f>
        <v>0</v>
      </c>
      <c r="R164" s="9">
        <f>IF(ABS(F164-$H164)&lt;=1E-9,1,0)</f>
        <v>0</v>
      </c>
      <c r="S164" s="9">
        <f>IF(ABS(G164-$H164)&lt;=1E-9,1,0)</f>
        <v>1</v>
      </c>
      <c r="T164" s="6" t="s">
        <v>26</v>
      </c>
    </row>
    <row r="165" spans="1:20">
      <c r="A165" s="6" t="s">
        <v>220</v>
      </c>
      <c r="B165" s="3">
        <v>100</v>
      </c>
      <c r="C165" s="7">
        <v>573</v>
      </c>
      <c r="D165" s="7">
        <v>585</v>
      </c>
      <c r="E165" s="7">
        <v>605</v>
      </c>
      <c r="F165" s="7">
        <v>474</v>
      </c>
      <c r="G165" s="7">
        <v>435</v>
      </c>
      <c r="H165" s="7">
        <f>MIN(C165:G165)</f>
        <v>435.0</v>
      </c>
      <c r="I165" s="6" t="s">
        <v>26</v>
      </c>
      <c r="J165" s="8">
        <f>IF($H165=0,"",(C165-$H165)/$H165)</f>
        <v>0.31724137931034485</v>
      </c>
      <c r="K165" s="8">
        <f>IF($H165=0,"",(D165-$H165)/$H165)</f>
        <v>0.3448275862068966</v>
      </c>
      <c r="L165" s="8">
        <f>IF($H165=0,"",(E165-$H165)/$H165)</f>
        <v>0.3908045977011494</v>
      </c>
      <c r="M165" s="8">
        <f>IF($H165=0,"",(F165-$H165)/$H165)</f>
        <v>0.0896551724137931</v>
      </c>
      <c r="N165" s="8">
        <f>IF($H165=0,"",(G165-$H165)/$H165)</f>
        <v>0.0</v>
      </c>
      <c r="O165" s="9">
        <f>IF(ABS(C165-$H165)&lt;=1E-9,1,0)</f>
        <v>0</v>
      </c>
      <c r="P165" s="9">
        <f>IF(ABS(D165-$H165)&lt;=1E-9,1,0)</f>
        <v>0</v>
      </c>
      <c r="Q165" s="9">
        <f>IF(ABS(E165-$H165)&lt;=1E-9,1,0)</f>
        <v>0</v>
      </c>
      <c r="R165" s="9">
        <f>IF(ABS(F165-$H165)&lt;=1E-9,1,0)</f>
        <v>0</v>
      </c>
      <c r="S165" s="9">
        <f>IF(ABS(G165-$H165)&lt;=1E-9,1,0)</f>
        <v>1</v>
      </c>
      <c r="T165" s="6" t="s">
        <v>26</v>
      </c>
    </row>
    <row r="166" spans="1:20">
      <c r="A166" s="6" t="s">
        <v>221</v>
      </c>
      <c r="B166" s="3">
        <v>100</v>
      </c>
      <c r="C166" s="7">
        <v>30</v>
      </c>
      <c r="D166" s="7">
        <v>30</v>
      </c>
      <c r="E166" s="7">
        <v>31</v>
      </c>
      <c r="F166" s="7">
        <v>29</v>
      </c>
      <c r="G166" s="7">
        <v>28</v>
      </c>
      <c r="H166" s="7">
        <f>MIN(C166:G166)</f>
        <v>28.0</v>
      </c>
      <c r="I166" s="6" t="s">
        <v>26</v>
      </c>
      <c r="J166" s="8">
        <f>IF($H166=0,"",(C166-$H166)/$H166)</f>
        <v>0.07142857142857142</v>
      </c>
      <c r="K166" s="8">
        <f>IF($H166=0,"",(D166-$H166)/$H166)</f>
        <v>0.07142857142857142</v>
      </c>
      <c r="L166" s="8">
        <f>IF($H166=0,"",(E166-$H166)/$H166)</f>
        <v>0.10714285714285714</v>
      </c>
      <c r="M166" s="8">
        <f>IF($H166=0,"",(F166-$H166)/$H166)</f>
        <v>0.03571428571428571</v>
      </c>
      <c r="N166" s="8">
        <f>IF($H166=0,"",(G166-$H166)/$H166)</f>
        <v>0.0</v>
      </c>
      <c r="O166" s="9">
        <f>IF(ABS(C166-$H166)&lt;=1E-9,1,0)</f>
        <v>0</v>
      </c>
      <c r="P166" s="9">
        <f>IF(ABS(D166-$H166)&lt;=1E-9,1,0)</f>
        <v>0</v>
      </c>
      <c r="Q166" s="9">
        <f>IF(ABS(E166-$H166)&lt;=1E-9,1,0)</f>
        <v>0</v>
      </c>
      <c r="R166" s="9">
        <f>IF(ABS(F166-$H166)&lt;=1E-9,1,0)</f>
        <v>0</v>
      </c>
      <c r="S166" s="9">
        <f>IF(ABS(G166-$H166)&lt;=1E-9,1,0)</f>
        <v>1</v>
      </c>
      <c r="T166" s="6" t="s">
        <v>26</v>
      </c>
    </row>
    <row r="167" spans="1:20">
      <c r="A167" s="6" t="s">
        <v>222</v>
      </c>
      <c r="B167" s="3">
        <v>100</v>
      </c>
      <c r="C167" s="7">
        <v>28</v>
      </c>
      <c r="D167" s="7">
        <v>28</v>
      </c>
      <c r="E167" s="7">
        <v>29</v>
      </c>
      <c r="F167" s="7">
        <v>30</v>
      </c>
      <c r="G167" s="7">
        <v>27</v>
      </c>
      <c r="H167" s="7">
        <f>MIN(C167:G167)</f>
        <v>27.0</v>
      </c>
      <c r="I167" s="6" t="s">
        <v>26</v>
      </c>
      <c r="J167" s="8">
        <f>IF($H167=0,"",(C167-$H167)/$H167)</f>
        <v>0.037037037037037035</v>
      </c>
      <c r="K167" s="8">
        <f>IF($H167=0,"",(D167-$H167)/$H167)</f>
        <v>0.037037037037037035</v>
      </c>
      <c r="L167" s="8">
        <f>IF($H167=0,"",(E167-$H167)/$H167)</f>
        <v>0.07407407407407407</v>
      </c>
      <c r="M167" s="8">
        <f>IF($H167=0,"",(F167-$H167)/$H167)</f>
        <v>0.1111111111111111</v>
      </c>
      <c r="N167" s="8">
        <f>IF($H167=0,"",(G167-$H167)/$H167)</f>
        <v>0.0</v>
      </c>
      <c r="O167" s="9">
        <f>IF(ABS(C167-$H167)&lt;=1E-9,1,0)</f>
        <v>0</v>
      </c>
      <c r="P167" s="9">
        <f>IF(ABS(D167-$H167)&lt;=1E-9,1,0)</f>
        <v>0</v>
      </c>
      <c r="Q167" s="9">
        <f>IF(ABS(E167-$H167)&lt;=1E-9,1,0)</f>
        <v>0</v>
      </c>
      <c r="R167" s="9">
        <f>IF(ABS(F167-$H167)&lt;=1E-9,1,0)</f>
        <v>0</v>
      </c>
      <c r="S167" s="9">
        <f>IF(ABS(G167-$H167)&lt;=1E-9,1,0)</f>
        <v>1</v>
      </c>
      <c r="T167" s="6" t="s">
        <v>26</v>
      </c>
    </row>
    <row r="168" spans="1:20">
      <c r="A168" s="6" t="s">
        <v>223</v>
      </c>
      <c r="B168" s="3">
        <v>100</v>
      </c>
      <c r="C168" s="7">
        <v>588</v>
      </c>
      <c r="D168" s="7">
        <v>579</v>
      </c>
      <c r="E168" s="7">
        <v>583</v>
      </c>
      <c r="F168" s="7">
        <v>447</v>
      </c>
      <c r="G168" s="7">
        <v>414</v>
      </c>
      <c r="H168" s="7">
        <f>MIN(C168:G168)</f>
        <v>414.0</v>
      </c>
      <c r="I168" s="6" t="s">
        <v>26</v>
      </c>
      <c r="J168" s="8">
        <f>IF($H168=0,"",(C168-$H168)/$H168)</f>
        <v>0.42028985507246375</v>
      </c>
      <c r="K168" s="8">
        <f>IF($H168=0,"",(D168-$H168)/$H168)</f>
        <v>0.39855072463768115</v>
      </c>
      <c r="L168" s="8">
        <f>IF($H168=0,"",(E168-$H168)/$H168)</f>
        <v>0.4082125603864734</v>
      </c>
      <c r="M168" s="8">
        <f>IF($H168=0,"",(F168-$H168)/$H168)</f>
        <v>0.07971014492753623</v>
      </c>
      <c r="N168" s="8">
        <f>IF($H168=0,"",(G168-$H168)/$H168)</f>
        <v>0.0</v>
      </c>
      <c r="O168" s="9">
        <f>IF(ABS(C168-$H168)&lt;=1E-9,1,0)</f>
        <v>0</v>
      </c>
      <c r="P168" s="9">
        <f>IF(ABS(D168-$H168)&lt;=1E-9,1,0)</f>
        <v>0</v>
      </c>
      <c r="Q168" s="9">
        <f>IF(ABS(E168-$H168)&lt;=1E-9,1,0)</f>
        <v>0</v>
      </c>
      <c r="R168" s="9">
        <f>IF(ABS(F168-$H168)&lt;=1E-9,1,0)</f>
        <v>0</v>
      </c>
      <c r="S168" s="9">
        <f>IF(ABS(G168-$H168)&lt;=1E-9,1,0)</f>
        <v>1</v>
      </c>
      <c r="T168" s="6" t="s">
        <v>26</v>
      </c>
    </row>
    <row r="169" spans="1:20">
      <c r="A169" s="6" t="s">
        <v>224</v>
      </c>
      <c r="B169" s="3">
        <v>100</v>
      </c>
      <c r="C169" s="7">
        <v>526</v>
      </c>
      <c r="D169" s="7">
        <v>538</v>
      </c>
      <c r="E169" s="7">
        <v>536</v>
      </c>
      <c r="F169" s="7">
        <v>440</v>
      </c>
      <c r="G169" s="7">
        <v>392</v>
      </c>
      <c r="H169" s="7">
        <f>MIN(C169:G169)</f>
        <v>392.0</v>
      </c>
      <c r="I169" s="6" t="s">
        <v>26</v>
      </c>
      <c r="J169" s="8">
        <f>IF($H169=0,"",(C169-$H169)/$H169)</f>
        <v>0.34183673469387754</v>
      </c>
      <c r="K169" s="8">
        <f>IF($H169=0,"",(D169-$H169)/$H169)</f>
        <v>0.37244897959183676</v>
      </c>
      <c r="L169" s="8">
        <f>IF($H169=0,"",(E169-$H169)/$H169)</f>
        <v>0.3673469387755102</v>
      </c>
      <c r="M169" s="8">
        <f>IF($H169=0,"",(F169-$H169)/$H169)</f>
        <v>0.12244897959183673</v>
      </c>
      <c r="N169" s="8">
        <f>IF($H169=0,"",(G169-$H169)/$H169)</f>
        <v>0.0</v>
      </c>
      <c r="O169" s="9">
        <f>IF(ABS(C169-$H169)&lt;=1E-9,1,0)</f>
        <v>0</v>
      </c>
      <c r="P169" s="9">
        <f>IF(ABS(D169-$H169)&lt;=1E-9,1,0)</f>
        <v>0</v>
      </c>
      <c r="Q169" s="9">
        <f>IF(ABS(E169-$H169)&lt;=1E-9,1,0)</f>
        <v>0</v>
      </c>
      <c r="R169" s="9">
        <f>IF(ABS(F169-$H169)&lt;=1E-9,1,0)</f>
        <v>0</v>
      </c>
      <c r="S169" s="9">
        <f>IF(ABS(G169-$H169)&lt;=1E-9,1,0)</f>
        <v>1</v>
      </c>
      <c r="T169" s="6" t="s">
        <v>26</v>
      </c>
    </row>
    <row r="170" spans="1:20">
      <c r="A170" s="6" t="s">
        <v>225</v>
      </c>
      <c r="B170" s="3">
        <v>100</v>
      </c>
      <c r="C170" s="7">
        <v>25</v>
      </c>
      <c r="D170" s="7">
        <v>25</v>
      </c>
      <c r="E170" s="7">
        <v>26</v>
      </c>
      <c r="F170" s="7">
        <v>29</v>
      </c>
      <c r="G170" s="7">
        <v>23</v>
      </c>
      <c r="H170" s="7">
        <f>MIN(C170:G170)</f>
        <v>23.0</v>
      </c>
      <c r="I170" s="6" t="s">
        <v>26</v>
      </c>
      <c r="J170" s="8">
        <f>IF($H170=0,"",(C170-$H170)/$H170)</f>
        <v>0.08695652173913043</v>
      </c>
      <c r="K170" s="8">
        <f>IF($H170=0,"",(D170-$H170)/$H170)</f>
        <v>0.08695652173913043</v>
      </c>
      <c r="L170" s="8">
        <f>IF($H170=0,"",(E170-$H170)/$H170)</f>
        <v>0.13043478260869565</v>
      </c>
      <c r="M170" s="8">
        <f>IF($H170=0,"",(F170-$H170)/$H170)</f>
        <v>0.2608695652173913</v>
      </c>
      <c r="N170" s="8">
        <f>IF($H170=0,"",(G170-$H170)/$H170)</f>
        <v>0.0</v>
      </c>
      <c r="O170" s="9">
        <f>IF(ABS(C170-$H170)&lt;=1E-9,1,0)</f>
        <v>0</v>
      </c>
      <c r="P170" s="9">
        <f>IF(ABS(D170-$H170)&lt;=1E-9,1,0)</f>
        <v>0</v>
      </c>
      <c r="Q170" s="9">
        <f>IF(ABS(E170-$H170)&lt;=1E-9,1,0)</f>
        <v>0</v>
      </c>
      <c r="R170" s="9">
        <f>IF(ABS(F170-$H170)&lt;=1E-9,1,0)</f>
        <v>0</v>
      </c>
      <c r="S170" s="9">
        <f>IF(ABS(G170-$H170)&lt;=1E-9,1,0)</f>
        <v>1</v>
      </c>
      <c r="T170" s="6" t="s">
        <v>26</v>
      </c>
    </row>
    <row r="171" spans="1:20">
      <c r="A171" s="6" t="s">
        <v>226</v>
      </c>
      <c r="B171" s="3">
        <v>100</v>
      </c>
      <c r="C171" s="7">
        <v>24</v>
      </c>
      <c r="D171" s="7">
        <v>24</v>
      </c>
      <c r="E171" s="7">
        <v>25</v>
      </c>
      <c r="F171" s="7">
        <v>26</v>
      </c>
      <c r="G171" s="7">
        <v>22</v>
      </c>
      <c r="H171" s="7">
        <f>MIN(C171:G171)</f>
        <v>22.0</v>
      </c>
      <c r="I171" s="6" t="s">
        <v>26</v>
      </c>
      <c r="J171" s="8">
        <f>IF($H171=0,"",(C171-$H171)/$H171)</f>
        <v>0.09090909090909091</v>
      </c>
      <c r="K171" s="8">
        <f>IF($H171=0,"",(D171-$H171)/$H171)</f>
        <v>0.09090909090909091</v>
      </c>
      <c r="L171" s="8">
        <f>IF($H171=0,"",(E171-$H171)/$H171)</f>
        <v>0.13636363636363635</v>
      </c>
      <c r="M171" s="8">
        <f>IF($H171=0,"",(F171-$H171)/$H171)</f>
        <v>0.18181818181818182</v>
      </c>
      <c r="N171" s="8">
        <f>IF($H171=0,"",(G171-$H171)/$H171)</f>
        <v>0.0</v>
      </c>
      <c r="O171" s="9">
        <f>IF(ABS(C171-$H171)&lt;=1E-9,1,0)</f>
        <v>0</v>
      </c>
      <c r="P171" s="9">
        <f>IF(ABS(D171-$H171)&lt;=1E-9,1,0)</f>
        <v>0</v>
      </c>
      <c r="Q171" s="9">
        <f>IF(ABS(E171-$H171)&lt;=1E-9,1,0)</f>
        <v>0</v>
      </c>
      <c r="R171" s="9">
        <f>IF(ABS(F171-$H171)&lt;=1E-9,1,0)</f>
        <v>0</v>
      </c>
      <c r="S171" s="9">
        <f>IF(ABS(G171-$H171)&lt;=1E-9,1,0)</f>
        <v>1</v>
      </c>
      <c r="T171" s="6" t="s">
        <v>26</v>
      </c>
    </row>
    <row r="172" spans="1:20">
      <c r="A172" s="6" t="s">
        <v>227</v>
      </c>
      <c r="B172" s="3">
        <v>100</v>
      </c>
      <c r="C172" s="7">
        <v>514</v>
      </c>
      <c r="D172" s="7">
        <v>515</v>
      </c>
      <c r="E172" s="7">
        <v>505</v>
      </c>
      <c r="F172" s="7">
        <v>423</v>
      </c>
      <c r="G172" s="7">
        <v>361</v>
      </c>
      <c r="H172" s="7">
        <f>MIN(C172:G172)</f>
        <v>361.0</v>
      </c>
      <c r="I172" s="6" t="s">
        <v>26</v>
      </c>
      <c r="J172" s="8">
        <f>IF($H172=0,"",(C172-$H172)/$H172)</f>
        <v>0.42382271468144045</v>
      </c>
      <c r="K172" s="8">
        <f>IF($H172=0,"",(D172-$H172)/$H172)</f>
        <v>0.4265927977839335</v>
      </c>
      <c r="L172" s="8">
        <f>IF($H172=0,"",(E172-$H172)/$H172)</f>
        <v>0.3988919667590028</v>
      </c>
      <c r="M172" s="8">
        <f>IF($H172=0,"",(F172-$H172)/$H172)</f>
        <v>0.17174515235457066</v>
      </c>
      <c r="N172" s="8">
        <f>IF($H172=0,"",(G172-$H172)/$H172)</f>
        <v>0.0</v>
      </c>
      <c r="O172" s="9">
        <f>IF(ABS(C172-$H172)&lt;=1E-9,1,0)</f>
        <v>0</v>
      </c>
      <c r="P172" s="9">
        <f>IF(ABS(D172-$H172)&lt;=1E-9,1,0)</f>
        <v>0</v>
      </c>
      <c r="Q172" s="9">
        <f>IF(ABS(E172-$H172)&lt;=1E-9,1,0)</f>
        <v>0</v>
      </c>
      <c r="R172" s="9">
        <f>IF(ABS(F172-$H172)&lt;=1E-9,1,0)</f>
        <v>0</v>
      </c>
      <c r="S172" s="9">
        <f>IF(ABS(G172-$H172)&lt;=1E-9,1,0)</f>
        <v>1</v>
      </c>
      <c r="T172" s="6" t="s">
        <v>26</v>
      </c>
    </row>
    <row r="173" spans="1:20">
      <c r="A173" s="6" t="s">
        <v>228</v>
      </c>
      <c r="B173" s="3">
        <v>100</v>
      </c>
      <c r="C173" s="7">
        <v>503</v>
      </c>
      <c r="D173" s="7">
        <v>481</v>
      </c>
      <c r="E173" s="7">
        <v>519</v>
      </c>
      <c r="F173" s="7">
        <v>423</v>
      </c>
      <c r="G173" s="7">
        <v>345</v>
      </c>
      <c r="H173" s="7">
        <f>MIN(C173:G173)</f>
        <v>345.0</v>
      </c>
      <c r="I173" s="6" t="s">
        <v>26</v>
      </c>
      <c r="J173" s="8">
        <f>IF($H173=0,"",(C173-$H173)/$H173)</f>
        <v>0.45797101449275357</v>
      </c>
      <c r="K173" s="8">
        <f>IF($H173=0,"",(D173-$H173)/$H173)</f>
        <v>0.39420289855072466</v>
      </c>
      <c r="L173" s="8">
        <f>IF($H173=0,"",(E173-$H173)/$H173)</f>
        <v>0.5043478260869565</v>
      </c>
      <c r="M173" s="8">
        <f>IF($H173=0,"",(F173-$H173)/$H173)</f>
        <v>0.22608695652173913</v>
      </c>
      <c r="N173" s="8">
        <f>IF($H173=0,"",(G173-$H173)/$H173)</f>
        <v>0.0</v>
      </c>
      <c r="O173" s="9">
        <f>IF(ABS(C173-$H173)&lt;=1E-9,1,0)</f>
        <v>0</v>
      </c>
      <c r="P173" s="9">
        <f>IF(ABS(D173-$H173)&lt;=1E-9,1,0)</f>
        <v>0</v>
      </c>
      <c r="Q173" s="9">
        <f>IF(ABS(E173-$H173)&lt;=1E-9,1,0)</f>
        <v>0</v>
      </c>
      <c r="R173" s="9">
        <f>IF(ABS(F173-$H173)&lt;=1E-9,1,0)</f>
        <v>0</v>
      </c>
      <c r="S173" s="9">
        <f>IF(ABS(G173-$H173)&lt;=1E-9,1,0)</f>
        <v>1</v>
      </c>
      <c r="T173" s="6" t="s">
        <v>26</v>
      </c>
    </row>
    <row r="174" spans="1:20">
      <c r="A174" s="6" t="s">
        <v>229</v>
      </c>
      <c r="B174" s="3">
        <v>100</v>
      </c>
      <c r="C174" s="7">
        <v>19</v>
      </c>
      <c r="D174" s="7">
        <v>19</v>
      </c>
      <c r="E174" s="7">
        <v>21</v>
      </c>
      <c r="F174" s="7">
        <v>30</v>
      </c>
      <c r="G174" s="7">
        <v>18</v>
      </c>
      <c r="H174" s="7">
        <f>MIN(C174:G174)</f>
        <v>18.0</v>
      </c>
      <c r="I174" s="6" t="s">
        <v>26</v>
      </c>
      <c r="J174" s="8">
        <f>IF($H174=0,"",(C174-$H174)/$H174)</f>
        <v>0.05555555555555555</v>
      </c>
      <c r="K174" s="8">
        <f>IF($H174=0,"",(D174-$H174)/$H174)</f>
        <v>0.05555555555555555</v>
      </c>
      <c r="L174" s="8">
        <f>IF($H174=0,"",(E174-$H174)/$H174)</f>
        <v>0.16666666666666663</v>
      </c>
      <c r="M174" s="8">
        <f>IF($H174=0,"",(F174-$H174)/$H174)</f>
        <v>0.6666666666666665</v>
      </c>
      <c r="N174" s="8">
        <f>IF($H174=0,"",(G174-$H174)/$H174)</f>
        <v>0.0</v>
      </c>
      <c r="O174" s="9">
        <f>IF(ABS(C174-$H174)&lt;=1E-9,1,0)</f>
        <v>0</v>
      </c>
      <c r="P174" s="9">
        <f>IF(ABS(D174-$H174)&lt;=1E-9,1,0)</f>
        <v>0</v>
      </c>
      <c r="Q174" s="9">
        <f>IF(ABS(E174-$H174)&lt;=1E-9,1,0)</f>
        <v>0</v>
      </c>
      <c r="R174" s="9">
        <f>IF(ABS(F174-$H174)&lt;=1E-9,1,0)</f>
        <v>0</v>
      </c>
      <c r="S174" s="9">
        <f>IF(ABS(G174-$H174)&lt;=1E-9,1,0)</f>
        <v>1</v>
      </c>
      <c r="T174" s="6" t="s">
        <v>26</v>
      </c>
    </row>
    <row r="175" spans="1:20">
      <c r="A175" s="6" t="s">
        <v>230</v>
      </c>
      <c r="B175" s="3">
        <v>100</v>
      </c>
      <c r="C175" s="7">
        <v>19</v>
      </c>
      <c r="D175" s="7">
        <v>19</v>
      </c>
      <c r="E175" s="7">
        <v>21</v>
      </c>
      <c r="F175" s="7">
        <v>28</v>
      </c>
      <c r="G175" s="7">
        <v>18</v>
      </c>
      <c r="H175" s="7">
        <f>MIN(C175:G175)</f>
        <v>18.0</v>
      </c>
      <c r="I175" s="6" t="s">
        <v>26</v>
      </c>
      <c r="J175" s="8">
        <f>IF($H175=0,"",(C175-$H175)/$H175)</f>
        <v>0.05555555555555555</v>
      </c>
      <c r="K175" s="8">
        <f>IF($H175=0,"",(D175-$H175)/$H175)</f>
        <v>0.05555555555555555</v>
      </c>
      <c r="L175" s="8">
        <f>IF($H175=0,"",(E175-$H175)/$H175)</f>
        <v>0.16666666666666663</v>
      </c>
      <c r="M175" s="8">
        <f>IF($H175=0,"",(F175-$H175)/$H175)</f>
        <v>0.5555555555555556</v>
      </c>
      <c r="N175" s="8">
        <f>IF($H175=0,"",(G175-$H175)/$H175)</f>
        <v>0.0</v>
      </c>
      <c r="O175" s="9">
        <f>IF(ABS(C175-$H175)&lt;=1E-9,1,0)</f>
        <v>0</v>
      </c>
      <c r="P175" s="9">
        <f>IF(ABS(D175-$H175)&lt;=1E-9,1,0)</f>
        <v>0</v>
      </c>
      <c r="Q175" s="9">
        <f>IF(ABS(E175-$H175)&lt;=1E-9,1,0)</f>
        <v>0</v>
      </c>
      <c r="R175" s="9">
        <f>IF(ABS(F175-$H175)&lt;=1E-9,1,0)</f>
        <v>0</v>
      </c>
      <c r="S175" s="9">
        <f>IF(ABS(G175-$H175)&lt;=1E-9,1,0)</f>
        <v>1</v>
      </c>
      <c r="T175" s="6" t="s">
        <v>26</v>
      </c>
    </row>
    <row r="176" spans="1:20">
      <c r="A176" s="6" t="s">
        <v>231</v>
      </c>
      <c r="B176" s="3">
        <v>100</v>
      </c>
      <c r="C176" s="7">
        <v>449</v>
      </c>
      <c r="D176" s="7">
        <v>459</v>
      </c>
      <c r="E176" s="7">
        <v>462</v>
      </c>
      <c r="F176" s="7">
        <v>401</v>
      </c>
      <c r="G176" s="7">
        <v>329</v>
      </c>
      <c r="H176" s="7">
        <f>MIN(C176:G176)</f>
        <v>329.0</v>
      </c>
      <c r="I176" s="6" t="s">
        <v>26</v>
      </c>
      <c r="J176" s="8">
        <f>IF($H176=0,"",(C176-$H176)/$H176)</f>
        <v>0.36474164133738607</v>
      </c>
      <c r="K176" s="8">
        <f>IF($H176=0,"",(D176-$H176)/$H176)</f>
        <v>0.3951367781155015</v>
      </c>
      <c r="L176" s="8">
        <f>IF($H176=0,"",(E176-$H176)/$H176)</f>
        <v>0.4042553191489361</v>
      </c>
      <c r="M176" s="8">
        <f>IF($H176=0,"",(F176-$H176)/$H176)</f>
        <v>0.21884498480243159</v>
      </c>
      <c r="N176" s="8">
        <f>IF($H176=0,"",(G176-$H176)/$H176)</f>
        <v>0.0</v>
      </c>
      <c r="O176" s="9">
        <f>IF(ABS(C176-$H176)&lt;=1E-9,1,0)</f>
        <v>0</v>
      </c>
      <c r="P176" s="9">
        <f>IF(ABS(D176-$H176)&lt;=1E-9,1,0)</f>
        <v>0</v>
      </c>
      <c r="Q176" s="9">
        <f>IF(ABS(E176-$H176)&lt;=1E-9,1,0)</f>
        <v>0</v>
      </c>
      <c r="R176" s="9">
        <f>IF(ABS(F176-$H176)&lt;=1E-9,1,0)</f>
        <v>0</v>
      </c>
      <c r="S176" s="9">
        <f>IF(ABS(G176-$H176)&lt;=1E-9,1,0)</f>
        <v>1</v>
      </c>
      <c r="T176" s="6" t="s">
        <v>26</v>
      </c>
    </row>
    <row r="177" spans="1:20">
      <c r="A177" s="6" t="s">
        <v>232</v>
      </c>
      <c r="B177" s="3">
        <v>100</v>
      </c>
      <c r="C177" s="7">
        <v>469</v>
      </c>
      <c r="D177" s="7">
        <v>473</v>
      </c>
      <c r="E177" s="7">
        <v>513</v>
      </c>
      <c r="F177" s="7">
        <v>406</v>
      </c>
      <c r="G177" s="7">
        <v>356</v>
      </c>
      <c r="H177" s="7">
        <f>MIN(C177:G177)</f>
        <v>356.0</v>
      </c>
      <c r="I177" s="6" t="s">
        <v>26</v>
      </c>
      <c r="J177" s="8">
        <f>IF($H177=0,"",(C177-$H177)/$H177)</f>
        <v>0.31741573033707865</v>
      </c>
      <c r="K177" s="8">
        <f>IF($H177=0,"",(D177-$H177)/$H177)</f>
        <v>0.32865168539325845</v>
      </c>
      <c r="L177" s="8">
        <f>IF($H177=0,"",(E177-$H177)/$H177)</f>
        <v>0.4410112359550562</v>
      </c>
      <c r="M177" s="8">
        <f>IF($H177=0,"",(F177-$H177)/$H177)</f>
        <v>0.1404494382022472</v>
      </c>
      <c r="N177" s="8">
        <f>IF($H177=0,"",(G177-$H177)/$H177)</f>
        <v>0.0</v>
      </c>
      <c r="O177" s="9">
        <f>IF(ABS(C177-$H177)&lt;=1E-9,1,0)</f>
        <v>0</v>
      </c>
      <c r="P177" s="9">
        <f>IF(ABS(D177-$H177)&lt;=1E-9,1,0)</f>
        <v>0</v>
      </c>
      <c r="Q177" s="9">
        <f>IF(ABS(E177-$H177)&lt;=1E-9,1,0)</f>
        <v>0</v>
      </c>
      <c r="R177" s="9">
        <f>IF(ABS(F177-$H177)&lt;=1E-9,1,0)</f>
        <v>0</v>
      </c>
      <c r="S177" s="9">
        <f>IF(ABS(G177-$H177)&lt;=1E-9,1,0)</f>
        <v>1</v>
      </c>
      <c r="T177" s="6" t="s">
        <v>26</v>
      </c>
    </row>
    <row r="178" spans="1:20">
      <c r="A178" s="6" t="s">
        <v>233</v>
      </c>
      <c r="B178" s="3">
        <v>100</v>
      </c>
      <c r="C178" s="7">
        <v>37</v>
      </c>
      <c r="D178" s="7">
        <v>36</v>
      </c>
      <c r="E178" s="7">
        <v>37</v>
      </c>
      <c r="F178" s="7">
        <v>35</v>
      </c>
      <c r="G178" s="7">
        <v>33</v>
      </c>
      <c r="H178" s="7">
        <f>MIN(C178:G178)</f>
        <v>33.0</v>
      </c>
      <c r="I178" s="6" t="s">
        <v>26</v>
      </c>
      <c r="J178" s="8">
        <f>IF($H178=0,"",(C178-$H178)/$H178)</f>
        <v>0.12121212121212122</v>
      </c>
      <c r="K178" s="8">
        <f>IF($H178=0,"",(D178-$H178)/$H178)</f>
        <v>0.09090909090909091</v>
      </c>
      <c r="L178" s="8">
        <f>IF($H178=0,"",(E178-$H178)/$H178)</f>
        <v>0.12121212121212122</v>
      </c>
      <c r="M178" s="8">
        <f>IF($H178=0,"",(F178-$H178)/$H178)</f>
        <v>0.06060606060606061</v>
      </c>
      <c r="N178" s="8">
        <f>IF($H178=0,"",(G178-$H178)/$H178)</f>
        <v>0.0</v>
      </c>
      <c r="O178" s="9">
        <f>IF(ABS(C178-$H178)&lt;=1E-9,1,0)</f>
        <v>0</v>
      </c>
      <c r="P178" s="9">
        <f>IF(ABS(D178-$H178)&lt;=1E-9,1,0)</f>
        <v>0</v>
      </c>
      <c r="Q178" s="9">
        <f>IF(ABS(E178-$H178)&lt;=1E-9,1,0)</f>
        <v>0</v>
      </c>
      <c r="R178" s="9">
        <f>IF(ABS(F178-$H178)&lt;=1E-9,1,0)</f>
        <v>0</v>
      </c>
      <c r="S178" s="9">
        <f>IF(ABS(G178-$H178)&lt;=1E-9,1,0)</f>
        <v>1</v>
      </c>
      <c r="T178" s="6" t="s">
        <v>26</v>
      </c>
    </row>
    <row r="179" spans="1:20">
      <c r="A179" s="6" t="s">
        <v>234</v>
      </c>
      <c r="B179" s="3">
        <v>100</v>
      </c>
      <c r="C179" s="7">
        <v>35</v>
      </c>
      <c r="D179" s="7">
        <v>35</v>
      </c>
      <c r="E179" s="7">
        <v>35</v>
      </c>
      <c r="F179" s="7">
        <v>33</v>
      </c>
      <c r="G179" s="7">
        <v>32</v>
      </c>
      <c r="H179" s="7">
        <f>MIN(C179:G179)</f>
        <v>32.0</v>
      </c>
      <c r="I179" s="6" t="s">
        <v>26</v>
      </c>
      <c r="J179" s="8">
        <f>IF($H179=0,"",(C179-$H179)/$H179)</f>
        <v>0.09375</v>
      </c>
      <c r="K179" s="8">
        <f>IF($H179=0,"",(D179-$H179)/$H179)</f>
        <v>0.09375</v>
      </c>
      <c r="L179" s="8">
        <f>IF($H179=0,"",(E179-$H179)/$H179)</f>
        <v>0.09375</v>
      </c>
      <c r="M179" s="8">
        <f>IF($H179=0,"",(F179-$H179)/$H179)</f>
        <v>0.03125</v>
      </c>
      <c r="N179" s="8">
        <f>IF($H179=0,"",(G179-$H179)/$H179)</f>
        <v>0.0</v>
      </c>
      <c r="O179" s="9">
        <f>IF(ABS(C179-$H179)&lt;=1E-9,1,0)</f>
        <v>0</v>
      </c>
      <c r="P179" s="9">
        <f>IF(ABS(D179-$H179)&lt;=1E-9,1,0)</f>
        <v>0</v>
      </c>
      <c r="Q179" s="9">
        <f>IF(ABS(E179-$H179)&lt;=1E-9,1,0)</f>
        <v>0</v>
      </c>
      <c r="R179" s="9">
        <f>IF(ABS(F179-$H179)&lt;=1E-9,1,0)</f>
        <v>0</v>
      </c>
      <c r="S179" s="9">
        <f>IF(ABS(G179-$H179)&lt;=1E-9,1,0)</f>
        <v>1</v>
      </c>
      <c r="T179" s="6" t="s">
        <v>26</v>
      </c>
    </row>
    <row r="180" spans="1:20">
      <c r="A180" s="6" t="s">
        <v>235</v>
      </c>
      <c r="B180" s="3">
        <v>100</v>
      </c>
      <c r="C180" s="7">
        <v>564</v>
      </c>
      <c r="D180" s="7">
        <v>577</v>
      </c>
      <c r="E180" s="7">
        <v>567</v>
      </c>
      <c r="F180" s="7">
        <v>480</v>
      </c>
      <c r="G180" s="7">
        <v>391</v>
      </c>
      <c r="H180" s="7">
        <f>MIN(C180:G180)</f>
        <v>391.0</v>
      </c>
      <c r="I180" s="6" t="s">
        <v>26</v>
      </c>
      <c r="J180" s="8">
        <f>IF($H180=0,"",(C180-$H180)/$H180)</f>
        <v>0.4424552429667519</v>
      </c>
      <c r="K180" s="8">
        <f>IF($H180=0,"",(D180-$H180)/$H180)</f>
        <v>0.47570332480818417</v>
      </c>
      <c r="L180" s="8">
        <f>IF($H180=0,"",(E180-$H180)/$H180)</f>
        <v>0.45012787723785164</v>
      </c>
      <c r="M180" s="8">
        <f>IF($H180=0,"",(F180-$H180)/$H180)</f>
        <v>0.22762148337595906</v>
      </c>
      <c r="N180" s="8">
        <f>IF($H180=0,"",(G180-$H180)/$H180)</f>
        <v>0.0</v>
      </c>
      <c r="O180" s="9">
        <f>IF(ABS(C180-$H180)&lt;=1E-9,1,0)</f>
        <v>0</v>
      </c>
      <c r="P180" s="9">
        <f>IF(ABS(D180-$H180)&lt;=1E-9,1,0)</f>
        <v>0</v>
      </c>
      <c r="Q180" s="9">
        <f>IF(ABS(E180-$H180)&lt;=1E-9,1,0)</f>
        <v>0</v>
      </c>
      <c r="R180" s="9">
        <f>IF(ABS(F180-$H180)&lt;=1E-9,1,0)</f>
        <v>0</v>
      </c>
      <c r="S180" s="9">
        <f>IF(ABS(G180-$H180)&lt;=1E-9,1,0)</f>
        <v>1</v>
      </c>
      <c r="T180" s="6" t="s">
        <v>26</v>
      </c>
    </row>
    <row r="181" spans="1:20">
      <c r="A181" s="6" t="s">
        <v>236</v>
      </c>
      <c r="B181" s="3">
        <v>100</v>
      </c>
      <c r="C181" s="7">
        <v>456</v>
      </c>
      <c r="D181" s="7">
        <v>485</v>
      </c>
      <c r="E181" s="7">
        <v>464</v>
      </c>
      <c r="F181" s="7">
        <v>399</v>
      </c>
      <c r="G181" s="7">
        <v>359</v>
      </c>
      <c r="H181" s="7">
        <f>MIN(C181:G181)</f>
        <v>359.0</v>
      </c>
      <c r="I181" s="6" t="s">
        <v>26</v>
      </c>
      <c r="J181" s="8">
        <f>IF($H181=0,"",(C181-$H181)/$H181)</f>
        <v>0.27019498607242337</v>
      </c>
      <c r="K181" s="8">
        <f>IF($H181=0,"",(D181-$H181)/$H181)</f>
        <v>0.35097493036211697</v>
      </c>
      <c r="L181" s="8">
        <f>IF($H181=0,"",(E181-$H181)/$H181)</f>
        <v>0.2924791086350975</v>
      </c>
      <c r="M181" s="8">
        <f>IF($H181=0,"",(F181-$H181)/$H181)</f>
        <v>0.11142061281337048</v>
      </c>
      <c r="N181" s="8">
        <f>IF($H181=0,"",(G181-$H181)/$H181)</f>
        <v>0.0</v>
      </c>
      <c r="O181" s="9">
        <f>IF(ABS(C181-$H181)&lt;=1E-9,1,0)</f>
        <v>0</v>
      </c>
      <c r="P181" s="9">
        <f>IF(ABS(D181-$H181)&lt;=1E-9,1,0)</f>
        <v>0</v>
      </c>
      <c r="Q181" s="9">
        <f>IF(ABS(E181-$H181)&lt;=1E-9,1,0)</f>
        <v>0</v>
      </c>
      <c r="R181" s="9">
        <f>IF(ABS(F181-$H181)&lt;=1E-9,1,0)</f>
        <v>0</v>
      </c>
      <c r="S181" s="9">
        <f>IF(ABS(G181-$H181)&lt;=1E-9,1,0)</f>
        <v>1</v>
      </c>
      <c r="T181" s="6" t="s">
        <v>26</v>
      </c>
    </row>
    <row r="182" spans="1:20">
      <c r="A182" s="6" t="s">
        <v>237</v>
      </c>
      <c r="B182" s="3">
        <v>100</v>
      </c>
      <c r="C182" s="7">
        <v>29</v>
      </c>
      <c r="D182" s="7">
        <v>29</v>
      </c>
      <c r="E182" s="7">
        <v>29</v>
      </c>
      <c r="F182" s="7">
        <v>31</v>
      </c>
      <c r="G182" s="7">
        <v>27</v>
      </c>
      <c r="H182" s="7">
        <f>MIN(C182:G182)</f>
        <v>27.0</v>
      </c>
      <c r="I182" s="6" t="s">
        <v>26</v>
      </c>
      <c r="J182" s="8">
        <f>IF($H182=0,"",(C182-$H182)/$H182)</f>
        <v>0.07407407407407407</v>
      </c>
      <c r="K182" s="8">
        <f>IF($H182=0,"",(D182-$H182)/$H182)</f>
        <v>0.07407407407407407</v>
      </c>
      <c r="L182" s="8">
        <f>IF($H182=0,"",(E182-$H182)/$H182)</f>
        <v>0.07407407407407407</v>
      </c>
      <c r="M182" s="8">
        <f>IF($H182=0,"",(F182-$H182)/$H182)</f>
        <v>0.14814814814814814</v>
      </c>
      <c r="N182" s="8">
        <f>IF($H182=0,"",(G182-$H182)/$H182)</f>
        <v>0.0</v>
      </c>
      <c r="O182" s="9">
        <f>IF(ABS(C182-$H182)&lt;=1E-9,1,0)</f>
        <v>0</v>
      </c>
      <c r="P182" s="9">
        <f>IF(ABS(D182-$H182)&lt;=1E-9,1,0)</f>
        <v>0</v>
      </c>
      <c r="Q182" s="9">
        <f>IF(ABS(E182-$H182)&lt;=1E-9,1,0)</f>
        <v>0</v>
      </c>
      <c r="R182" s="9">
        <f>IF(ABS(F182-$H182)&lt;=1E-9,1,0)</f>
        <v>0</v>
      </c>
      <c r="S182" s="9">
        <f>IF(ABS(G182-$H182)&lt;=1E-9,1,0)</f>
        <v>1</v>
      </c>
      <c r="T182" s="6" t="s">
        <v>26</v>
      </c>
    </row>
    <row r="183" spans="1:20">
      <c r="A183" s="6" t="s">
        <v>238</v>
      </c>
      <c r="B183" s="3">
        <v>100</v>
      </c>
      <c r="C183" s="7">
        <v>28</v>
      </c>
      <c r="D183" s="7">
        <v>28</v>
      </c>
      <c r="E183" s="7">
        <v>29</v>
      </c>
      <c r="F183" s="7">
        <v>31</v>
      </c>
      <c r="G183" s="7">
        <v>26</v>
      </c>
      <c r="H183" s="7">
        <f>MIN(C183:G183)</f>
        <v>26.0</v>
      </c>
      <c r="I183" s="6" t="s">
        <v>26</v>
      </c>
      <c r="J183" s="8">
        <f>IF($H183=0,"",(C183-$H183)/$H183)</f>
        <v>0.07692307692307693</v>
      </c>
      <c r="K183" s="8">
        <f>IF($H183=0,"",(D183-$H183)/$H183)</f>
        <v>0.07692307692307693</v>
      </c>
      <c r="L183" s="8">
        <f>IF($H183=0,"",(E183-$H183)/$H183)</f>
        <v>0.11538461538461538</v>
      </c>
      <c r="M183" s="8">
        <f>IF($H183=0,"",(F183-$H183)/$H183)</f>
        <v>0.19230769230769235</v>
      </c>
      <c r="N183" s="8">
        <f>IF($H183=0,"",(G183-$H183)/$H183)</f>
        <v>0.0</v>
      </c>
      <c r="O183" s="9">
        <f>IF(ABS(C183-$H183)&lt;=1E-9,1,0)</f>
        <v>0</v>
      </c>
      <c r="P183" s="9">
        <f>IF(ABS(D183-$H183)&lt;=1E-9,1,0)</f>
        <v>0</v>
      </c>
      <c r="Q183" s="9">
        <f>IF(ABS(E183-$H183)&lt;=1E-9,1,0)</f>
        <v>0</v>
      </c>
      <c r="R183" s="9">
        <f>IF(ABS(F183-$H183)&lt;=1E-9,1,0)</f>
        <v>0</v>
      </c>
      <c r="S183" s="9">
        <f>IF(ABS(G183-$H183)&lt;=1E-9,1,0)</f>
        <v>1</v>
      </c>
      <c r="T183" s="6" t="s">
        <v>26</v>
      </c>
    </row>
    <row r="184" spans="1:20">
      <c r="A184" s="6" t="s">
        <v>239</v>
      </c>
      <c r="B184" s="3">
        <v>100</v>
      </c>
      <c r="C184" s="7">
        <v>533</v>
      </c>
      <c r="D184" s="7">
        <v>519</v>
      </c>
      <c r="E184" s="7">
        <v>537</v>
      </c>
      <c r="F184" s="7">
        <v>434</v>
      </c>
      <c r="G184" s="7">
        <v>372</v>
      </c>
      <c r="H184" s="7">
        <f>MIN(C184:G184)</f>
        <v>372.0</v>
      </c>
      <c r="I184" s="6" t="s">
        <v>26</v>
      </c>
      <c r="J184" s="8">
        <f>IF($H184=0,"",(C184-$H184)/$H184)</f>
        <v>0.4327956989247312</v>
      </c>
      <c r="K184" s="8">
        <f>IF($H184=0,"",(D184-$H184)/$H184)</f>
        <v>0.3951612903225806</v>
      </c>
      <c r="L184" s="8">
        <f>IF($H184=0,"",(E184-$H184)/$H184)</f>
        <v>0.4435483870967742</v>
      </c>
      <c r="M184" s="8">
        <f>IF($H184=0,"",(F184-$H184)/$H184)</f>
        <v>0.16666666666666663</v>
      </c>
      <c r="N184" s="8">
        <f>IF($H184=0,"",(G184-$H184)/$H184)</f>
        <v>0.0</v>
      </c>
      <c r="O184" s="9">
        <f>IF(ABS(C184-$H184)&lt;=1E-9,1,0)</f>
        <v>0</v>
      </c>
      <c r="P184" s="9">
        <f>IF(ABS(D184-$H184)&lt;=1E-9,1,0)</f>
        <v>0</v>
      </c>
      <c r="Q184" s="9">
        <f>IF(ABS(E184-$H184)&lt;=1E-9,1,0)</f>
        <v>0</v>
      </c>
      <c r="R184" s="9">
        <f>IF(ABS(F184-$H184)&lt;=1E-9,1,0)</f>
        <v>0</v>
      </c>
      <c r="S184" s="9">
        <f>IF(ABS(G184-$H184)&lt;=1E-9,1,0)</f>
        <v>1</v>
      </c>
      <c r="T184" s="6" t="s">
        <v>26</v>
      </c>
    </row>
    <row r="185" spans="1:20">
      <c r="A185" s="6" t="s">
        <v>240</v>
      </c>
      <c r="B185" s="3">
        <v>100</v>
      </c>
      <c r="C185" s="7">
        <v>439</v>
      </c>
      <c r="D185" s="7">
        <v>441</v>
      </c>
      <c r="E185" s="7">
        <v>438</v>
      </c>
      <c r="F185" s="7">
        <v>397</v>
      </c>
      <c r="G185" s="7">
        <v>331</v>
      </c>
      <c r="H185" s="7">
        <f>MIN(C185:G185)</f>
        <v>331.0</v>
      </c>
      <c r="I185" s="6" t="s">
        <v>26</v>
      </c>
      <c r="J185" s="8">
        <f>IF($H185=0,"",(C185-$H185)/$H185)</f>
        <v>0.3262839879154079</v>
      </c>
      <c r="K185" s="8">
        <f>IF($H185=0,"",(D185-$H185)/$H185)</f>
        <v>0.3323262839879154</v>
      </c>
      <c r="L185" s="8">
        <f>IF($H185=0,"",(E185-$H185)/$H185)</f>
        <v>0.32326283987915405</v>
      </c>
      <c r="M185" s="8">
        <f>IF($H185=0,"",(F185-$H185)/$H185)</f>
        <v>0.19939577039274925</v>
      </c>
      <c r="N185" s="8">
        <f>IF($H185=0,"",(G185-$H185)/$H185)</f>
        <v>0.0</v>
      </c>
      <c r="O185" s="9">
        <f>IF(ABS(C185-$H185)&lt;=1E-9,1,0)</f>
        <v>0</v>
      </c>
      <c r="P185" s="9">
        <f>IF(ABS(D185-$H185)&lt;=1E-9,1,0)</f>
        <v>0</v>
      </c>
      <c r="Q185" s="9">
        <f>IF(ABS(E185-$H185)&lt;=1E-9,1,0)</f>
        <v>0</v>
      </c>
      <c r="R185" s="9">
        <f>IF(ABS(F185-$H185)&lt;=1E-9,1,0)</f>
        <v>0</v>
      </c>
      <c r="S185" s="9">
        <f>IF(ABS(G185-$H185)&lt;=1E-9,1,0)</f>
        <v>1</v>
      </c>
      <c r="T185" s="6" t="s">
        <v>26</v>
      </c>
    </row>
    <row r="186" spans="1:20">
      <c r="A186" s="6" t="s">
        <v>241</v>
      </c>
      <c r="B186" s="3">
        <v>100</v>
      </c>
      <c r="C186" s="7">
        <v>24</v>
      </c>
      <c r="D186" s="7">
        <v>24</v>
      </c>
      <c r="E186" s="7">
        <v>25</v>
      </c>
      <c r="F186" s="7">
        <v>29</v>
      </c>
      <c r="G186" s="7">
        <v>21</v>
      </c>
      <c r="H186" s="7">
        <f>MIN(C186:G186)</f>
        <v>21.0</v>
      </c>
      <c r="I186" s="6" t="s">
        <v>26</v>
      </c>
      <c r="J186" s="8">
        <f>IF($H186=0,"",(C186-$H186)/$H186)</f>
        <v>0.14285714285714285</v>
      </c>
      <c r="K186" s="8">
        <f>IF($H186=0,"",(D186-$H186)/$H186)</f>
        <v>0.14285714285714285</v>
      </c>
      <c r="L186" s="8">
        <f>IF($H186=0,"",(E186-$H186)/$H186)</f>
        <v>0.19047619047619047</v>
      </c>
      <c r="M186" s="8">
        <f>IF($H186=0,"",(F186-$H186)/$H186)</f>
        <v>0.38095238095238093</v>
      </c>
      <c r="N186" s="8">
        <f>IF($H186=0,"",(G186-$H186)/$H186)</f>
        <v>0.0</v>
      </c>
      <c r="O186" s="9">
        <f>IF(ABS(C186-$H186)&lt;=1E-9,1,0)</f>
        <v>0</v>
      </c>
      <c r="P186" s="9">
        <f>IF(ABS(D186-$H186)&lt;=1E-9,1,0)</f>
        <v>0</v>
      </c>
      <c r="Q186" s="9">
        <f>IF(ABS(E186-$H186)&lt;=1E-9,1,0)</f>
        <v>0</v>
      </c>
      <c r="R186" s="9">
        <f>IF(ABS(F186-$H186)&lt;=1E-9,1,0)</f>
        <v>0</v>
      </c>
      <c r="S186" s="9">
        <f>IF(ABS(G186-$H186)&lt;=1E-9,1,0)</f>
        <v>1</v>
      </c>
      <c r="T186" s="6" t="s">
        <v>26</v>
      </c>
    </row>
    <row r="187" spans="1:20">
      <c r="A187" s="6" t="s">
        <v>242</v>
      </c>
      <c r="B187" s="3">
        <v>100</v>
      </c>
      <c r="C187" s="7">
        <v>24</v>
      </c>
      <c r="D187" s="7">
        <v>23</v>
      </c>
      <c r="E187" s="7">
        <v>24</v>
      </c>
      <c r="F187" s="7">
        <v>29</v>
      </c>
      <c r="G187" s="7">
        <v>22</v>
      </c>
      <c r="H187" s="7">
        <f>MIN(C187:G187)</f>
        <v>22.0</v>
      </c>
      <c r="I187" s="6" t="s">
        <v>26</v>
      </c>
      <c r="J187" s="8">
        <f>IF($H187=0,"",(C187-$H187)/$H187)</f>
        <v>0.09090909090909091</v>
      </c>
      <c r="K187" s="8">
        <f>IF($H187=0,"",(D187-$H187)/$H187)</f>
        <v>0.045454545454545456</v>
      </c>
      <c r="L187" s="8">
        <f>IF($H187=0,"",(E187-$H187)/$H187)</f>
        <v>0.09090909090909091</v>
      </c>
      <c r="M187" s="8">
        <f>IF($H187=0,"",(F187-$H187)/$H187)</f>
        <v>0.3181818181818182</v>
      </c>
      <c r="N187" s="8">
        <f>IF($H187=0,"",(G187-$H187)/$H187)</f>
        <v>0.0</v>
      </c>
      <c r="O187" s="9">
        <f>IF(ABS(C187-$H187)&lt;=1E-9,1,0)</f>
        <v>0</v>
      </c>
      <c r="P187" s="9">
        <f>IF(ABS(D187-$H187)&lt;=1E-9,1,0)</f>
        <v>0</v>
      </c>
      <c r="Q187" s="9">
        <f>IF(ABS(E187-$H187)&lt;=1E-9,1,0)</f>
        <v>0</v>
      </c>
      <c r="R187" s="9">
        <f>IF(ABS(F187-$H187)&lt;=1E-9,1,0)</f>
        <v>0</v>
      </c>
      <c r="S187" s="9">
        <f>IF(ABS(G187-$H187)&lt;=1E-9,1,0)</f>
        <v>1</v>
      </c>
      <c r="T187" s="6" t="s">
        <v>26</v>
      </c>
    </row>
    <row r="188" spans="1:20">
      <c r="A188" s="6" t="s">
        <v>243</v>
      </c>
      <c r="B188" s="3">
        <v>100</v>
      </c>
      <c r="C188" s="7">
        <v>416</v>
      </c>
      <c r="D188" s="7">
        <v>423</v>
      </c>
      <c r="E188" s="7">
        <v>416</v>
      </c>
      <c r="F188" s="7">
        <v>358</v>
      </c>
      <c r="G188" s="7">
        <v>291</v>
      </c>
      <c r="H188" s="7">
        <f>MIN(C188:G188)</f>
        <v>291.0</v>
      </c>
      <c r="I188" s="6" t="s">
        <v>26</v>
      </c>
      <c r="J188" s="8">
        <f>IF($H188=0,"",(C188-$H188)/$H188)</f>
        <v>0.42955326460481097</v>
      </c>
      <c r="K188" s="8">
        <f>IF($H188=0,"",(D188-$H188)/$H188)</f>
        <v>0.4536082474226804</v>
      </c>
      <c r="L188" s="8">
        <f>IF($H188=0,"",(E188-$H188)/$H188)</f>
        <v>0.42955326460481097</v>
      </c>
      <c r="M188" s="8">
        <f>IF($H188=0,"",(F188-$H188)/$H188)</f>
        <v>0.23024054982817868</v>
      </c>
      <c r="N188" s="8">
        <f>IF($H188=0,"",(G188-$H188)/$H188)</f>
        <v>0.0</v>
      </c>
      <c r="O188" s="9">
        <f>IF(ABS(C188-$H188)&lt;=1E-9,1,0)</f>
        <v>0</v>
      </c>
      <c r="P188" s="9">
        <f>IF(ABS(D188-$H188)&lt;=1E-9,1,0)</f>
        <v>0</v>
      </c>
      <c r="Q188" s="9">
        <f>IF(ABS(E188-$H188)&lt;=1E-9,1,0)</f>
        <v>0</v>
      </c>
      <c r="R188" s="9">
        <f>IF(ABS(F188-$H188)&lt;=1E-9,1,0)</f>
        <v>0</v>
      </c>
      <c r="S188" s="9">
        <f>IF(ABS(G188-$H188)&lt;=1E-9,1,0)</f>
        <v>1</v>
      </c>
      <c r="T188" s="6" t="s">
        <v>26</v>
      </c>
    </row>
    <row r="189" spans="1:20">
      <c r="A189" s="6" t="s">
        <v>244</v>
      </c>
      <c r="B189" s="3">
        <v>100</v>
      </c>
      <c r="C189" s="7">
        <v>333</v>
      </c>
      <c r="D189" s="7">
        <v>350</v>
      </c>
      <c r="E189" s="7">
        <v>363</v>
      </c>
      <c r="F189" s="7">
        <v>336</v>
      </c>
      <c r="G189" s="7">
        <v>265</v>
      </c>
      <c r="H189" s="7">
        <f>MIN(C189:G189)</f>
        <v>265.0</v>
      </c>
      <c r="I189" s="6" t="s">
        <v>26</v>
      </c>
      <c r="J189" s="8">
        <f>IF($H189=0,"",(C189-$H189)/$H189)</f>
        <v>0.25660377358490566</v>
      </c>
      <c r="K189" s="8">
        <f>IF($H189=0,"",(D189-$H189)/$H189)</f>
        <v>0.32075471698113206</v>
      </c>
      <c r="L189" s="8">
        <f>IF($H189=0,"",(E189-$H189)/$H189)</f>
        <v>0.369811320754717</v>
      </c>
      <c r="M189" s="8">
        <f>IF($H189=0,"",(F189-$H189)/$H189)</f>
        <v>0.2679245283018868</v>
      </c>
      <c r="N189" s="8">
        <f>IF($H189=0,"",(G189-$H189)/$H189)</f>
        <v>0.0</v>
      </c>
      <c r="O189" s="9">
        <f>IF(ABS(C189-$H189)&lt;=1E-9,1,0)</f>
        <v>0</v>
      </c>
      <c r="P189" s="9">
        <f>IF(ABS(D189-$H189)&lt;=1E-9,1,0)</f>
        <v>0</v>
      </c>
      <c r="Q189" s="9">
        <f>IF(ABS(E189-$H189)&lt;=1E-9,1,0)</f>
        <v>0</v>
      </c>
      <c r="R189" s="9">
        <f>IF(ABS(F189-$H189)&lt;=1E-9,1,0)</f>
        <v>0</v>
      </c>
      <c r="S189" s="9">
        <f>IF(ABS(G189-$H189)&lt;=1E-9,1,0)</f>
        <v>1</v>
      </c>
      <c r="T189" s="6" t="s">
        <v>26</v>
      </c>
    </row>
    <row r="190" spans="1:20">
      <c r="A190" s="6" t="s">
        <v>245</v>
      </c>
      <c r="B190" s="3">
        <v>100</v>
      </c>
      <c r="C190" s="7">
        <v>19</v>
      </c>
      <c r="D190" s="7">
        <v>19</v>
      </c>
      <c r="E190" s="7">
        <v>19</v>
      </c>
      <c r="F190" s="7">
        <v>26</v>
      </c>
      <c r="G190" s="7">
        <v>17</v>
      </c>
      <c r="H190" s="7">
        <f>MIN(C190:G190)</f>
        <v>17.0</v>
      </c>
      <c r="I190" s="6" t="s">
        <v>26</v>
      </c>
      <c r="J190" s="8">
        <f>IF($H190=0,"",(C190-$H190)/$H190)</f>
        <v>0.1176470588235294</v>
      </c>
      <c r="K190" s="8">
        <f>IF($H190=0,"",(D190-$H190)/$H190)</f>
        <v>0.1176470588235294</v>
      </c>
      <c r="L190" s="8">
        <f>IF($H190=0,"",(E190-$H190)/$H190)</f>
        <v>0.1176470588235294</v>
      </c>
      <c r="M190" s="8">
        <f>IF($H190=0,"",(F190-$H190)/$H190)</f>
        <v>0.5294117647058824</v>
      </c>
      <c r="N190" s="8">
        <f>IF($H190=0,"",(G190-$H190)/$H190)</f>
        <v>0.0</v>
      </c>
      <c r="O190" s="9">
        <f>IF(ABS(C190-$H190)&lt;=1E-9,1,0)</f>
        <v>0</v>
      </c>
      <c r="P190" s="9">
        <f>IF(ABS(D190-$H190)&lt;=1E-9,1,0)</f>
        <v>0</v>
      </c>
      <c r="Q190" s="9">
        <f>IF(ABS(E190-$H190)&lt;=1E-9,1,0)</f>
        <v>0</v>
      </c>
      <c r="R190" s="9">
        <f>IF(ABS(F190-$H190)&lt;=1E-9,1,0)</f>
        <v>0</v>
      </c>
      <c r="S190" s="9">
        <f>IF(ABS(G190-$H190)&lt;=1E-9,1,0)</f>
        <v>1</v>
      </c>
      <c r="T190" s="6" t="s">
        <v>26</v>
      </c>
    </row>
    <row r="191" spans="1:20">
      <c r="A191" s="6" t="s">
        <v>246</v>
      </c>
      <c r="B191" s="3">
        <v>100</v>
      </c>
      <c r="C191" s="7">
        <v>21</v>
      </c>
      <c r="D191" s="7">
        <v>20</v>
      </c>
      <c r="E191" s="7">
        <v>21</v>
      </c>
      <c r="F191" s="7">
        <v>28</v>
      </c>
      <c r="G191" s="7">
        <v>18</v>
      </c>
      <c r="H191" s="7">
        <f>MIN(C191:G191)</f>
        <v>18.0</v>
      </c>
      <c r="I191" s="6" t="s">
        <v>26</v>
      </c>
      <c r="J191" s="8">
        <f>IF($H191=0,"",(C191-$H191)/$H191)</f>
        <v>0.16666666666666663</v>
      </c>
      <c r="K191" s="8">
        <f>IF($H191=0,"",(D191-$H191)/$H191)</f>
        <v>0.1111111111111111</v>
      </c>
      <c r="L191" s="8">
        <f>IF($H191=0,"",(E191-$H191)/$H191)</f>
        <v>0.16666666666666663</v>
      </c>
      <c r="M191" s="8">
        <f>IF($H191=0,"",(F191-$H191)/$H191)</f>
        <v>0.5555555555555556</v>
      </c>
      <c r="N191" s="8">
        <f>IF($H191=0,"",(G191-$H191)/$H191)</f>
        <v>0.0</v>
      </c>
      <c r="O191" s="9">
        <f>IF(ABS(C191-$H191)&lt;=1E-9,1,0)</f>
        <v>0</v>
      </c>
      <c r="P191" s="9">
        <f>IF(ABS(D191-$H191)&lt;=1E-9,1,0)</f>
        <v>0</v>
      </c>
      <c r="Q191" s="9">
        <f>IF(ABS(E191-$H191)&lt;=1E-9,1,0)</f>
        <v>0</v>
      </c>
      <c r="R191" s="9">
        <f>IF(ABS(F191-$H191)&lt;=1E-9,1,0)</f>
        <v>0</v>
      </c>
      <c r="S191" s="9">
        <f>IF(ABS(G191-$H191)&lt;=1E-9,1,0)</f>
        <v>1</v>
      </c>
      <c r="T191" s="6" t="s">
        <v>26</v>
      </c>
    </row>
    <row r="192" spans="1:20">
      <c r="A192" s="6" t="s">
        <v>247</v>
      </c>
      <c r="B192" s="3">
        <v>100</v>
      </c>
      <c r="C192" s="7">
        <v>387</v>
      </c>
      <c r="D192" s="7">
        <v>404</v>
      </c>
      <c r="E192" s="7">
        <v>402</v>
      </c>
      <c r="F192" s="7">
        <v>378</v>
      </c>
      <c r="G192" s="7">
        <v>291</v>
      </c>
      <c r="H192" s="7">
        <f>MIN(C192:G192)</f>
        <v>291.0</v>
      </c>
      <c r="I192" s="6" t="s">
        <v>26</v>
      </c>
      <c r="J192" s="8">
        <f>IF($H192=0,"",(C192-$H192)/$H192)</f>
        <v>0.3298969072164948</v>
      </c>
      <c r="K192" s="8">
        <f>IF($H192=0,"",(D192-$H192)/$H192)</f>
        <v>0.3883161512027492</v>
      </c>
      <c r="L192" s="8">
        <f>IF($H192=0,"",(E192-$H192)/$H192)</f>
        <v>0.38144329896907214</v>
      </c>
      <c r="M192" s="8">
        <f>IF($H192=0,"",(F192-$H192)/$H192)</f>
        <v>0.29896907216494845</v>
      </c>
      <c r="N192" s="8">
        <f>IF($H192=0,"",(G192-$H192)/$H192)</f>
        <v>0.0</v>
      </c>
      <c r="O192" s="9">
        <f>IF(ABS(C192-$H192)&lt;=1E-9,1,0)</f>
        <v>0</v>
      </c>
      <c r="P192" s="9">
        <f>IF(ABS(D192-$H192)&lt;=1E-9,1,0)</f>
        <v>0</v>
      </c>
      <c r="Q192" s="9">
        <f>IF(ABS(E192-$H192)&lt;=1E-9,1,0)</f>
        <v>0</v>
      </c>
      <c r="R192" s="9">
        <f>IF(ABS(F192-$H192)&lt;=1E-9,1,0)</f>
        <v>0</v>
      </c>
      <c r="S192" s="9">
        <f>IF(ABS(G192-$H192)&lt;=1E-9,1,0)</f>
        <v>1</v>
      </c>
      <c r="T192" s="6" t="s">
        <v>26</v>
      </c>
    </row>
    <row r="193" spans="1:20">
      <c r="A193" s="6" t="s">
        <v>248</v>
      </c>
      <c r="B193" s="3">
        <v>100</v>
      </c>
      <c r="C193" s="7">
        <v>323</v>
      </c>
      <c r="D193" s="7">
        <v>317</v>
      </c>
      <c r="E193" s="7">
        <v>333</v>
      </c>
      <c r="F193" s="7">
        <v>326</v>
      </c>
      <c r="G193" s="7">
        <v>249</v>
      </c>
      <c r="H193" s="7">
        <f>MIN(C193:G193)</f>
        <v>249.0</v>
      </c>
      <c r="I193" s="6" t="s">
        <v>26</v>
      </c>
      <c r="J193" s="8">
        <f>IF($H193=0,"",(C193-$H193)/$H193)</f>
        <v>0.2971887550200803</v>
      </c>
      <c r="K193" s="8">
        <f>IF($H193=0,"",(D193-$H193)/$H193)</f>
        <v>0.27309236947791166</v>
      </c>
      <c r="L193" s="8">
        <f>IF($H193=0,"",(E193-$H193)/$H193)</f>
        <v>0.3373493975903614</v>
      </c>
      <c r="M193" s="8">
        <f>IF($H193=0,"",(F193-$H193)/$H193)</f>
        <v>0.3092369477911647</v>
      </c>
      <c r="N193" s="8">
        <f>IF($H193=0,"",(G193-$H193)/$H193)</f>
        <v>0.0</v>
      </c>
      <c r="O193" s="9">
        <f>IF(ABS(C193-$H193)&lt;=1E-9,1,0)</f>
        <v>0</v>
      </c>
      <c r="P193" s="9">
        <f>IF(ABS(D193-$H193)&lt;=1E-9,1,0)</f>
        <v>0</v>
      </c>
      <c r="Q193" s="9">
        <f>IF(ABS(E193-$H193)&lt;=1E-9,1,0)</f>
        <v>0</v>
      </c>
      <c r="R193" s="9">
        <f>IF(ABS(F193-$H193)&lt;=1E-9,1,0)</f>
        <v>0</v>
      </c>
      <c r="S193" s="9">
        <f>IF(ABS(G193-$H193)&lt;=1E-9,1,0)</f>
        <v>1</v>
      </c>
      <c r="T193" s="6" t="s">
        <v>26</v>
      </c>
    </row>
    <row r="194" spans="1:20">
      <c r="A194" s="6" t="s">
        <v>249</v>
      </c>
      <c r="B194" s="3">
        <v>200</v>
      </c>
      <c r="C194" s="7">
        <v>69</v>
      </c>
      <c r="D194" s="7">
        <v>70</v>
      </c>
      <c r="E194" s="7">
        <v>72</v>
      </c>
      <c r="F194" s="7">
        <v>65</v>
      </c>
      <c r="G194" s="7">
        <v>63</v>
      </c>
      <c r="H194" s="7">
        <f>MIN(C194:G194)</f>
        <v>63.0</v>
      </c>
      <c r="I194" s="6" t="s">
        <v>26</v>
      </c>
      <c r="J194" s="8">
        <f>IF($H194=0,"",(C194-$H194)/$H194)</f>
        <v>0.09523809523809523</v>
      </c>
      <c r="K194" s="8">
        <f>IF($H194=0,"",(D194-$H194)/$H194)</f>
        <v>0.1111111111111111</v>
      </c>
      <c r="L194" s="8">
        <f>IF($H194=0,"",(E194-$H194)/$H194)</f>
        <v>0.14285714285714285</v>
      </c>
      <c r="M194" s="8">
        <f>IF($H194=0,"",(F194-$H194)/$H194)</f>
        <v>0.031746031746031744</v>
      </c>
      <c r="N194" s="8">
        <f>IF($H194=0,"",(G194-$H194)/$H194)</f>
        <v>0.0</v>
      </c>
      <c r="O194" s="9">
        <f>IF(ABS(C194-$H194)&lt;=1E-9,1,0)</f>
        <v>0</v>
      </c>
      <c r="P194" s="9">
        <f>IF(ABS(D194-$H194)&lt;=1E-9,1,0)</f>
        <v>0</v>
      </c>
      <c r="Q194" s="9">
        <f>IF(ABS(E194-$H194)&lt;=1E-9,1,0)</f>
        <v>0</v>
      </c>
      <c r="R194" s="9">
        <f>IF(ABS(F194-$H194)&lt;=1E-9,1,0)</f>
        <v>0</v>
      </c>
      <c r="S194" s="9">
        <f>IF(ABS(G194-$H194)&lt;=1E-9,1,0)</f>
        <v>1</v>
      </c>
      <c r="T194" s="6" t="s">
        <v>26</v>
      </c>
    </row>
    <row r="195" spans="1:20">
      <c r="A195" s="6" t="s">
        <v>250</v>
      </c>
      <c r="B195" s="3">
        <v>200</v>
      </c>
      <c r="C195" s="7">
        <v>72</v>
      </c>
      <c r="D195" s="7">
        <v>72</v>
      </c>
      <c r="E195" s="7">
        <v>71</v>
      </c>
      <c r="F195" s="7">
        <v>69</v>
      </c>
      <c r="G195" s="7">
        <v>63</v>
      </c>
      <c r="H195" s="7">
        <f>MIN(C195:G195)</f>
        <v>63.0</v>
      </c>
      <c r="I195" s="6" t="s">
        <v>26</v>
      </c>
      <c r="J195" s="8">
        <f>IF($H195=0,"",(C195-$H195)/$H195)</f>
        <v>0.14285714285714285</v>
      </c>
      <c r="K195" s="8">
        <f>IF($H195=0,"",(D195-$H195)/$H195)</f>
        <v>0.14285714285714285</v>
      </c>
      <c r="L195" s="8">
        <f>IF($H195=0,"",(E195-$H195)/$H195)</f>
        <v>0.12698412698412698</v>
      </c>
      <c r="M195" s="8">
        <f>IF($H195=0,"",(F195-$H195)/$H195)</f>
        <v>0.09523809523809523</v>
      </c>
      <c r="N195" s="8">
        <f>IF($H195=0,"",(G195-$H195)/$H195)</f>
        <v>0.0</v>
      </c>
      <c r="O195" s="9">
        <f>IF(ABS(C195-$H195)&lt;=1E-9,1,0)</f>
        <v>0</v>
      </c>
      <c r="P195" s="9">
        <f>IF(ABS(D195-$H195)&lt;=1E-9,1,0)</f>
        <v>0</v>
      </c>
      <c r="Q195" s="9">
        <f>IF(ABS(E195-$H195)&lt;=1E-9,1,0)</f>
        <v>0</v>
      </c>
      <c r="R195" s="9">
        <f>IF(ABS(F195-$H195)&lt;=1E-9,1,0)</f>
        <v>0</v>
      </c>
      <c r="S195" s="9">
        <f>IF(ABS(G195-$H195)&lt;=1E-9,1,0)</f>
        <v>1</v>
      </c>
      <c r="T195" s="6" t="s">
        <v>26</v>
      </c>
    </row>
    <row r="196" spans="1:20">
      <c r="A196" s="6" t="s">
        <v>251</v>
      </c>
      <c r="B196" s="3">
        <v>200</v>
      </c>
      <c r="C196" s="7">
        <v>1296</v>
      </c>
      <c r="D196" s="7">
        <v>1319</v>
      </c>
      <c r="E196" s="7">
        <v>1312</v>
      </c>
      <c r="F196" s="7">
        <v>963</v>
      </c>
      <c r="G196" s="7">
        <v>863</v>
      </c>
      <c r="H196" s="7">
        <f>MIN(C196:G196)</f>
        <v>863.0</v>
      </c>
      <c r="I196" s="6" t="s">
        <v>26</v>
      </c>
      <c r="J196" s="8">
        <f>IF($H196=0,"",(C196-$H196)/$H196)</f>
        <v>0.5017381228273464</v>
      </c>
      <c r="K196" s="8">
        <f>IF($H196=0,"",(D196-$H196)/$H196)</f>
        <v>0.5283893395133256</v>
      </c>
      <c r="L196" s="8">
        <f>IF($H196=0,"",(E196-$H196)/$H196)</f>
        <v>0.5202780996523755</v>
      </c>
      <c r="M196" s="8">
        <f>IF($H196=0,"",(F196-$H196)/$H196)</f>
        <v>0.11587485515643106</v>
      </c>
      <c r="N196" s="8">
        <f>IF($H196=0,"",(G196-$H196)/$H196)</f>
        <v>0.0</v>
      </c>
      <c r="O196" s="9">
        <f>IF(ABS(C196-$H196)&lt;=1E-9,1,0)</f>
        <v>0</v>
      </c>
      <c r="P196" s="9">
        <f>IF(ABS(D196-$H196)&lt;=1E-9,1,0)</f>
        <v>0</v>
      </c>
      <c r="Q196" s="9">
        <f>IF(ABS(E196-$H196)&lt;=1E-9,1,0)</f>
        <v>0</v>
      </c>
      <c r="R196" s="9">
        <f>IF(ABS(F196-$H196)&lt;=1E-9,1,0)</f>
        <v>0</v>
      </c>
      <c r="S196" s="9">
        <f>IF(ABS(G196-$H196)&lt;=1E-9,1,0)</f>
        <v>1</v>
      </c>
      <c r="T196" s="6" t="s">
        <v>26</v>
      </c>
    </row>
    <row r="197" spans="1:20">
      <c r="A197" s="6" t="s">
        <v>252</v>
      </c>
      <c r="B197" s="3">
        <v>200</v>
      </c>
      <c r="C197" s="7">
        <v>1157</v>
      </c>
      <c r="D197" s="7">
        <v>1118</v>
      </c>
      <c r="E197" s="7">
        <v>1173</v>
      </c>
      <c r="F197" s="7">
        <v>873</v>
      </c>
      <c r="G197" s="7">
        <v>796</v>
      </c>
      <c r="H197" s="7">
        <f>MIN(C197:G197)</f>
        <v>796.0</v>
      </c>
      <c r="I197" s="6" t="s">
        <v>26</v>
      </c>
      <c r="J197" s="8">
        <f>IF($H197=0,"",(C197-$H197)/$H197)</f>
        <v>0.4535175879396985</v>
      </c>
      <c r="K197" s="8">
        <f>IF($H197=0,"",(D197-$H197)/$H197)</f>
        <v>0.4045226130653266</v>
      </c>
      <c r="L197" s="8">
        <f>IF($H197=0,"",(E197-$H197)/$H197)</f>
        <v>0.47361809045226133</v>
      </c>
      <c r="M197" s="8">
        <f>IF($H197=0,"",(F197-$H197)/$H197)</f>
        <v>0.09673366834170855</v>
      </c>
      <c r="N197" s="8">
        <f>IF($H197=0,"",(G197-$H197)/$H197)</f>
        <v>0.0</v>
      </c>
      <c r="O197" s="9">
        <f>IF(ABS(C197-$H197)&lt;=1E-9,1,0)</f>
        <v>0</v>
      </c>
      <c r="P197" s="9">
        <f>IF(ABS(D197-$H197)&lt;=1E-9,1,0)</f>
        <v>0</v>
      </c>
      <c r="Q197" s="9">
        <f>IF(ABS(E197-$H197)&lt;=1E-9,1,0)</f>
        <v>0</v>
      </c>
      <c r="R197" s="9">
        <f>IF(ABS(F197-$H197)&lt;=1E-9,1,0)</f>
        <v>0</v>
      </c>
      <c r="S197" s="9">
        <f>IF(ABS(G197-$H197)&lt;=1E-9,1,0)</f>
        <v>1</v>
      </c>
      <c r="T197" s="6" t="s">
        <v>26</v>
      </c>
    </row>
    <row r="198" spans="1:20">
      <c r="A198" s="6" t="s">
        <v>253</v>
      </c>
      <c r="B198" s="3">
        <v>200</v>
      </c>
      <c r="C198" s="7">
        <v>58</v>
      </c>
      <c r="D198" s="7">
        <v>57</v>
      </c>
      <c r="E198" s="7">
        <v>57</v>
      </c>
      <c r="F198" s="7">
        <v>57</v>
      </c>
      <c r="G198" s="7">
        <v>54</v>
      </c>
      <c r="H198" s="7">
        <f>MIN(C198:G198)</f>
        <v>54.0</v>
      </c>
      <c r="I198" s="6" t="s">
        <v>26</v>
      </c>
      <c r="J198" s="8">
        <f>IF($H198=0,"",(C198-$H198)/$H198)</f>
        <v>0.07407407407407407</v>
      </c>
      <c r="K198" s="8">
        <f>IF($H198=0,"",(D198-$H198)/$H198)</f>
        <v>0.05555555555555555</v>
      </c>
      <c r="L198" s="8">
        <f>IF($H198=0,"",(E198-$H198)/$H198)</f>
        <v>0.05555555555555555</v>
      </c>
      <c r="M198" s="8">
        <f>IF($H198=0,"",(F198-$H198)/$H198)</f>
        <v>0.05555555555555555</v>
      </c>
      <c r="N198" s="8">
        <f>IF($H198=0,"",(G198-$H198)/$H198)</f>
        <v>0.0</v>
      </c>
      <c r="O198" s="9">
        <f>IF(ABS(C198-$H198)&lt;=1E-9,1,0)</f>
        <v>0</v>
      </c>
      <c r="P198" s="9">
        <f>IF(ABS(D198-$H198)&lt;=1E-9,1,0)</f>
        <v>0</v>
      </c>
      <c r="Q198" s="9">
        <f>IF(ABS(E198-$H198)&lt;=1E-9,1,0)</f>
        <v>0</v>
      </c>
      <c r="R198" s="9">
        <f>IF(ABS(F198-$H198)&lt;=1E-9,1,0)</f>
        <v>0</v>
      </c>
      <c r="S198" s="9">
        <f>IF(ABS(G198-$H198)&lt;=1E-9,1,0)</f>
        <v>1</v>
      </c>
      <c r="T198" s="6" t="s">
        <v>26</v>
      </c>
    </row>
    <row r="199" spans="1:20">
      <c r="A199" s="6" t="s">
        <v>254</v>
      </c>
      <c r="B199" s="3">
        <v>200</v>
      </c>
      <c r="C199" s="7">
        <v>58</v>
      </c>
      <c r="D199" s="7">
        <v>58</v>
      </c>
      <c r="E199" s="7">
        <v>59</v>
      </c>
      <c r="F199" s="7">
        <v>61</v>
      </c>
      <c r="G199" s="7">
        <v>55</v>
      </c>
      <c r="H199" s="7">
        <f>MIN(C199:G199)</f>
        <v>55.0</v>
      </c>
      <c r="I199" s="6" t="s">
        <v>26</v>
      </c>
      <c r="J199" s="8">
        <f>IF($H199=0,"",(C199-$H199)/$H199)</f>
        <v>0.05454545454545454</v>
      </c>
      <c r="K199" s="8">
        <f>IF($H199=0,"",(D199-$H199)/$H199)</f>
        <v>0.05454545454545454</v>
      </c>
      <c r="L199" s="8">
        <f>IF($H199=0,"",(E199-$H199)/$H199)</f>
        <v>0.07272727272727272</v>
      </c>
      <c r="M199" s="8">
        <f>IF($H199=0,"",(F199-$H199)/$H199)</f>
        <v>0.10909090909090909</v>
      </c>
      <c r="N199" s="8">
        <f>IF($H199=0,"",(G199-$H199)/$H199)</f>
        <v>0.0</v>
      </c>
      <c r="O199" s="9">
        <f>IF(ABS(C199-$H199)&lt;=1E-9,1,0)</f>
        <v>0</v>
      </c>
      <c r="P199" s="9">
        <f>IF(ABS(D199-$H199)&lt;=1E-9,1,0)</f>
        <v>0</v>
      </c>
      <c r="Q199" s="9">
        <f>IF(ABS(E199-$H199)&lt;=1E-9,1,0)</f>
        <v>0</v>
      </c>
      <c r="R199" s="9">
        <f>IF(ABS(F199-$H199)&lt;=1E-9,1,0)</f>
        <v>0</v>
      </c>
      <c r="S199" s="9">
        <f>IF(ABS(G199-$H199)&lt;=1E-9,1,0)</f>
        <v>1</v>
      </c>
      <c r="T199" s="6" t="s">
        <v>26</v>
      </c>
    </row>
    <row r="200" spans="1:20">
      <c r="A200" s="6" t="s">
        <v>255</v>
      </c>
      <c r="B200" s="3">
        <v>200</v>
      </c>
      <c r="C200" s="7">
        <v>1244</v>
      </c>
      <c r="D200" s="7">
        <v>1244</v>
      </c>
      <c r="E200" s="7">
        <v>1248</v>
      </c>
      <c r="F200" s="7">
        <v>885</v>
      </c>
      <c r="G200" s="7">
        <v>804</v>
      </c>
      <c r="H200" s="7">
        <f>MIN(C200:G200)</f>
        <v>804.0</v>
      </c>
      <c r="I200" s="6" t="s">
        <v>26</v>
      </c>
      <c r="J200" s="8">
        <f>IF($H200=0,"",(C200-$H200)/$H200)</f>
        <v>0.5472636815920398</v>
      </c>
      <c r="K200" s="8">
        <f>IF($H200=0,"",(D200-$H200)/$H200)</f>
        <v>0.5472636815920398</v>
      </c>
      <c r="L200" s="8">
        <f>IF($H200=0,"",(E200-$H200)/$H200)</f>
        <v>0.5522388059701493</v>
      </c>
      <c r="M200" s="8">
        <f>IF($H200=0,"",(F200-$H200)/$H200)</f>
        <v>0.10074626865671642</v>
      </c>
      <c r="N200" s="8">
        <f>IF($H200=0,"",(G200-$H200)/$H200)</f>
        <v>0.0</v>
      </c>
      <c r="O200" s="9">
        <f>IF(ABS(C200-$H200)&lt;=1E-9,1,0)</f>
        <v>0</v>
      </c>
      <c r="P200" s="9">
        <f>IF(ABS(D200-$H200)&lt;=1E-9,1,0)</f>
        <v>0</v>
      </c>
      <c r="Q200" s="9">
        <f>IF(ABS(E200-$H200)&lt;=1E-9,1,0)</f>
        <v>0</v>
      </c>
      <c r="R200" s="9">
        <f>IF(ABS(F200-$H200)&lt;=1E-9,1,0)</f>
        <v>0</v>
      </c>
      <c r="S200" s="9">
        <f>IF(ABS(G200-$H200)&lt;=1E-9,1,0)</f>
        <v>1</v>
      </c>
      <c r="T200" s="6" t="s">
        <v>26</v>
      </c>
    </row>
    <row r="201" spans="1:20">
      <c r="A201" s="6" t="s">
        <v>256</v>
      </c>
      <c r="B201" s="3">
        <v>200</v>
      </c>
      <c r="C201" s="7">
        <v>985</v>
      </c>
      <c r="D201" s="7">
        <v>973</v>
      </c>
      <c r="E201" s="7">
        <v>981</v>
      </c>
      <c r="F201" s="7">
        <v>779</v>
      </c>
      <c r="G201" s="7">
        <v>701</v>
      </c>
      <c r="H201" s="7">
        <f>MIN(C201:G201)</f>
        <v>701.0</v>
      </c>
      <c r="I201" s="6" t="s">
        <v>26</v>
      </c>
      <c r="J201" s="8">
        <f>IF($H201=0,"",(C201-$H201)/$H201)</f>
        <v>0.4051355206847361</v>
      </c>
      <c r="K201" s="8">
        <f>IF($H201=0,"",(D201-$H201)/$H201)</f>
        <v>0.3880171184022825</v>
      </c>
      <c r="L201" s="8">
        <f>IF($H201=0,"",(E201-$H201)/$H201)</f>
        <v>0.39942938659058486</v>
      </c>
      <c r="M201" s="8">
        <f>IF($H201=0,"",(F201-$H201)/$H201)</f>
        <v>0.11126961483594865</v>
      </c>
      <c r="N201" s="8">
        <f>IF($H201=0,"",(G201-$H201)/$H201)</f>
        <v>0.0</v>
      </c>
      <c r="O201" s="9">
        <f>IF(ABS(C201-$H201)&lt;=1E-9,1,0)</f>
        <v>0</v>
      </c>
      <c r="P201" s="9">
        <f>IF(ABS(D201-$H201)&lt;=1E-9,1,0)</f>
        <v>0</v>
      </c>
      <c r="Q201" s="9">
        <f>IF(ABS(E201-$H201)&lt;=1E-9,1,0)</f>
        <v>0</v>
      </c>
      <c r="R201" s="9">
        <f>IF(ABS(F201-$H201)&lt;=1E-9,1,0)</f>
        <v>0</v>
      </c>
      <c r="S201" s="9">
        <f>IF(ABS(G201-$H201)&lt;=1E-9,1,0)</f>
        <v>1</v>
      </c>
      <c r="T201" s="6" t="s">
        <v>26</v>
      </c>
    </row>
    <row r="202" spans="1:20">
      <c r="A202" s="6" t="s">
        <v>257</v>
      </c>
      <c r="B202" s="3">
        <v>200</v>
      </c>
      <c r="C202" s="7">
        <v>45</v>
      </c>
      <c r="D202" s="7">
        <v>46</v>
      </c>
      <c r="E202" s="7">
        <v>48</v>
      </c>
      <c r="F202" s="7">
        <v>51</v>
      </c>
      <c r="G202" s="7">
        <v>39</v>
      </c>
      <c r="H202" s="7">
        <f>MIN(C202:G202)</f>
        <v>39.0</v>
      </c>
      <c r="I202" s="6" t="s">
        <v>26</v>
      </c>
      <c r="J202" s="8">
        <f>IF($H202=0,"",(C202-$H202)/$H202)</f>
        <v>0.15384615384615385</v>
      </c>
      <c r="K202" s="8">
        <f>IF($H202=0,"",(D202-$H202)/$H202)</f>
        <v>0.1794871794871795</v>
      </c>
      <c r="L202" s="8">
        <f>IF($H202=0,"",(E202-$H202)/$H202)</f>
        <v>0.23076923076923075</v>
      </c>
      <c r="M202" s="8">
        <f>IF($H202=0,"",(F202-$H202)/$H202)</f>
        <v>0.3076923076923077</v>
      </c>
      <c r="N202" s="8">
        <f>IF($H202=0,"",(G202-$H202)/$H202)</f>
        <v>0.0</v>
      </c>
      <c r="O202" s="9">
        <f>IF(ABS(C202-$H202)&lt;=1E-9,1,0)</f>
        <v>0</v>
      </c>
      <c r="P202" s="9">
        <f>IF(ABS(D202-$H202)&lt;=1E-9,1,0)</f>
        <v>0</v>
      </c>
      <c r="Q202" s="9">
        <f>IF(ABS(E202-$H202)&lt;=1E-9,1,0)</f>
        <v>0</v>
      </c>
      <c r="R202" s="9">
        <f>IF(ABS(F202-$H202)&lt;=1E-9,1,0)</f>
        <v>0</v>
      </c>
      <c r="S202" s="9">
        <f>IF(ABS(G202-$H202)&lt;=1E-9,1,0)</f>
        <v>1</v>
      </c>
      <c r="T202" s="6" t="s">
        <v>26</v>
      </c>
    </row>
    <row r="203" spans="1:20">
      <c r="A203" s="6" t="s">
        <v>258</v>
      </c>
      <c r="B203" s="3">
        <v>200</v>
      </c>
      <c r="C203" s="7">
        <v>47</v>
      </c>
      <c r="D203" s="7">
        <v>47</v>
      </c>
      <c r="E203" s="7">
        <v>48</v>
      </c>
      <c r="F203" s="7">
        <v>50</v>
      </c>
      <c r="G203" s="7">
        <v>41</v>
      </c>
      <c r="H203" s="7">
        <f>MIN(C203:G203)</f>
        <v>41.0</v>
      </c>
      <c r="I203" s="6" t="s">
        <v>26</v>
      </c>
      <c r="J203" s="8">
        <f>IF($H203=0,"",(C203-$H203)/$H203)</f>
        <v>0.14634146341463414</v>
      </c>
      <c r="K203" s="8">
        <f>IF($H203=0,"",(D203-$H203)/$H203)</f>
        <v>0.14634146341463414</v>
      </c>
      <c r="L203" s="8">
        <f>IF($H203=0,"",(E203-$H203)/$H203)</f>
        <v>0.17073170731707318</v>
      </c>
      <c r="M203" s="8">
        <f>IF($H203=0,"",(F203-$H203)/$H203)</f>
        <v>0.21951219512195125</v>
      </c>
      <c r="N203" s="8">
        <f>IF($H203=0,"",(G203-$H203)/$H203)</f>
        <v>0.0</v>
      </c>
      <c r="O203" s="9">
        <f>IF(ABS(C203-$H203)&lt;=1E-9,1,0)</f>
        <v>0</v>
      </c>
      <c r="P203" s="9">
        <f>IF(ABS(D203-$H203)&lt;=1E-9,1,0)</f>
        <v>0</v>
      </c>
      <c r="Q203" s="9">
        <f>IF(ABS(E203-$H203)&lt;=1E-9,1,0)</f>
        <v>0</v>
      </c>
      <c r="R203" s="9">
        <f>IF(ABS(F203-$H203)&lt;=1E-9,1,0)</f>
        <v>0</v>
      </c>
      <c r="S203" s="9">
        <f>IF(ABS(G203-$H203)&lt;=1E-9,1,0)</f>
        <v>1</v>
      </c>
      <c r="T203" s="6" t="s">
        <v>26</v>
      </c>
    </row>
    <row r="204" spans="1:20">
      <c r="A204" s="6" t="s">
        <v>259</v>
      </c>
      <c r="B204" s="3">
        <v>200</v>
      </c>
      <c r="C204" s="7">
        <v>778</v>
      </c>
      <c r="D204" s="7">
        <v>798</v>
      </c>
      <c r="E204" s="7">
        <v>789</v>
      </c>
      <c r="F204" s="7">
        <v>680</v>
      </c>
      <c r="G204" s="7">
        <v>521</v>
      </c>
      <c r="H204" s="7">
        <f>MIN(C204:G204)</f>
        <v>521.0</v>
      </c>
      <c r="I204" s="6" t="s">
        <v>26</v>
      </c>
      <c r="J204" s="8">
        <f>IF($H204=0,"",(C204-$H204)/$H204)</f>
        <v>0.4932821497120921</v>
      </c>
      <c r="K204" s="8">
        <f>IF($H204=0,"",(D204-$H204)/$H204)</f>
        <v>0.5316698656429942</v>
      </c>
      <c r="L204" s="8">
        <f>IF($H204=0,"",(E204-$H204)/$H204)</f>
        <v>0.5143953934740882</v>
      </c>
      <c r="M204" s="8">
        <f>IF($H204=0,"",(F204-$H204)/$H204)</f>
        <v>0.30518234165067176</v>
      </c>
      <c r="N204" s="8">
        <f>IF($H204=0,"",(G204-$H204)/$H204)</f>
        <v>0.0</v>
      </c>
      <c r="O204" s="9">
        <f>IF(ABS(C204-$H204)&lt;=1E-9,1,0)</f>
        <v>0</v>
      </c>
      <c r="P204" s="9">
        <f>IF(ABS(D204-$H204)&lt;=1E-9,1,0)</f>
        <v>0</v>
      </c>
      <c r="Q204" s="9">
        <f>IF(ABS(E204-$H204)&lt;=1E-9,1,0)</f>
        <v>0</v>
      </c>
      <c r="R204" s="9">
        <f>IF(ABS(F204-$H204)&lt;=1E-9,1,0)</f>
        <v>0</v>
      </c>
      <c r="S204" s="9">
        <f>IF(ABS(G204-$H204)&lt;=1E-9,1,0)</f>
        <v>1</v>
      </c>
      <c r="T204" s="6" t="s">
        <v>26</v>
      </c>
    </row>
    <row r="205" spans="1:20">
      <c r="A205" s="6" t="s">
        <v>260</v>
      </c>
      <c r="B205" s="3">
        <v>200</v>
      </c>
      <c r="C205" s="7">
        <v>839</v>
      </c>
      <c r="D205" s="7">
        <v>836</v>
      </c>
      <c r="E205" s="7">
        <v>873</v>
      </c>
      <c r="F205" s="7">
        <v>653</v>
      </c>
      <c r="G205" s="7">
        <v>530</v>
      </c>
      <c r="H205" s="7">
        <f>MIN(C205:G205)</f>
        <v>530.0</v>
      </c>
      <c r="I205" s="6" t="s">
        <v>26</v>
      </c>
      <c r="J205" s="8">
        <f>IF($H205=0,"",(C205-$H205)/$H205)</f>
        <v>0.5830188679245283</v>
      </c>
      <c r="K205" s="8">
        <f>IF($H205=0,"",(D205-$H205)/$H205)</f>
        <v>0.5773584905660377</v>
      </c>
      <c r="L205" s="8">
        <f>IF($H205=0,"",(E205-$H205)/$H205)</f>
        <v>0.6471698113207548</v>
      </c>
      <c r="M205" s="8">
        <f>IF($H205=0,"",(F205-$H205)/$H205)</f>
        <v>0.2320754716981132</v>
      </c>
      <c r="N205" s="8">
        <f>IF($H205=0,"",(G205-$H205)/$H205)</f>
        <v>0.0</v>
      </c>
      <c r="O205" s="9">
        <f>IF(ABS(C205-$H205)&lt;=1E-9,1,0)</f>
        <v>0</v>
      </c>
      <c r="P205" s="9">
        <f>IF(ABS(D205-$H205)&lt;=1E-9,1,0)</f>
        <v>0</v>
      </c>
      <c r="Q205" s="9">
        <f>IF(ABS(E205-$H205)&lt;=1E-9,1,0)</f>
        <v>0</v>
      </c>
      <c r="R205" s="9">
        <f>IF(ABS(F205-$H205)&lt;=1E-9,1,0)</f>
        <v>0</v>
      </c>
      <c r="S205" s="9">
        <f>IF(ABS(G205-$H205)&lt;=1E-9,1,0)</f>
        <v>1</v>
      </c>
      <c r="T205" s="6" t="s">
        <v>26</v>
      </c>
    </row>
    <row r="206" spans="1:20">
      <c r="A206" s="6" t="s">
        <v>261</v>
      </c>
      <c r="B206" s="3">
        <v>200</v>
      </c>
      <c r="C206" s="7">
        <v>35</v>
      </c>
      <c r="D206" s="7">
        <v>34</v>
      </c>
      <c r="E206" s="7">
        <v>36</v>
      </c>
      <c r="F206" s="7">
        <v>50</v>
      </c>
      <c r="G206" s="7">
        <v>34</v>
      </c>
      <c r="H206" s="7">
        <f>MIN(C206:G206)</f>
        <v>34.0</v>
      </c>
      <c r="I206" s="6" t="s">
        <v>97</v>
      </c>
      <c r="J206" s="8">
        <f>IF($H206=0,"",(C206-$H206)/$H206)</f>
        <v>0.02941176470588235</v>
      </c>
      <c r="K206" s="8">
        <f>IF($H206=0,"",(D206-$H206)/$H206)</f>
        <v>0.0</v>
      </c>
      <c r="L206" s="8">
        <f>IF($H206=0,"",(E206-$H206)/$H206)</f>
        <v>0.0588235294117647</v>
      </c>
      <c r="M206" s="8">
        <f>IF($H206=0,"",(F206-$H206)/$H206)</f>
        <v>0.4705882352941176</v>
      </c>
      <c r="N206" s="8">
        <f>IF($H206=0,"",(G206-$H206)/$H206)</f>
        <v>0.0</v>
      </c>
      <c r="O206" s="9">
        <f>IF(ABS(C206-$H206)&lt;=1E-9,1,0)</f>
        <v>0</v>
      </c>
      <c r="P206" s="9">
        <f>IF(ABS(D206-$H206)&lt;=1E-9,1,0)</f>
        <v>1</v>
      </c>
      <c r="Q206" s="9">
        <f>IF(ABS(E206-$H206)&lt;=1E-9,1,0)</f>
        <v>0</v>
      </c>
      <c r="R206" s="9">
        <f>IF(ABS(F206-$H206)&lt;=1E-9,1,0)</f>
        <v>0</v>
      </c>
      <c r="S206" s="9">
        <f>IF(ABS(G206-$H206)&lt;=1E-9,1,0)</f>
        <v>1</v>
      </c>
      <c r="T206" s="6" t="s">
        <v>51</v>
      </c>
    </row>
    <row r="207" spans="1:20">
      <c r="A207" s="6" t="s">
        <v>262</v>
      </c>
      <c r="B207" s="3">
        <v>200</v>
      </c>
      <c r="C207" s="7">
        <v>34</v>
      </c>
      <c r="D207" s="7">
        <v>35</v>
      </c>
      <c r="E207" s="7">
        <v>38</v>
      </c>
      <c r="F207" s="7">
        <v>52</v>
      </c>
      <c r="G207" s="7">
        <v>34</v>
      </c>
      <c r="H207" s="7">
        <f>MIN(C207:G207)</f>
        <v>34.0</v>
      </c>
      <c r="I207" s="6" t="s">
        <v>119</v>
      </c>
      <c r="J207" s="8">
        <f>IF($H207=0,"",(C207-$H207)/$H207)</f>
        <v>0.0</v>
      </c>
      <c r="K207" s="8">
        <f>IF($H207=0,"",(D207-$H207)/$H207)</f>
        <v>0.02941176470588235</v>
      </c>
      <c r="L207" s="8">
        <f>IF($H207=0,"",(E207-$H207)/$H207)</f>
        <v>0.1176470588235294</v>
      </c>
      <c r="M207" s="8">
        <f>IF($H207=0,"",(F207-$H207)/$H207)</f>
        <v>0.5294117647058824</v>
      </c>
      <c r="N207" s="8">
        <f>IF($H207=0,"",(G207-$H207)/$H207)</f>
        <v>0.0</v>
      </c>
      <c r="O207" s="9">
        <f>IF(ABS(C207-$H207)&lt;=1E-9,1,0)</f>
        <v>1</v>
      </c>
      <c r="P207" s="9">
        <f>IF(ABS(D207-$H207)&lt;=1E-9,1,0)</f>
        <v>0</v>
      </c>
      <c r="Q207" s="9">
        <f>IF(ABS(E207-$H207)&lt;=1E-9,1,0)</f>
        <v>0</v>
      </c>
      <c r="R207" s="9">
        <f>IF(ABS(F207-$H207)&lt;=1E-9,1,0)</f>
        <v>0</v>
      </c>
      <c r="S207" s="9">
        <f>IF(ABS(G207-$H207)&lt;=1E-9,1,0)</f>
        <v>1</v>
      </c>
      <c r="T207" s="6" t="s">
        <v>51</v>
      </c>
    </row>
    <row r="208" spans="1:20">
      <c r="A208" s="6" t="s">
        <v>263</v>
      </c>
      <c r="B208" s="3">
        <v>200</v>
      </c>
      <c r="C208" s="7">
        <v>704</v>
      </c>
      <c r="D208" s="7">
        <v>680</v>
      </c>
      <c r="E208" s="7">
        <v>720</v>
      </c>
      <c r="F208" s="7">
        <v>624</v>
      </c>
      <c r="G208" s="7">
        <v>485</v>
      </c>
      <c r="H208" s="7">
        <f>MIN(C208:G208)</f>
        <v>485.0</v>
      </c>
      <c r="I208" s="6" t="s">
        <v>26</v>
      </c>
      <c r="J208" s="8">
        <f>IF($H208=0,"",(C208-$H208)/$H208)</f>
        <v>0.4515463917525773</v>
      </c>
      <c r="K208" s="8">
        <f>IF($H208=0,"",(D208-$H208)/$H208)</f>
        <v>0.4020618556701031</v>
      </c>
      <c r="L208" s="8">
        <f>IF($H208=0,"",(E208-$H208)/$H208)</f>
        <v>0.4845360824742268</v>
      </c>
      <c r="M208" s="8">
        <f>IF($H208=0,"",(F208-$H208)/$H208)</f>
        <v>0.2865979381443299</v>
      </c>
      <c r="N208" s="8">
        <f>IF($H208=0,"",(G208-$H208)/$H208)</f>
        <v>0.0</v>
      </c>
      <c r="O208" s="9">
        <f>IF(ABS(C208-$H208)&lt;=1E-9,1,0)</f>
        <v>0</v>
      </c>
      <c r="P208" s="9">
        <f>IF(ABS(D208-$H208)&lt;=1E-9,1,0)</f>
        <v>0</v>
      </c>
      <c r="Q208" s="9">
        <f>IF(ABS(E208-$H208)&lt;=1E-9,1,0)</f>
        <v>0</v>
      </c>
      <c r="R208" s="9">
        <f>IF(ABS(F208-$H208)&lt;=1E-9,1,0)</f>
        <v>0</v>
      </c>
      <c r="S208" s="9">
        <f>IF(ABS(G208-$H208)&lt;=1E-9,1,0)</f>
        <v>1</v>
      </c>
      <c r="T208" s="6" t="s">
        <v>26</v>
      </c>
    </row>
    <row r="209" spans="1:20">
      <c r="A209" s="6" t="s">
        <v>264</v>
      </c>
      <c r="B209" s="3">
        <v>200</v>
      </c>
      <c r="C209" s="7">
        <v>687</v>
      </c>
      <c r="D209" s="7">
        <v>699</v>
      </c>
      <c r="E209" s="7">
        <v>756</v>
      </c>
      <c r="F209" s="7">
        <v>652</v>
      </c>
      <c r="G209" s="7">
        <v>508</v>
      </c>
      <c r="H209" s="7">
        <f>MIN(C209:G209)</f>
        <v>508.0</v>
      </c>
      <c r="I209" s="6" t="s">
        <v>26</v>
      </c>
      <c r="J209" s="8">
        <f>IF($H209=0,"",(C209-$H209)/$H209)</f>
        <v>0.35236220472440943</v>
      </c>
      <c r="K209" s="8">
        <f>IF($H209=0,"",(D209-$H209)/$H209)</f>
        <v>0.37598425196850394</v>
      </c>
      <c r="L209" s="8">
        <f>IF($H209=0,"",(E209-$H209)/$H209)</f>
        <v>0.4881889763779527</v>
      </c>
      <c r="M209" s="8">
        <f>IF($H209=0,"",(F209-$H209)/$H209)</f>
        <v>0.28346456692913385</v>
      </c>
      <c r="N209" s="8">
        <f>IF($H209=0,"",(G209-$H209)/$H209)</f>
        <v>0.0</v>
      </c>
      <c r="O209" s="9">
        <f>IF(ABS(C209-$H209)&lt;=1E-9,1,0)</f>
        <v>0</v>
      </c>
      <c r="P209" s="9">
        <f>IF(ABS(D209-$H209)&lt;=1E-9,1,0)</f>
        <v>0</v>
      </c>
      <c r="Q209" s="9">
        <f>IF(ABS(E209-$H209)&lt;=1E-9,1,0)</f>
        <v>0</v>
      </c>
      <c r="R209" s="9">
        <f>IF(ABS(F209-$H209)&lt;=1E-9,1,0)</f>
        <v>0</v>
      </c>
      <c r="S209" s="9">
        <f>IF(ABS(G209-$H209)&lt;=1E-9,1,0)</f>
        <v>1</v>
      </c>
      <c r="T209" s="6" t="s">
        <v>26</v>
      </c>
    </row>
    <row r="210" spans="1:20">
      <c r="A210" s="6" t="s">
        <v>265</v>
      </c>
      <c r="B210" s="3">
        <v>200</v>
      </c>
      <c r="C210" s="7">
        <v>67</v>
      </c>
      <c r="D210" s="7">
        <v>68</v>
      </c>
      <c r="E210" s="7">
        <v>68</v>
      </c>
      <c r="F210" s="7">
        <v>63</v>
      </c>
      <c r="G210" s="7">
        <v>60</v>
      </c>
      <c r="H210" s="7">
        <f>MIN(C210:G210)</f>
        <v>60.0</v>
      </c>
      <c r="I210" s="6" t="s">
        <v>26</v>
      </c>
      <c r="J210" s="8">
        <f>IF($H210=0,"",(C210-$H210)/$H210)</f>
        <v>0.11666666666666665</v>
      </c>
      <c r="K210" s="8">
        <f>IF($H210=0,"",(D210-$H210)/$H210)</f>
        <v>0.13333333333333333</v>
      </c>
      <c r="L210" s="8">
        <f>IF($H210=0,"",(E210-$H210)/$H210)</f>
        <v>0.13333333333333333</v>
      </c>
      <c r="M210" s="8">
        <f>IF($H210=0,"",(F210-$H210)/$H210)</f>
        <v>0.05</v>
      </c>
      <c r="N210" s="8">
        <f>IF($H210=0,"",(G210-$H210)/$H210)</f>
        <v>0.0</v>
      </c>
      <c r="O210" s="9">
        <f>IF(ABS(C210-$H210)&lt;=1E-9,1,0)</f>
        <v>0</v>
      </c>
      <c r="P210" s="9">
        <f>IF(ABS(D210-$H210)&lt;=1E-9,1,0)</f>
        <v>0</v>
      </c>
      <c r="Q210" s="9">
        <f>IF(ABS(E210-$H210)&lt;=1E-9,1,0)</f>
        <v>0</v>
      </c>
      <c r="R210" s="9">
        <f>IF(ABS(F210-$H210)&lt;=1E-9,1,0)</f>
        <v>0</v>
      </c>
      <c r="S210" s="9">
        <f>IF(ABS(G210-$H210)&lt;=1E-9,1,0)</f>
        <v>1</v>
      </c>
      <c r="T210" s="6" t="s">
        <v>26</v>
      </c>
    </row>
    <row r="211" spans="1:20">
      <c r="A211" s="6" t="s">
        <v>266</v>
      </c>
      <c r="B211" s="3">
        <v>200</v>
      </c>
      <c r="C211" s="7">
        <v>68</v>
      </c>
      <c r="D211" s="7">
        <v>70</v>
      </c>
      <c r="E211" s="7">
        <v>69</v>
      </c>
      <c r="F211" s="7">
        <v>63</v>
      </c>
      <c r="G211" s="7">
        <v>60</v>
      </c>
      <c r="H211" s="7">
        <f>MIN(C211:G211)</f>
        <v>60.0</v>
      </c>
      <c r="I211" s="6" t="s">
        <v>26</v>
      </c>
      <c r="J211" s="8">
        <f>IF($H211=0,"",(C211-$H211)/$H211)</f>
        <v>0.13333333333333333</v>
      </c>
      <c r="K211" s="8">
        <f>IF($H211=0,"",(D211-$H211)/$H211)</f>
        <v>0.16666666666666663</v>
      </c>
      <c r="L211" s="8">
        <f>IF($H211=0,"",(E211-$H211)/$H211)</f>
        <v>0.15</v>
      </c>
      <c r="M211" s="8">
        <f>IF($H211=0,"",(F211-$H211)/$H211)</f>
        <v>0.05</v>
      </c>
      <c r="N211" s="8">
        <f>IF($H211=0,"",(G211-$H211)/$H211)</f>
        <v>0.0</v>
      </c>
      <c r="O211" s="9">
        <f>IF(ABS(C211-$H211)&lt;=1E-9,1,0)</f>
        <v>0</v>
      </c>
      <c r="P211" s="9">
        <f>IF(ABS(D211-$H211)&lt;=1E-9,1,0)</f>
        <v>0</v>
      </c>
      <c r="Q211" s="9">
        <f>IF(ABS(E211-$H211)&lt;=1E-9,1,0)</f>
        <v>0</v>
      </c>
      <c r="R211" s="9">
        <f>IF(ABS(F211-$H211)&lt;=1E-9,1,0)</f>
        <v>0</v>
      </c>
      <c r="S211" s="9">
        <f>IF(ABS(G211-$H211)&lt;=1E-9,1,0)</f>
        <v>1</v>
      </c>
      <c r="T211" s="6" t="s">
        <v>26</v>
      </c>
    </row>
    <row r="212" spans="1:20">
      <c r="A212" s="6" t="s">
        <v>267</v>
      </c>
      <c r="B212" s="3">
        <v>200</v>
      </c>
      <c r="C212" s="7">
        <v>1083</v>
      </c>
      <c r="D212" s="7">
        <v>1104</v>
      </c>
      <c r="E212" s="7">
        <v>1088</v>
      </c>
      <c r="F212" s="7">
        <v>814</v>
      </c>
      <c r="G212" s="7">
        <v>751</v>
      </c>
      <c r="H212" s="7">
        <f>MIN(C212:G212)</f>
        <v>751.0</v>
      </c>
      <c r="I212" s="6" t="s">
        <v>26</v>
      </c>
      <c r="J212" s="8">
        <f>IF($H212=0,"",(C212-$H212)/$H212)</f>
        <v>0.4420772303595206</v>
      </c>
      <c r="K212" s="8">
        <f>IF($H212=0,"",(D212-$H212)/$H212)</f>
        <v>0.470039946737683</v>
      </c>
      <c r="L212" s="8">
        <f>IF($H212=0,"",(E212-$H212)/$H212)</f>
        <v>0.4487350199733689</v>
      </c>
      <c r="M212" s="8">
        <f>IF($H212=0,"",(F212-$H212)/$H212)</f>
        <v>0.08388814913448735</v>
      </c>
      <c r="N212" s="8">
        <f>IF($H212=0,"",(G212-$H212)/$H212)</f>
        <v>0.0</v>
      </c>
      <c r="O212" s="9">
        <f>IF(ABS(C212-$H212)&lt;=1E-9,1,0)</f>
        <v>0</v>
      </c>
      <c r="P212" s="9">
        <f>IF(ABS(D212-$H212)&lt;=1E-9,1,0)</f>
        <v>0</v>
      </c>
      <c r="Q212" s="9">
        <f>IF(ABS(E212-$H212)&lt;=1E-9,1,0)</f>
        <v>0</v>
      </c>
      <c r="R212" s="9">
        <f>IF(ABS(F212-$H212)&lt;=1E-9,1,0)</f>
        <v>0</v>
      </c>
      <c r="S212" s="9">
        <f>IF(ABS(G212-$H212)&lt;=1E-9,1,0)</f>
        <v>1</v>
      </c>
      <c r="T212" s="6" t="s">
        <v>26</v>
      </c>
    </row>
    <row r="213" spans="1:20">
      <c r="A213" s="6" t="s">
        <v>268</v>
      </c>
      <c r="B213" s="3">
        <v>200</v>
      </c>
      <c r="C213" s="7">
        <v>1091</v>
      </c>
      <c r="D213" s="7">
        <v>1102</v>
      </c>
      <c r="E213" s="7">
        <v>1100</v>
      </c>
      <c r="F213" s="7">
        <v>821</v>
      </c>
      <c r="G213" s="7">
        <v>742</v>
      </c>
      <c r="H213" s="7">
        <f>MIN(C213:G213)</f>
        <v>742.0</v>
      </c>
      <c r="I213" s="6" t="s">
        <v>26</v>
      </c>
      <c r="J213" s="8">
        <f>IF($H213=0,"",(C213-$H213)/$H213)</f>
        <v>0.47035040431266845</v>
      </c>
      <c r="K213" s="8">
        <f>IF($H213=0,"",(D213-$H213)/$H213)</f>
        <v>0.48517520215633425</v>
      </c>
      <c r="L213" s="8">
        <f>IF($H213=0,"",(E213-$H213)/$H213)</f>
        <v>0.48247978436657685</v>
      </c>
      <c r="M213" s="8">
        <f>IF($H213=0,"",(F213-$H213)/$H213)</f>
        <v>0.10646900269541777</v>
      </c>
      <c r="N213" s="8">
        <f>IF($H213=0,"",(G213-$H213)/$H213)</f>
        <v>0.0</v>
      </c>
      <c r="O213" s="9">
        <f>IF(ABS(C213-$H213)&lt;=1E-9,1,0)</f>
        <v>0</v>
      </c>
      <c r="P213" s="9">
        <f>IF(ABS(D213-$H213)&lt;=1E-9,1,0)</f>
        <v>0</v>
      </c>
      <c r="Q213" s="9">
        <f>IF(ABS(E213-$H213)&lt;=1E-9,1,0)</f>
        <v>0</v>
      </c>
      <c r="R213" s="9">
        <f>IF(ABS(F213-$H213)&lt;=1E-9,1,0)</f>
        <v>0</v>
      </c>
      <c r="S213" s="9">
        <f>IF(ABS(G213-$H213)&lt;=1E-9,1,0)</f>
        <v>1</v>
      </c>
      <c r="T213" s="6" t="s">
        <v>26</v>
      </c>
    </row>
    <row r="214" spans="1:20">
      <c r="A214" s="6" t="s">
        <v>269</v>
      </c>
      <c r="B214" s="3">
        <v>200</v>
      </c>
      <c r="C214" s="7">
        <v>57</v>
      </c>
      <c r="D214" s="7">
        <v>57</v>
      </c>
      <c r="E214" s="7">
        <v>57</v>
      </c>
      <c r="F214" s="7">
        <v>57</v>
      </c>
      <c r="G214" s="7">
        <v>53</v>
      </c>
      <c r="H214" s="7">
        <f>MIN(C214:G214)</f>
        <v>53.0</v>
      </c>
      <c r="I214" s="6" t="s">
        <v>26</v>
      </c>
      <c r="J214" s="8">
        <f>IF($H214=0,"",(C214-$H214)/$H214)</f>
        <v>0.07547169811320754</v>
      </c>
      <c r="K214" s="8">
        <f>IF($H214=0,"",(D214-$H214)/$H214)</f>
        <v>0.07547169811320754</v>
      </c>
      <c r="L214" s="8">
        <f>IF($H214=0,"",(E214-$H214)/$H214)</f>
        <v>0.07547169811320754</v>
      </c>
      <c r="M214" s="8">
        <f>IF($H214=0,"",(F214-$H214)/$H214)</f>
        <v>0.07547169811320754</v>
      </c>
      <c r="N214" s="8">
        <f>IF($H214=0,"",(G214-$H214)/$H214)</f>
        <v>0.0</v>
      </c>
      <c r="O214" s="9">
        <f>IF(ABS(C214-$H214)&lt;=1E-9,1,0)</f>
        <v>0</v>
      </c>
      <c r="P214" s="9">
        <f>IF(ABS(D214-$H214)&lt;=1E-9,1,0)</f>
        <v>0</v>
      </c>
      <c r="Q214" s="9">
        <f>IF(ABS(E214-$H214)&lt;=1E-9,1,0)</f>
        <v>0</v>
      </c>
      <c r="R214" s="9">
        <f>IF(ABS(F214-$H214)&lt;=1E-9,1,0)</f>
        <v>0</v>
      </c>
      <c r="S214" s="9">
        <f>IF(ABS(G214-$H214)&lt;=1E-9,1,0)</f>
        <v>1</v>
      </c>
      <c r="T214" s="6" t="s">
        <v>26</v>
      </c>
    </row>
    <row r="215" spans="1:20">
      <c r="A215" s="6" t="s">
        <v>270</v>
      </c>
      <c r="B215" s="3">
        <v>200</v>
      </c>
      <c r="C215" s="7">
        <v>56</v>
      </c>
      <c r="D215" s="7">
        <v>56</v>
      </c>
      <c r="E215" s="7">
        <v>57</v>
      </c>
      <c r="F215" s="7">
        <v>57</v>
      </c>
      <c r="G215" s="7">
        <v>53</v>
      </c>
      <c r="H215" s="7">
        <f>MIN(C215:G215)</f>
        <v>53.0</v>
      </c>
      <c r="I215" s="6" t="s">
        <v>26</v>
      </c>
      <c r="J215" s="8">
        <f>IF($H215=0,"",(C215-$H215)/$H215)</f>
        <v>0.05660377358490567</v>
      </c>
      <c r="K215" s="8">
        <f>IF($H215=0,"",(D215-$H215)/$H215)</f>
        <v>0.05660377358490567</v>
      </c>
      <c r="L215" s="8">
        <f>IF($H215=0,"",(E215-$H215)/$H215)</f>
        <v>0.07547169811320754</v>
      </c>
      <c r="M215" s="8">
        <f>IF($H215=0,"",(F215-$H215)/$H215)</f>
        <v>0.07547169811320754</v>
      </c>
      <c r="N215" s="8">
        <f>IF($H215=0,"",(G215-$H215)/$H215)</f>
        <v>0.0</v>
      </c>
      <c r="O215" s="9">
        <f>IF(ABS(C215-$H215)&lt;=1E-9,1,0)</f>
        <v>0</v>
      </c>
      <c r="P215" s="9">
        <f>IF(ABS(D215-$H215)&lt;=1E-9,1,0)</f>
        <v>0</v>
      </c>
      <c r="Q215" s="9">
        <f>IF(ABS(E215-$H215)&lt;=1E-9,1,0)</f>
        <v>0</v>
      </c>
      <c r="R215" s="9">
        <f>IF(ABS(F215-$H215)&lt;=1E-9,1,0)</f>
        <v>0</v>
      </c>
      <c r="S215" s="9">
        <f>IF(ABS(G215-$H215)&lt;=1E-9,1,0)</f>
        <v>1</v>
      </c>
      <c r="T215" s="6" t="s">
        <v>26</v>
      </c>
    </row>
    <row r="216" spans="1:20">
      <c r="A216" s="6" t="s">
        <v>271</v>
      </c>
      <c r="B216" s="3">
        <v>200</v>
      </c>
      <c r="C216" s="7">
        <v>1008</v>
      </c>
      <c r="D216" s="7">
        <v>986</v>
      </c>
      <c r="E216" s="7">
        <v>998</v>
      </c>
      <c r="F216" s="7">
        <v>787</v>
      </c>
      <c r="G216" s="7">
        <v>673</v>
      </c>
      <c r="H216" s="7">
        <f>MIN(C216:G216)</f>
        <v>673.0</v>
      </c>
      <c r="I216" s="6" t="s">
        <v>26</v>
      </c>
      <c r="J216" s="8">
        <f>IF($H216=0,"",(C216-$H216)/$H216)</f>
        <v>0.49777117384843983</v>
      </c>
      <c r="K216" s="8">
        <f>IF($H216=0,"",(D216-$H216)/$H216)</f>
        <v>0.46508172362555716</v>
      </c>
      <c r="L216" s="8">
        <f>IF($H216=0,"",(E216-$H216)/$H216)</f>
        <v>0.48291233283803864</v>
      </c>
      <c r="M216" s="8">
        <f>IF($H216=0,"",(F216-$H216)/$H216)</f>
        <v>0.16939078751857356</v>
      </c>
      <c r="N216" s="8">
        <f>IF($H216=0,"",(G216-$H216)/$H216)</f>
        <v>0.0</v>
      </c>
      <c r="O216" s="9">
        <f>IF(ABS(C216-$H216)&lt;=1E-9,1,0)</f>
        <v>0</v>
      </c>
      <c r="P216" s="9">
        <f>IF(ABS(D216-$H216)&lt;=1E-9,1,0)</f>
        <v>0</v>
      </c>
      <c r="Q216" s="9">
        <f>IF(ABS(E216-$H216)&lt;=1E-9,1,0)</f>
        <v>0</v>
      </c>
      <c r="R216" s="9">
        <f>IF(ABS(F216-$H216)&lt;=1E-9,1,0)</f>
        <v>0</v>
      </c>
      <c r="S216" s="9">
        <f>IF(ABS(G216-$H216)&lt;=1E-9,1,0)</f>
        <v>1</v>
      </c>
      <c r="T216" s="6" t="s">
        <v>26</v>
      </c>
    </row>
    <row r="217" spans="1:20">
      <c r="A217" s="6" t="s">
        <v>272</v>
      </c>
      <c r="B217" s="3">
        <v>200</v>
      </c>
      <c r="C217" s="7">
        <v>1001</v>
      </c>
      <c r="D217" s="7">
        <v>986</v>
      </c>
      <c r="E217" s="7">
        <v>1007</v>
      </c>
      <c r="F217" s="7">
        <v>775</v>
      </c>
      <c r="G217" s="7">
        <v>692</v>
      </c>
      <c r="H217" s="7">
        <f>MIN(C217:G217)</f>
        <v>692.0</v>
      </c>
      <c r="I217" s="6" t="s">
        <v>26</v>
      </c>
      <c r="J217" s="8">
        <f>IF($H217=0,"",(C217-$H217)/$H217)</f>
        <v>0.44653179190751446</v>
      </c>
      <c r="K217" s="8">
        <f>IF($H217=0,"",(D217-$H217)/$H217)</f>
        <v>0.42485549132947975</v>
      </c>
      <c r="L217" s="8">
        <f>IF($H217=0,"",(E217-$H217)/$H217)</f>
        <v>0.4552023121387283</v>
      </c>
      <c r="M217" s="8">
        <f>IF($H217=0,"",(F217-$H217)/$H217)</f>
        <v>0.1199421965317919</v>
      </c>
      <c r="N217" s="8">
        <f>IF($H217=0,"",(G217-$H217)/$H217)</f>
        <v>0.0</v>
      </c>
      <c r="O217" s="9">
        <f>IF(ABS(C217-$H217)&lt;=1E-9,1,0)</f>
        <v>0</v>
      </c>
      <c r="P217" s="9">
        <f>IF(ABS(D217-$H217)&lt;=1E-9,1,0)</f>
        <v>0</v>
      </c>
      <c r="Q217" s="9">
        <f>IF(ABS(E217-$H217)&lt;=1E-9,1,0)</f>
        <v>0</v>
      </c>
      <c r="R217" s="9">
        <f>IF(ABS(F217-$H217)&lt;=1E-9,1,0)</f>
        <v>0</v>
      </c>
      <c r="S217" s="9">
        <f>IF(ABS(G217-$H217)&lt;=1E-9,1,0)</f>
        <v>1</v>
      </c>
      <c r="T217" s="6" t="s">
        <v>26</v>
      </c>
    </row>
    <row r="218" spans="1:20">
      <c r="A218" s="6" t="s">
        <v>273</v>
      </c>
      <c r="B218" s="3">
        <v>200</v>
      </c>
      <c r="C218" s="7">
        <v>41</v>
      </c>
      <c r="D218" s="7">
        <v>42</v>
      </c>
      <c r="E218" s="7">
        <v>42</v>
      </c>
      <c r="F218" s="7">
        <v>47</v>
      </c>
      <c r="G218" s="7">
        <v>36</v>
      </c>
      <c r="H218" s="7">
        <f>MIN(C218:G218)</f>
        <v>36.0</v>
      </c>
      <c r="I218" s="6" t="s">
        <v>26</v>
      </c>
      <c r="J218" s="8">
        <f>IF($H218=0,"",(C218-$H218)/$H218)</f>
        <v>0.1388888888888889</v>
      </c>
      <c r="K218" s="8">
        <f>IF($H218=0,"",(D218-$H218)/$H218)</f>
        <v>0.16666666666666663</v>
      </c>
      <c r="L218" s="8">
        <f>IF($H218=0,"",(E218-$H218)/$H218)</f>
        <v>0.16666666666666663</v>
      </c>
      <c r="M218" s="8">
        <f>IF($H218=0,"",(F218-$H218)/$H218)</f>
        <v>0.3055555555555556</v>
      </c>
      <c r="N218" s="8">
        <f>IF($H218=0,"",(G218-$H218)/$H218)</f>
        <v>0.0</v>
      </c>
      <c r="O218" s="9">
        <f>IF(ABS(C218-$H218)&lt;=1E-9,1,0)</f>
        <v>0</v>
      </c>
      <c r="P218" s="9">
        <f>IF(ABS(D218-$H218)&lt;=1E-9,1,0)</f>
        <v>0</v>
      </c>
      <c r="Q218" s="9">
        <f>IF(ABS(E218-$H218)&lt;=1E-9,1,0)</f>
        <v>0</v>
      </c>
      <c r="R218" s="9">
        <f>IF(ABS(F218-$H218)&lt;=1E-9,1,0)</f>
        <v>0</v>
      </c>
      <c r="S218" s="9">
        <f>IF(ABS(G218-$H218)&lt;=1E-9,1,0)</f>
        <v>1</v>
      </c>
      <c r="T218" s="6" t="s">
        <v>26</v>
      </c>
    </row>
    <row r="219" spans="1:20">
      <c r="A219" s="6" t="s">
        <v>274</v>
      </c>
      <c r="B219" s="3">
        <v>200</v>
      </c>
      <c r="C219" s="7">
        <v>42</v>
      </c>
      <c r="D219" s="7">
        <v>43</v>
      </c>
      <c r="E219" s="7">
        <v>43</v>
      </c>
      <c r="F219" s="7">
        <v>48</v>
      </c>
      <c r="G219" s="7">
        <v>36</v>
      </c>
      <c r="H219" s="7">
        <f>MIN(C219:G219)</f>
        <v>36.0</v>
      </c>
      <c r="I219" s="6" t="s">
        <v>26</v>
      </c>
      <c r="J219" s="8">
        <f>IF($H219=0,"",(C219-$H219)/$H219)</f>
        <v>0.16666666666666663</v>
      </c>
      <c r="K219" s="8">
        <f>IF($H219=0,"",(D219-$H219)/$H219)</f>
        <v>0.19444444444444448</v>
      </c>
      <c r="L219" s="8">
        <f>IF($H219=0,"",(E219-$H219)/$H219)</f>
        <v>0.19444444444444448</v>
      </c>
      <c r="M219" s="8">
        <f>IF($H219=0,"",(F219-$H219)/$H219)</f>
        <v>0.33333333333333326</v>
      </c>
      <c r="N219" s="8">
        <f>IF($H219=0,"",(G219-$H219)/$H219)</f>
        <v>0.0</v>
      </c>
      <c r="O219" s="9">
        <f>IF(ABS(C219-$H219)&lt;=1E-9,1,0)</f>
        <v>0</v>
      </c>
      <c r="P219" s="9">
        <f>IF(ABS(D219-$H219)&lt;=1E-9,1,0)</f>
        <v>0</v>
      </c>
      <c r="Q219" s="9">
        <f>IF(ABS(E219-$H219)&lt;=1E-9,1,0)</f>
        <v>0</v>
      </c>
      <c r="R219" s="9">
        <f>IF(ABS(F219-$H219)&lt;=1E-9,1,0)</f>
        <v>0</v>
      </c>
      <c r="S219" s="9">
        <f>IF(ABS(G219-$H219)&lt;=1E-9,1,0)</f>
        <v>1</v>
      </c>
      <c r="T219" s="6" t="s">
        <v>26</v>
      </c>
    </row>
    <row r="220" spans="1:20">
      <c r="A220" s="6" t="s">
        <v>275</v>
      </c>
      <c r="B220" s="3">
        <v>200</v>
      </c>
      <c r="C220" s="7">
        <v>762</v>
      </c>
      <c r="D220" s="7">
        <v>794</v>
      </c>
      <c r="E220" s="7">
        <v>797</v>
      </c>
      <c r="F220" s="7">
        <v>647</v>
      </c>
      <c r="G220" s="7">
        <v>512</v>
      </c>
      <c r="H220" s="7">
        <f>MIN(C220:G220)</f>
        <v>512.0</v>
      </c>
      <c r="I220" s="6" t="s">
        <v>26</v>
      </c>
      <c r="J220" s="8">
        <f>IF($H220=0,"",(C220-$H220)/$H220)</f>
        <v>0.48828125</v>
      </c>
      <c r="K220" s="8">
        <f>IF($H220=0,"",(D220-$H220)/$H220)</f>
        <v>0.55078125</v>
      </c>
      <c r="L220" s="8">
        <f>IF($H220=0,"",(E220-$H220)/$H220)</f>
        <v>0.556640625</v>
      </c>
      <c r="M220" s="8">
        <f>IF($H220=0,"",(F220-$H220)/$H220)</f>
        <v>0.263671875</v>
      </c>
      <c r="N220" s="8">
        <f>IF($H220=0,"",(G220-$H220)/$H220)</f>
        <v>0.0</v>
      </c>
      <c r="O220" s="9">
        <f>IF(ABS(C220-$H220)&lt;=1E-9,1,0)</f>
        <v>0</v>
      </c>
      <c r="P220" s="9">
        <f>IF(ABS(D220-$H220)&lt;=1E-9,1,0)</f>
        <v>0</v>
      </c>
      <c r="Q220" s="9">
        <f>IF(ABS(E220-$H220)&lt;=1E-9,1,0)</f>
        <v>0</v>
      </c>
      <c r="R220" s="9">
        <f>IF(ABS(F220-$H220)&lt;=1E-9,1,0)</f>
        <v>0</v>
      </c>
      <c r="S220" s="9">
        <f>IF(ABS(G220-$H220)&lt;=1E-9,1,0)</f>
        <v>1</v>
      </c>
      <c r="T220" s="6" t="s">
        <v>26</v>
      </c>
    </row>
    <row r="221" spans="1:20">
      <c r="A221" s="6" t="s">
        <v>276</v>
      </c>
      <c r="B221" s="3">
        <v>200</v>
      </c>
      <c r="C221" s="7">
        <v>840</v>
      </c>
      <c r="D221" s="7">
        <v>824</v>
      </c>
      <c r="E221" s="7">
        <v>802</v>
      </c>
      <c r="F221" s="7">
        <v>658</v>
      </c>
      <c r="G221" s="7">
        <v>540</v>
      </c>
      <c r="H221" s="7">
        <f>MIN(C221:G221)</f>
        <v>540.0</v>
      </c>
      <c r="I221" s="6" t="s">
        <v>26</v>
      </c>
      <c r="J221" s="8">
        <f>IF($H221=0,"",(C221-$H221)/$H221)</f>
        <v>0.5555555555555556</v>
      </c>
      <c r="K221" s="8">
        <f>IF($H221=0,"",(D221-$H221)/$H221)</f>
        <v>0.5259259259259259</v>
      </c>
      <c r="L221" s="8">
        <f>IF($H221=0,"",(E221-$H221)/$H221)</f>
        <v>0.48518518518518516</v>
      </c>
      <c r="M221" s="8">
        <f>IF($H221=0,"",(F221-$H221)/$H221)</f>
        <v>0.2185185185185185</v>
      </c>
      <c r="N221" s="8">
        <f>IF($H221=0,"",(G221-$H221)/$H221)</f>
        <v>0.0</v>
      </c>
      <c r="O221" s="9">
        <f>IF(ABS(C221-$H221)&lt;=1E-9,1,0)</f>
        <v>0</v>
      </c>
      <c r="P221" s="9">
        <f>IF(ABS(D221-$H221)&lt;=1E-9,1,0)</f>
        <v>0</v>
      </c>
      <c r="Q221" s="9">
        <f>IF(ABS(E221-$H221)&lt;=1E-9,1,0)</f>
        <v>0</v>
      </c>
      <c r="R221" s="9">
        <f>IF(ABS(F221-$H221)&lt;=1E-9,1,0)</f>
        <v>0</v>
      </c>
      <c r="S221" s="9">
        <f>IF(ABS(G221-$H221)&lt;=1E-9,1,0)</f>
        <v>1</v>
      </c>
      <c r="T221" s="6" t="s">
        <v>26</v>
      </c>
    </row>
    <row r="222" spans="1:20">
      <c r="A222" s="6" t="s">
        <v>277</v>
      </c>
      <c r="B222" s="3">
        <v>200</v>
      </c>
      <c r="C222" s="7">
        <v>32</v>
      </c>
      <c r="D222" s="7">
        <v>33</v>
      </c>
      <c r="E222" s="7">
        <v>36</v>
      </c>
      <c r="F222" s="7">
        <v>47</v>
      </c>
      <c r="G222" s="7">
        <v>32</v>
      </c>
      <c r="H222" s="7">
        <f>MIN(C222:G222)</f>
        <v>32.0</v>
      </c>
      <c r="I222" s="6" t="s">
        <v>119</v>
      </c>
      <c r="J222" s="8">
        <f>IF($H222=0,"",(C222-$H222)/$H222)</f>
        <v>0.0</v>
      </c>
      <c r="K222" s="8">
        <f>IF($H222=0,"",(D222-$H222)/$H222)</f>
        <v>0.03125</v>
      </c>
      <c r="L222" s="8">
        <f>IF($H222=0,"",(E222-$H222)/$H222)</f>
        <v>0.125</v>
      </c>
      <c r="M222" s="8">
        <f>IF($H222=0,"",(F222-$H222)/$H222)</f>
        <v>0.46875</v>
      </c>
      <c r="N222" s="8">
        <f>IF($H222=0,"",(G222-$H222)/$H222)</f>
        <v>0.0</v>
      </c>
      <c r="O222" s="9">
        <f>IF(ABS(C222-$H222)&lt;=1E-9,1,0)</f>
        <v>1</v>
      </c>
      <c r="P222" s="9">
        <f>IF(ABS(D222-$H222)&lt;=1E-9,1,0)</f>
        <v>0</v>
      </c>
      <c r="Q222" s="9">
        <f>IF(ABS(E222-$H222)&lt;=1E-9,1,0)</f>
        <v>0</v>
      </c>
      <c r="R222" s="9">
        <f>IF(ABS(F222-$H222)&lt;=1E-9,1,0)</f>
        <v>0</v>
      </c>
      <c r="S222" s="9">
        <f>IF(ABS(G222-$H222)&lt;=1E-9,1,0)</f>
        <v>1</v>
      </c>
      <c r="T222" s="6" t="s">
        <v>51</v>
      </c>
    </row>
    <row r="223" spans="1:20">
      <c r="A223" s="6" t="s">
        <v>278</v>
      </c>
      <c r="B223" s="3">
        <v>200</v>
      </c>
      <c r="C223" s="7">
        <v>35</v>
      </c>
      <c r="D223" s="7">
        <v>35</v>
      </c>
      <c r="E223" s="7">
        <v>37</v>
      </c>
      <c r="F223" s="7">
        <v>47</v>
      </c>
      <c r="G223" s="7">
        <v>33</v>
      </c>
      <c r="H223" s="7">
        <f>MIN(C223:G223)</f>
        <v>33.0</v>
      </c>
      <c r="I223" s="6" t="s">
        <v>26</v>
      </c>
      <c r="J223" s="8">
        <f>IF($H223=0,"",(C223-$H223)/$H223)</f>
        <v>0.06060606060606061</v>
      </c>
      <c r="K223" s="8">
        <f>IF($H223=0,"",(D223-$H223)/$H223)</f>
        <v>0.06060606060606061</v>
      </c>
      <c r="L223" s="8">
        <f>IF($H223=0,"",(E223-$H223)/$H223)</f>
        <v>0.12121212121212122</v>
      </c>
      <c r="M223" s="8">
        <f>IF($H223=0,"",(F223-$H223)/$H223)</f>
        <v>0.4242424242424242</v>
      </c>
      <c r="N223" s="8">
        <f>IF($H223=0,"",(G223-$H223)/$H223)</f>
        <v>0.0</v>
      </c>
      <c r="O223" s="9">
        <f>IF(ABS(C223-$H223)&lt;=1E-9,1,0)</f>
        <v>0</v>
      </c>
      <c r="P223" s="9">
        <f>IF(ABS(D223-$H223)&lt;=1E-9,1,0)</f>
        <v>0</v>
      </c>
      <c r="Q223" s="9">
        <f>IF(ABS(E223-$H223)&lt;=1E-9,1,0)</f>
        <v>0</v>
      </c>
      <c r="R223" s="9">
        <f>IF(ABS(F223-$H223)&lt;=1E-9,1,0)</f>
        <v>0</v>
      </c>
      <c r="S223" s="9">
        <f>IF(ABS(G223-$H223)&lt;=1E-9,1,0)</f>
        <v>1</v>
      </c>
      <c r="T223" s="6" t="s">
        <v>26</v>
      </c>
    </row>
    <row r="224" spans="1:20">
      <c r="A224" s="6" t="s">
        <v>279</v>
      </c>
      <c r="B224" s="3">
        <v>200</v>
      </c>
      <c r="C224" s="7">
        <v>688</v>
      </c>
      <c r="D224" s="7">
        <v>711</v>
      </c>
      <c r="E224" s="7">
        <v>739</v>
      </c>
      <c r="F224" s="7">
        <v>633</v>
      </c>
      <c r="G224" s="7">
        <v>496</v>
      </c>
      <c r="H224" s="7">
        <f>MIN(C224:G224)</f>
        <v>496.0</v>
      </c>
      <c r="I224" s="6" t="s">
        <v>26</v>
      </c>
      <c r="J224" s="8">
        <f>IF($H224=0,"",(C224-$H224)/$H224)</f>
        <v>0.3870967741935484</v>
      </c>
      <c r="K224" s="8">
        <f>IF($H224=0,"",(D224-$H224)/$H224)</f>
        <v>0.4334677419354838</v>
      </c>
      <c r="L224" s="8">
        <f>IF($H224=0,"",(E224-$H224)/$H224)</f>
        <v>0.4899193548387097</v>
      </c>
      <c r="M224" s="8">
        <f>IF($H224=0,"",(F224-$H224)/$H224)</f>
        <v>0.2762096774193548</v>
      </c>
      <c r="N224" s="8">
        <f>IF($H224=0,"",(G224-$H224)/$H224)</f>
        <v>0.0</v>
      </c>
      <c r="O224" s="9">
        <f>IF(ABS(C224-$H224)&lt;=1E-9,1,0)</f>
        <v>0</v>
      </c>
      <c r="P224" s="9">
        <f>IF(ABS(D224-$H224)&lt;=1E-9,1,0)</f>
        <v>0</v>
      </c>
      <c r="Q224" s="9">
        <f>IF(ABS(E224-$H224)&lt;=1E-9,1,0)</f>
        <v>0</v>
      </c>
      <c r="R224" s="9">
        <f>IF(ABS(F224-$H224)&lt;=1E-9,1,0)</f>
        <v>0</v>
      </c>
      <c r="S224" s="9">
        <f>IF(ABS(G224-$H224)&lt;=1E-9,1,0)</f>
        <v>1</v>
      </c>
      <c r="T224" s="6" t="s">
        <v>26</v>
      </c>
    </row>
    <row r="225" spans="1:20">
      <c r="A225" s="6" t="s">
        <v>280</v>
      </c>
      <c r="B225" s="3">
        <v>200</v>
      </c>
      <c r="C225" s="7">
        <v>780</v>
      </c>
      <c r="D225" s="7">
        <v>726</v>
      </c>
      <c r="E225" s="7">
        <v>812</v>
      </c>
      <c r="F225" s="7">
        <v>662</v>
      </c>
      <c r="G225" s="7">
        <v>520</v>
      </c>
      <c r="H225" s="7">
        <f>MIN(C225:G225)</f>
        <v>520.0</v>
      </c>
      <c r="I225" s="6" t="s">
        <v>26</v>
      </c>
      <c r="J225" s="8">
        <f>IF($H225=0,"",(C225-$H225)/$H225)</f>
        <v>0.5</v>
      </c>
      <c r="K225" s="8">
        <f>IF($H225=0,"",(D225-$H225)/$H225)</f>
        <v>0.39615384615384613</v>
      </c>
      <c r="L225" s="8">
        <f>IF($H225=0,"",(E225-$H225)/$H225)</f>
        <v>0.5615384615384615</v>
      </c>
      <c r="M225" s="8">
        <f>IF($H225=0,"",(F225-$H225)/$H225)</f>
        <v>0.27307692307692305</v>
      </c>
      <c r="N225" s="8">
        <f>IF($H225=0,"",(G225-$H225)/$H225)</f>
        <v>0.0</v>
      </c>
      <c r="O225" s="9">
        <f>IF(ABS(C225-$H225)&lt;=1E-9,1,0)</f>
        <v>0</v>
      </c>
      <c r="P225" s="9">
        <f>IF(ABS(D225-$H225)&lt;=1E-9,1,0)</f>
        <v>0</v>
      </c>
      <c r="Q225" s="9">
        <f>IF(ABS(E225-$H225)&lt;=1E-9,1,0)</f>
        <v>0</v>
      </c>
      <c r="R225" s="9">
        <f>IF(ABS(F225-$H225)&lt;=1E-9,1,0)</f>
        <v>0</v>
      </c>
      <c r="S225" s="9">
        <f>IF(ABS(G225-$H225)&lt;=1E-9,1,0)</f>
        <v>1</v>
      </c>
      <c r="T225" s="6" t="s">
        <v>26</v>
      </c>
    </row>
    <row r="226" spans="1:20">
      <c r="A226" s="6" t="s">
        <v>281</v>
      </c>
      <c r="B226" s="3">
        <v>25</v>
      </c>
      <c r="C226" s="7">
        <v>12</v>
      </c>
      <c r="D226" s="7">
        <v>12</v>
      </c>
      <c r="E226" s="7">
        <v>12</v>
      </c>
      <c r="F226" s="7">
        <v>11</v>
      </c>
      <c r="G226" s="7">
        <v>10</v>
      </c>
      <c r="H226" s="7">
        <f>MIN(C226:G226)</f>
        <v>10.0</v>
      </c>
      <c r="I226" s="6" t="s">
        <v>26</v>
      </c>
      <c r="J226" s="8">
        <f>IF($H226=0,"",(C226-$H226)/$H226)</f>
        <v>0.2</v>
      </c>
      <c r="K226" s="8">
        <f>IF($H226=0,"",(D226-$H226)/$H226)</f>
        <v>0.2</v>
      </c>
      <c r="L226" s="8">
        <f>IF($H226=0,"",(E226-$H226)/$H226)</f>
        <v>0.2</v>
      </c>
      <c r="M226" s="8">
        <f>IF($H226=0,"",(F226-$H226)/$H226)</f>
        <v>0.1</v>
      </c>
      <c r="N226" s="8">
        <f>IF($H226=0,"",(G226-$H226)/$H226)</f>
        <v>0.0</v>
      </c>
      <c r="O226" s="9">
        <f>IF(ABS(C226-$H226)&lt;=1E-9,1,0)</f>
        <v>0</v>
      </c>
      <c r="P226" s="9">
        <f>IF(ABS(D226-$H226)&lt;=1E-9,1,0)</f>
        <v>0</v>
      </c>
      <c r="Q226" s="9">
        <f>IF(ABS(E226-$H226)&lt;=1E-9,1,0)</f>
        <v>0</v>
      </c>
      <c r="R226" s="9">
        <f>IF(ABS(F226-$H226)&lt;=1E-9,1,0)</f>
        <v>0</v>
      </c>
      <c r="S226" s="9">
        <f>IF(ABS(G226-$H226)&lt;=1E-9,1,0)</f>
        <v>1</v>
      </c>
      <c r="T226" s="6" t="s">
        <v>26</v>
      </c>
    </row>
    <row r="227" spans="1:20">
      <c r="A227" s="6" t="s">
        <v>282</v>
      </c>
      <c r="B227" s="3">
        <v>25</v>
      </c>
      <c r="C227" s="7">
        <v>12</v>
      </c>
      <c r="D227" s="7">
        <v>11</v>
      </c>
      <c r="E227" s="7">
        <v>12</v>
      </c>
      <c r="F227" s="7">
        <v>12</v>
      </c>
      <c r="G227" s="7">
        <v>10</v>
      </c>
      <c r="H227" s="7">
        <f>MIN(C227:G227)</f>
        <v>10.0</v>
      </c>
      <c r="I227" s="6" t="s">
        <v>26</v>
      </c>
      <c r="J227" s="8">
        <f>IF($H227=0,"",(C227-$H227)/$H227)</f>
        <v>0.2</v>
      </c>
      <c r="K227" s="8">
        <f>IF($H227=0,"",(D227-$H227)/$H227)</f>
        <v>0.1</v>
      </c>
      <c r="L227" s="8">
        <f>IF($H227=0,"",(E227-$H227)/$H227)</f>
        <v>0.2</v>
      </c>
      <c r="M227" s="8">
        <f>IF($H227=0,"",(F227-$H227)/$H227)</f>
        <v>0.2</v>
      </c>
      <c r="N227" s="8">
        <f>IF($H227=0,"",(G227-$H227)/$H227)</f>
        <v>0.0</v>
      </c>
      <c r="O227" s="9">
        <f>IF(ABS(C227-$H227)&lt;=1E-9,1,0)</f>
        <v>0</v>
      </c>
      <c r="P227" s="9">
        <f>IF(ABS(D227-$H227)&lt;=1E-9,1,0)</f>
        <v>0</v>
      </c>
      <c r="Q227" s="9">
        <f>IF(ABS(E227-$H227)&lt;=1E-9,1,0)</f>
        <v>0</v>
      </c>
      <c r="R227" s="9">
        <f>IF(ABS(F227-$H227)&lt;=1E-9,1,0)</f>
        <v>0</v>
      </c>
      <c r="S227" s="9">
        <f>IF(ABS(G227-$H227)&lt;=1E-9,1,0)</f>
        <v>1</v>
      </c>
      <c r="T227" s="6" t="s">
        <v>26</v>
      </c>
    </row>
    <row r="228" spans="1:20">
      <c r="A228" s="6" t="s">
        <v>283</v>
      </c>
      <c r="B228" s="3">
        <v>25</v>
      </c>
      <c r="C228" s="7">
        <v>157</v>
      </c>
      <c r="D228" s="7">
        <v>173</v>
      </c>
      <c r="E228" s="7">
        <v>171</v>
      </c>
      <c r="F228" s="7">
        <v>161</v>
      </c>
      <c r="G228" s="7">
        <v>151</v>
      </c>
      <c r="H228" s="7">
        <f>MIN(C228:G228)</f>
        <v>151.0</v>
      </c>
      <c r="I228" s="6" t="s">
        <v>26</v>
      </c>
      <c r="J228" s="8">
        <f>IF($H228=0,"",(C228-$H228)/$H228)</f>
        <v>0.039735099337748346</v>
      </c>
      <c r="K228" s="8">
        <f>IF($H228=0,"",(D228-$H228)/$H228)</f>
        <v>0.1456953642384106</v>
      </c>
      <c r="L228" s="8">
        <f>IF($H228=0,"",(E228-$H228)/$H228)</f>
        <v>0.13245033112582782</v>
      </c>
      <c r="M228" s="8">
        <f>IF($H228=0,"",(F228-$H228)/$H228)</f>
        <v>0.06622516556291391</v>
      </c>
      <c r="N228" s="8">
        <f>IF($H228=0,"",(G228-$H228)/$H228)</f>
        <v>0.0</v>
      </c>
      <c r="O228" s="9">
        <f>IF(ABS(C228-$H228)&lt;=1E-9,1,0)</f>
        <v>0</v>
      </c>
      <c r="P228" s="9">
        <f>IF(ABS(D228-$H228)&lt;=1E-9,1,0)</f>
        <v>0</v>
      </c>
      <c r="Q228" s="9">
        <f>IF(ABS(E228-$H228)&lt;=1E-9,1,0)</f>
        <v>0</v>
      </c>
      <c r="R228" s="9">
        <f>IF(ABS(F228-$H228)&lt;=1E-9,1,0)</f>
        <v>0</v>
      </c>
      <c r="S228" s="9">
        <f>IF(ABS(G228-$H228)&lt;=1E-9,1,0)</f>
        <v>1</v>
      </c>
      <c r="T228" s="6" t="s">
        <v>26</v>
      </c>
    </row>
    <row r="229" spans="1:20">
      <c r="A229" s="6" t="s">
        <v>284</v>
      </c>
      <c r="B229" s="3">
        <v>25</v>
      </c>
      <c r="C229" s="7">
        <v>156</v>
      </c>
      <c r="D229" s="7">
        <v>166</v>
      </c>
      <c r="E229" s="7">
        <v>158</v>
      </c>
      <c r="F229" s="7">
        <v>155</v>
      </c>
      <c r="G229" s="7">
        <v>143</v>
      </c>
      <c r="H229" s="7">
        <f>MIN(C229:G229)</f>
        <v>143.0</v>
      </c>
      <c r="I229" s="6" t="s">
        <v>26</v>
      </c>
      <c r="J229" s="8">
        <f>IF($H229=0,"",(C229-$H229)/$H229)</f>
        <v>0.09090909090909091</v>
      </c>
      <c r="K229" s="8">
        <f>IF($H229=0,"",(D229-$H229)/$H229)</f>
        <v>0.16083916083916083</v>
      </c>
      <c r="L229" s="8">
        <f>IF($H229=0,"",(E229-$H229)/$H229)</f>
        <v>0.1048951048951049</v>
      </c>
      <c r="M229" s="8">
        <f>IF($H229=0,"",(F229-$H229)/$H229)</f>
        <v>0.08391608391608392</v>
      </c>
      <c r="N229" s="8">
        <f>IF($H229=0,"",(G229-$H229)/$H229)</f>
        <v>0.0</v>
      </c>
      <c r="O229" s="9">
        <f>IF(ABS(C229-$H229)&lt;=1E-9,1,0)</f>
        <v>0</v>
      </c>
      <c r="P229" s="9">
        <f>IF(ABS(D229-$H229)&lt;=1E-9,1,0)</f>
        <v>0</v>
      </c>
      <c r="Q229" s="9">
        <f>IF(ABS(E229-$H229)&lt;=1E-9,1,0)</f>
        <v>0</v>
      </c>
      <c r="R229" s="9">
        <f>IF(ABS(F229-$H229)&lt;=1E-9,1,0)</f>
        <v>0</v>
      </c>
      <c r="S229" s="9">
        <f>IF(ABS(G229-$H229)&lt;=1E-9,1,0)</f>
        <v>1</v>
      </c>
      <c r="T229" s="6" t="s">
        <v>26</v>
      </c>
    </row>
    <row r="230" spans="1:20">
      <c r="A230" s="6" t="s">
        <v>285</v>
      </c>
      <c r="B230" s="3">
        <v>25</v>
      </c>
      <c r="C230" s="7">
        <v>9</v>
      </c>
      <c r="D230" s="7">
        <v>9</v>
      </c>
      <c r="E230" s="7">
        <v>9</v>
      </c>
      <c r="F230" s="7">
        <v>11</v>
      </c>
      <c r="G230" s="7">
        <v>8</v>
      </c>
      <c r="H230" s="7">
        <f>MIN(C230:G230)</f>
        <v>8.0</v>
      </c>
      <c r="I230" s="6" t="s">
        <v>26</v>
      </c>
      <c r="J230" s="8">
        <f>IF($H230=0,"",(C230-$H230)/$H230)</f>
        <v>0.125</v>
      </c>
      <c r="K230" s="8">
        <f>IF($H230=0,"",(D230-$H230)/$H230)</f>
        <v>0.125</v>
      </c>
      <c r="L230" s="8">
        <f>IF($H230=0,"",(E230-$H230)/$H230)</f>
        <v>0.125</v>
      </c>
      <c r="M230" s="8">
        <f>IF($H230=0,"",(F230-$H230)/$H230)</f>
        <v>0.375</v>
      </c>
      <c r="N230" s="8">
        <f>IF($H230=0,"",(G230-$H230)/$H230)</f>
        <v>0.0</v>
      </c>
      <c r="O230" s="9">
        <f>IF(ABS(C230-$H230)&lt;=1E-9,1,0)</f>
        <v>0</v>
      </c>
      <c r="P230" s="9">
        <f>IF(ABS(D230-$H230)&lt;=1E-9,1,0)</f>
        <v>0</v>
      </c>
      <c r="Q230" s="9">
        <f>IF(ABS(E230-$H230)&lt;=1E-9,1,0)</f>
        <v>0</v>
      </c>
      <c r="R230" s="9">
        <f>IF(ABS(F230-$H230)&lt;=1E-9,1,0)</f>
        <v>0</v>
      </c>
      <c r="S230" s="9">
        <f>IF(ABS(G230-$H230)&lt;=1E-9,1,0)</f>
        <v>1</v>
      </c>
      <c r="T230" s="6" t="s">
        <v>26</v>
      </c>
    </row>
    <row r="231" spans="1:20">
      <c r="A231" s="6" t="s">
        <v>286</v>
      </c>
      <c r="B231" s="3">
        <v>25</v>
      </c>
      <c r="C231" s="7">
        <v>9</v>
      </c>
      <c r="D231" s="7">
        <v>9</v>
      </c>
      <c r="E231" s="7">
        <v>9</v>
      </c>
      <c r="F231" s="7">
        <v>9</v>
      </c>
      <c r="G231" s="7">
        <v>8</v>
      </c>
      <c r="H231" s="7">
        <f>MIN(C231:G231)</f>
        <v>8.0</v>
      </c>
      <c r="I231" s="6" t="s">
        <v>26</v>
      </c>
      <c r="J231" s="8">
        <f>IF($H231=0,"",(C231-$H231)/$H231)</f>
        <v>0.125</v>
      </c>
      <c r="K231" s="8">
        <f>IF($H231=0,"",(D231-$H231)/$H231)</f>
        <v>0.125</v>
      </c>
      <c r="L231" s="8">
        <f>IF($H231=0,"",(E231-$H231)/$H231)</f>
        <v>0.125</v>
      </c>
      <c r="M231" s="8">
        <f>IF($H231=0,"",(F231-$H231)/$H231)</f>
        <v>0.125</v>
      </c>
      <c r="N231" s="8">
        <f>IF($H231=0,"",(G231-$H231)/$H231)</f>
        <v>0.0</v>
      </c>
      <c r="O231" s="9">
        <f>IF(ABS(C231-$H231)&lt;=1E-9,1,0)</f>
        <v>0</v>
      </c>
      <c r="P231" s="9">
        <f>IF(ABS(D231-$H231)&lt;=1E-9,1,0)</f>
        <v>0</v>
      </c>
      <c r="Q231" s="9">
        <f>IF(ABS(E231-$H231)&lt;=1E-9,1,0)</f>
        <v>0</v>
      </c>
      <c r="R231" s="9">
        <f>IF(ABS(F231-$H231)&lt;=1E-9,1,0)</f>
        <v>0</v>
      </c>
      <c r="S231" s="9">
        <f>IF(ABS(G231-$H231)&lt;=1E-9,1,0)</f>
        <v>1</v>
      </c>
      <c r="T231" s="6" t="s">
        <v>26</v>
      </c>
    </row>
    <row r="232" spans="1:20">
      <c r="A232" s="6" t="s">
        <v>287</v>
      </c>
      <c r="B232" s="3">
        <v>25</v>
      </c>
      <c r="C232" s="7">
        <v>149</v>
      </c>
      <c r="D232" s="7">
        <v>149</v>
      </c>
      <c r="E232" s="7">
        <v>142</v>
      </c>
      <c r="F232" s="7">
        <v>150</v>
      </c>
      <c r="G232" s="7">
        <v>134</v>
      </c>
      <c r="H232" s="7">
        <f>MIN(C232:G232)</f>
        <v>134.0</v>
      </c>
      <c r="I232" s="6" t="s">
        <v>26</v>
      </c>
      <c r="J232" s="8">
        <f>IF($H232=0,"",(C232-$H232)/$H232)</f>
        <v>0.11194029850746269</v>
      </c>
      <c r="K232" s="8">
        <f>IF($H232=0,"",(D232-$H232)/$H232)</f>
        <v>0.11194029850746269</v>
      </c>
      <c r="L232" s="8">
        <f>IF($H232=0,"",(E232-$H232)/$H232)</f>
        <v>0.059701492537313425</v>
      </c>
      <c r="M232" s="8">
        <f>IF($H232=0,"",(F232-$H232)/$H232)</f>
        <v>0.11940298507462685</v>
      </c>
      <c r="N232" s="8">
        <f>IF($H232=0,"",(G232-$H232)/$H232)</f>
        <v>0.0</v>
      </c>
      <c r="O232" s="9">
        <f>IF(ABS(C232-$H232)&lt;=1E-9,1,0)</f>
        <v>0</v>
      </c>
      <c r="P232" s="9">
        <f>IF(ABS(D232-$H232)&lt;=1E-9,1,0)</f>
        <v>0</v>
      </c>
      <c r="Q232" s="9">
        <f>IF(ABS(E232-$H232)&lt;=1E-9,1,0)</f>
        <v>0</v>
      </c>
      <c r="R232" s="9">
        <f>IF(ABS(F232-$H232)&lt;=1E-9,1,0)</f>
        <v>0</v>
      </c>
      <c r="S232" s="9">
        <f>IF(ABS(G232-$H232)&lt;=1E-9,1,0)</f>
        <v>1</v>
      </c>
      <c r="T232" s="6" t="s">
        <v>26</v>
      </c>
    </row>
    <row r="233" spans="1:20">
      <c r="A233" s="6" t="s">
        <v>288</v>
      </c>
      <c r="B233" s="3">
        <v>25</v>
      </c>
      <c r="C233" s="7">
        <v>143</v>
      </c>
      <c r="D233" s="7">
        <v>143</v>
      </c>
      <c r="E233" s="7">
        <v>136</v>
      </c>
      <c r="F233" s="7">
        <v>133</v>
      </c>
      <c r="G233" s="7">
        <v>123</v>
      </c>
      <c r="H233" s="7">
        <f>MIN(C233:G233)</f>
        <v>123.0</v>
      </c>
      <c r="I233" s="6" t="s">
        <v>26</v>
      </c>
      <c r="J233" s="8">
        <f>IF($H233=0,"",(C233-$H233)/$H233)</f>
        <v>0.16260162601626013</v>
      </c>
      <c r="K233" s="8">
        <f>IF($H233=0,"",(D233-$H233)/$H233)</f>
        <v>0.16260162601626013</v>
      </c>
      <c r="L233" s="8">
        <f>IF($H233=0,"",(E233-$H233)/$H233)</f>
        <v>0.10569105691056911</v>
      </c>
      <c r="M233" s="8">
        <f>IF($H233=0,"",(F233-$H233)/$H233)</f>
        <v>0.08130081300813007</v>
      </c>
      <c r="N233" s="8">
        <f>IF($H233=0,"",(G233-$H233)/$H233)</f>
        <v>0.0</v>
      </c>
      <c r="O233" s="9">
        <f>IF(ABS(C233-$H233)&lt;=1E-9,1,0)</f>
        <v>0</v>
      </c>
      <c r="P233" s="9">
        <f>IF(ABS(D233-$H233)&lt;=1E-9,1,0)</f>
        <v>0</v>
      </c>
      <c r="Q233" s="9">
        <f>IF(ABS(E233-$H233)&lt;=1E-9,1,0)</f>
        <v>0</v>
      </c>
      <c r="R233" s="9">
        <f>IF(ABS(F233-$H233)&lt;=1E-9,1,0)</f>
        <v>0</v>
      </c>
      <c r="S233" s="9">
        <f>IF(ABS(G233-$H233)&lt;=1E-9,1,0)</f>
        <v>1</v>
      </c>
      <c r="T233" s="6" t="s">
        <v>26</v>
      </c>
    </row>
    <row r="234" spans="1:20">
      <c r="A234" s="6" t="s">
        <v>289</v>
      </c>
      <c r="B234" s="3">
        <v>25</v>
      </c>
      <c r="C234" s="7">
        <v>9</v>
      </c>
      <c r="D234" s="7">
        <v>8</v>
      </c>
      <c r="E234" s="7">
        <v>8</v>
      </c>
      <c r="F234" s="7">
        <v>9</v>
      </c>
      <c r="G234" s="7">
        <v>8</v>
      </c>
      <c r="H234" s="7">
        <f>MIN(C234:G234)</f>
        <v>8.0</v>
      </c>
      <c r="I234" s="6" t="s">
        <v>138</v>
      </c>
      <c r="J234" s="8">
        <f>IF($H234=0,"",(C234-$H234)/$H234)</f>
        <v>0.125</v>
      </c>
      <c r="K234" s="8">
        <f>IF($H234=0,"",(D234-$H234)/$H234)</f>
        <v>0.0</v>
      </c>
      <c r="L234" s="8">
        <f>IF($H234=0,"",(E234-$H234)/$H234)</f>
        <v>0.0</v>
      </c>
      <c r="M234" s="8">
        <f>IF($H234=0,"",(F234-$H234)/$H234)</f>
        <v>0.125</v>
      </c>
      <c r="N234" s="8">
        <f>IF($H234=0,"",(G234-$H234)/$H234)</f>
        <v>0.0</v>
      </c>
      <c r="O234" s="9">
        <f>IF(ABS(C234-$H234)&lt;=1E-9,1,0)</f>
        <v>0</v>
      </c>
      <c r="P234" s="9">
        <f>IF(ABS(D234-$H234)&lt;=1E-9,1,0)</f>
        <v>1</v>
      </c>
      <c r="Q234" s="9">
        <f>IF(ABS(E234-$H234)&lt;=1E-9,1,0)</f>
        <v>1</v>
      </c>
      <c r="R234" s="9">
        <f>IF(ABS(F234-$H234)&lt;=1E-9,1,0)</f>
        <v>0</v>
      </c>
      <c r="S234" s="9">
        <f>IF(ABS(G234-$H234)&lt;=1E-9,1,0)</f>
        <v>1</v>
      </c>
      <c r="T234" s="6" t="s">
        <v>51</v>
      </c>
    </row>
    <row r="235" spans="1:20">
      <c r="A235" s="6" t="s">
        <v>290</v>
      </c>
      <c r="B235" s="3">
        <v>25</v>
      </c>
      <c r="C235" s="7">
        <v>7</v>
      </c>
      <c r="D235" s="7">
        <v>7</v>
      </c>
      <c r="E235" s="7">
        <v>7</v>
      </c>
      <c r="F235" s="7">
        <v>9</v>
      </c>
      <c r="G235" s="7">
        <v>7</v>
      </c>
      <c r="H235" s="7">
        <f>MIN(C235:G235)</f>
        <v>7.0</v>
      </c>
      <c r="I235" s="6" t="s">
        <v>133</v>
      </c>
      <c r="J235" s="8">
        <f>IF($H235=0,"",(C235-$H235)/$H235)</f>
        <v>0.0</v>
      </c>
      <c r="K235" s="8">
        <f>IF($H235=0,"",(D235-$H235)/$H235)</f>
        <v>0.0</v>
      </c>
      <c r="L235" s="8">
        <f>IF($H235=0,"",(E235-$H235)/$H235)</f>
        <v>0.0</v>
      </c>
      <c r="M235" s="8">
        <f>IF($H235=0,"",(F235-$H235)/$H235)</f>
        <v>0.2857142857142857</v>
      </c>
      <c r="N235" s="8">
        <f>IF($H235=0,"",(G235-$H235)/$H235)</f>
        <v>0.0</v>
      </c>
      <c r="O235" s="9">
        <f>IF(ABS(C235-$H235)&lt;=1E-9,1,0)</f>
        <v>1</v>
      </c>
      <c r="P235" s="9">
        <f>IF(ABS(D235-$H235)&lt;=1E-9,1,0)</f>
        <v>1</v>
      </c>
      <c r="Q235" s="9">
        <f>IF(ABS(E235-$H235)&lt;=1E-9,1,0)</f>
        <v>1</v>
      </c>
      <c r="R235" s="9">
        <f>IF(ABS(F235-$H235)&lt;=1E-9,1,0)</f>
        <v>0</v>
      </c>
      <c r="S235" s="9">
        <f>IF(ABS(G235-$H235)&lt;=1E-9,1,0)</f>
        <v>1</v>
      </c>
      <c r="T235" s="6" t="s">
        <v>51</v>
      </c>
    </row>
    <row r="236" spans="1:20">
      <c r="A236" s="6" t="s">
        <v>291</v>
      </c>
      <c r="B236" s="3">
        <v>25</v>
      </c>
      <c r="C236" s="7">
        <v>147</v>
      </c>
      <c r="D236" s="7">
        <v>147</v>
      </c>
      <c r="E236" s="7">
        <v>141</v>
      </c>
      <c r="F236" s="7">
        <v>136</v>
      </c>
      <c r="G236" s="7">
        <v>112</v>
      </c>
      <c r="H236" s="7">
        <f>MIN(C236:G236)</f>
        <v>112.0</v>
      </c>
      <c r="I236" s="6" t="s">
        <v>26</v>
      </c>
      <c r="J236" s="8">
        <f>IF($H236=0,"",(C236-$H236)/$H236)</f>
        <v>0.3125</v>
      </c>
      <c r="K236" s="8">
        <f>IF($H236=0,"",(D236-$H236)/$H236)</f>
        <v>0.3125</v>
      </c>
      <c r="L236" s="8">
        <f>IF($H236=0,"",(E236-$H236)/$H236)</f>
        <v>0.25892857142857145</v>
      </c>
      <c r="M236" s="8">
        <f>IF($H236=0,"",(F236-$H236)/$H236)</f>
        <v>0.21428571428571427</v>
      </c>
      <c r="N236" s="8">
        <f>IF($H236=0,"",(G236-$H236)/$H236)</f>
        <v>0.0</v>
      </c>
      <c r="O236" s="9">
        <f>IF(ABS(C236-$H236)&lt;=1E-9,1,0)</f>
        <v>0</v>
      </c>
      <c r="P236" s="9">
        <f>IF(ABS(D236-$H236)&lt;=1E-9,1,0)</f>
        <v>0</v>
      </c>
      <c r="Q236" s="9">
        <f>IF(ABS(E236-$H236)&lt;=1E-9,1,0)</f>
        <v>0</v>
      </c>
      <c r="R236" s="9">
        <f>IF(ABS(F236-$H236)&lt;=1E-9,1,0)</f>
        <v>0</v>
      </c>
      <c r="S236" s="9">
        <f>IF(ABS(G236-$H236)&lt;=1E-9,1,0)</f>
        <v>1</v>
      </c>
      <c r="T236" s="6" t="s">
        <v>26</v>
      </c>
    </row>
    <row r="237" spans="1:20">
      <c r="A237" s="6" t="s">
        <v>292</v>
      </c>
      <c r="B237" s="3">
        <v>25</v>
      </c>
      <c r="C237" s="7">
        <v>140</v>
      </c>
      <c r="D237" s="7">
        <v>138</v>
      </c>
      <c r="E237" s="7">
        <v>136</v>
      </c>
      <c r="F237" s="7">
        <v>140</v>
      </c>
      <c r="G237" s="7">
        <v>120</v>
      </c>
      <c r="H237" s="7">
        <f>MIN(C237:G237)</f>
        <v>120.0</v>
      </c>
      <c r="I237" s="6" t="s">
        <v>26</v>
      </c>
      <c r="J237" s="8">
        <f>IF($H237=0,"",(C237-$H237)/$H237)</f>
        <v>0.16666666666666663</v>
      </c>
      <c r="K237" s="8">
        <f>IF($H237=0,"",(D237-$H237)/$H237)</f>
        <v>0.15</v>
      </c>
      <c r="L237" s="8">
        <f>IF($H237=0,"",(E237-$H237)/$H237)</f>
        <v>0.13333333333333333</v>
      </c>
      <c r="M237" s="8">
        <f>IF($H237=0,"",(F237-$H237)/$H237)</f>
        <v>0.16666666666666663</v>
      </c>
      <c r="N237" s="8">
        <f>IF($H237=0,"",(G237-$H237)/$H237)</f>
        <v>0.0</v>
      </c>
      <c r="O237" s="9">
        <f>IF(ABS(C237-$H237)&lt;=1E-9,1,0)</f>
        <v>0</v>
      </c>
      <c r="P237" s="9">
        <f>IF(ABS(D237-$H237)&lt;=1E-9,1,0)</f>
        <v>0</v>
      </c>
      <c r="Q237" s="9">
        <f>IF(ABS(E237-$H237)&lt;=1E-9,1,0)</f>
        <v>0</v>
      </c>
      <c r="R237" s="9">
        <f>IF(ABS(F237-$H237)&lt;=1E-9,1,0)</f>
        <v>0</v>
      </c>
      <c r="S237" s="9">
        <f>IF(ABS(G237-$H237)&lt;=1E-9,1,0)</f>
        <v>1</v>
      </c>
      <c r="T237" s="6" t="s">
        <v>26</v>
      </c>
    </row>
    <row r="238" spans="1:20">
      <c r="A238" s="6" t="s">
        <v>293</v>
      </c>
      <c r="B238" s="3">
        <v>25</v>
      </c>
      <c r="C238" s="7">
        <v>7</v>
      </c>
      <c r="D238" s="7">
        <v>7</v>
      </c>
      <c r="E238" s="7">
        <v>7</v>
      </c>
      <c r="F238" s="7">
        <v>8</v>
      </c>
      <c r="G238" s="7">
        <v>6</v>
      </c>
      <c r="H238" s="7">
        <f>MIN(C238:G238)</f>
        <v>6.0</v>
      </c>
      <c r="I238" s="6" t="s">
        <v>26</v>
      </c>
      <c r="J238" s="8">
        <f>IF($H238=0,"",(C238-$H238)/$H238)</f>
        <v>0.16666666666666663</v>
      </c>
      <c r="K238" s="8">
        <f>IF($H238=0,"",(D238-$H238)/$H238)</f>
        <v>0.16666666666666663</v>
      </c>
      <c r="L238" s="8">
        <f>IF($H238=0,"",(E238-$H238)/$H238)</f>
        <v>0.16666666666666663</v>
      </c>
      <c r="M238" s="8">
        <f>IF($H238=0,"",(F238-$H238)/$H238)</f>
        <v>0.33333333333333326</v>
      </c>
      <c r="N238" s="8">
        <f>IF($H238=0,"",(G238-$H238)/$H238)</f>
        <v>0.0</v>
      </c>
      <c r="O238" s="9">
        <f>IF(ABS(C238-$H238)&lt;=1E-9,1,0)</f>
        <v>0</v>
      </c>
      <c r="P238" s="9">
        <f>IF(ABS(D238-$H238)&lt;=1E-9,1,0)</f>
        <v>0</v>
      </c>
      <c r="Q238" s="9">
        <f>IF(ABS(E238-$H238)&lt;=1E-9,1,0)</f>
        <v>0</v>
      </c>
      <c r="R238" s="9">
        <f>IF(ABS(F238-$H238)&lt;=1E-9,1,0)</f>
        <v>0</v>
      </c>
      <c r="S238" s="9">
        <f>IF(ABS(G238-$H238)&lt;=1E-9,1,0)</f>
        <v>1</v>
      </c>
      <c r="T238" s="6" t="s">
        <v>26</v>
      </c>
    </row>
    <row r="239" spans="1:20">
      <c r="A239" s="6" t="s">
        <v>294</v>
      </c>
      <c r="B239" s="3">
        <v>25</v>
      </c>
      <c r="C239" s="7">
        <v>7</v>
      </c>
      <c r="D239" s="7">
        <v>7</v>
      </c>
      <c r="E239" s="7">
        <v>7</v>
      </c>
      <c r="F239" s="7">
        <v>10</v>
      </c>
      <c r="G239" s="7">
        <v>7</v>
      </c>
      <c r="H239" s="7">
        <f>MIN(C239:G239)</f>
        <v>7.0</v>
      </c>
      <c r="I239" s="6" t="s">
        <v>133</v>
      </c>
      <c r="J239" s="8">
        <f>IF($H239=0,"",(C239-$H239)/$H239)</f>
        <v>0.0</v>
      </c>
      <c r="K239" s="8">
        <f>IF($H239=0,"",(D239-$H239)/$H239)</f>
        <v>0.0</v>
      </c>
      <c r="L239" s="8">
        <f>IF($H239=0,"",(E239-$H239)/$H239)</f>
        <v>0.0</v>
      </c>
      <c r="M239" s="8">
        <f>IF($H239=0,"",(F239-$H239)/$H239)</f>
        <v>0.42857142857142855</v>
      </c>
      <c r="N239" s="8">
        <f>IF($H239=0,"",(G239-$H239)/$H239)</f>
        <v>0.0</v>
      </c>
      <c r="O239" s="9">
        <f>IF(ABS(C239-$H239)&lt;=1E-9,1,0)</f>
        <v>1</v>
      </c>
      <c r="P239" s="9">
        <f>IF(ABS(D239-$H239)&lt;=1E-9,1,0)</f>
        <v>1</v>
      </c>
      <c r="Q239" s="9">
        <f>IF(ABS(E239-$H239)&lt;=1E-9,1,0)</f>
        <v>1</v>
      </c>
      <c r="R239" s="9">
        <f>IF(ABS(F239-$H239)&lt;=1E-9,1,0)</f>
        <v>0</v>
      </c>
      <c r="S239" s="9">
        <f>IF(ABS(G239-$H239)&lt;=1E-9,1,0)</f>
        <v>1</v>
      </c>
      <c r="T239" s="6" t="s">
        <v>51</v>
      </c>
    </row>
    <row r="240" spans="1:20">
      <c r="A240" s="6" t="s">
        <v>295</v>
      </c>
      <c r="B240" s="3">
        <v>25</v>
      </c>
      <c r="C240" s="7">
        <v>124</v>
      </c>
      <c r="D240" s="7">
        <v>132</v>
      </c>
      <c r="E240" s="7">
        <v>134</v>
      </c>
      <c r="F240" s="7">
        <v>135</v>
      </c>
      <c r="G240" s="7">
        <v>124</v>
      </c>
      <c r="H240" s="7">
        <f>MIN(C240:G240)</f>
        <v>124.0</v>
      </c>
      <c r="I240" s="6" t="s">
        <v>119</v>
      </c>
      <c r="J240" s="8">
        <f>IF($H240=0,"",(C240-$H240)/$H240)</f>
        <v>0.0</v>
      </c>
      <c r="K240" s="8">
        <f>IF($H240=0,"",(D240-$H240)/$H240)</f>
        <v>0.06451612903225806</v>
      </c>
      <c r="L240" s="8">
        <f>IF($H240=0,"",(E240-$H240)/$H240)</f>
        <v>0.08064516129032258</v>
      </c>
      <c r="M240" s="8">
        <f>IF($H240=0,"",(F240-$H240)/$H240)</f>
        <v>0.08870967741935484</v>
      </c>
      <c r="N240" s="8">
        <f>IF($H240=0,"",(G240-$H240)/$H240)</f>
        <v>0.0</v>
      </c>
      <c r="O240" s="9">
        <f>IF(ABS(C240-$H240)&lt;=1E-9,1,0)</f>
        <v>1</v>
      </c>
      <c r="P240" s="9">
        <f>IF(ABS(D240-$H240)&lt;=1E-9,1,0)</f>
        <v>0</v>
      </c>
      <c r="Q240" s="9">
        <f>IF(ABS(E240-$H240)&lt;=1E-9,1,0)</f>
        <v>0</v>
      </c>
      <c r="R240" s="9">
        <f>IF(ABS(F240-$H240)&lt;=1E-9,1,0)</f>
        <v>0</v>
      </c>
      <c r="S240" s="9">
        <f>IF(ABS(G240-$H240)&lt;=1E-9,1,0)</f>
        <v>1</v>
      </c>
      <c r="T240" s="6" t="s">
        <v>51</v>
      </c>
    </row>
    <row r="241" spans="1:20">
      <c r="A241" s="6" t="s">
        <v>296</v>
      </c>
      <c r="B241" s="3">
        <v>25</v>
      </c>
      <c r="C241" s="7">
        <v>150</v>
      </c>
      <c r="D241" s="7">
        <v>150</v>
      </c>
      <c r="E241" s="7">
        <v>150</v>
      </c>
      <c r="F241" s="7">
        <v>145</v>
      </c>
      <c r="G241" s="7">
        <v>145</v>
      </c>
      <c r="H241" s="7">
        <f>MIN(C241:G241)</f>
        <v>145.0</v>
      </c>
      <c r="I241" s="6" t="s">
        <v>50</v>
      </c>
      <c r="J241" s="8">
        <f>IF($H241=0,"",(C241-$H241)/$H241)</f>
        <v>0.034482758620689655</v>
      </c>
      <c r="K241" s="8">
        <f>IF($H241=0,"",(D241-$H241)/$H241)</f>
        <v>0.034482758620689655</v>
      </c>
      <c r="L241" s="8">
        <f>IF($H241=0,"",(E241-$H241)/$H241)</f>
        <v>0.034482758620689655</v>
      </c>
      <c r="M241" s="8">
        <f>IF($H241=0,"",(F241-$H241)/$H241)</f>
        <v>0.0</v>
      </c>
      <c r="N241" s="8">
        <f>IF($H241=0,"",(G241-$H241)/$H241)</f>
        <v>0.0</v>
      </c>
      <c r="O241" s="9">
        <f>IF(ABS(C241-$H241)&lt;=1E-9,1,0)</f>
        <v>0</v>
      </c>
      <c r="P241" s="9">
        <f>IF(ABS(D241-$H241)&lt;=1E-9,1,0)</f>
        <v>0</v>
      </c>
      <c r="Q241" s="9">
        <f>IF(ABS(E241-$H241)&lt;=1E-9,1,0)</f>
        <v>0</v>
      </c>
      <c r="R241" s="9">
        <f>IF(ABS(F241-$H241)&lt;=1E-9,1,0)</f>
        <v>1</v>
      </c>
      <c r="S241" s="9">
        <f>IF(ABS(G241-$H241)&lt;=1E-9,1,0)</f>
        <v>1</v>
      </c>
      <c r="T241" s="6" t="s">
        <v>51</v>
      </c>
    </row>
    <row r="242" spans="1:20">
      <c r="A242" s="6" t="s">
        <v>297</v>
      </c>
      <c r="B242" s="3">
        <v>25</v>
      </c>
      <c r="C242" s="7">
        <v>10</v>
      </c>
      <c r="D242" s="7">
        <v>10</v>
      </c>
      <c r="E242" s="7">
        <v>10</v>
      </c>
      <c r="F242" s="7">
        <v>10</v>
      </c>
      <c r="G242" s="7">
        <v>9</v>
      </c>
      <c r="H242" s="7">
        <f>MIN(C242:G242)</f>
        <v>9.0</v>
      </c>
      <c r="I242" s="6" t="s">
        <v>26</v>
      </c>
      <c r="J242" s="8">
        <f>IF($H242=0,"",(C242-$H242)/$H242)</f>
        <v>0.1111111111111111</v>
      </c>
      <c r="K242" s="8">
        <f>IF($H242=0,"",(D242-$H242)/$H242)</f>
        <v>0.1111111111111111</v>
      </c>
      <c r="L242" s="8">
        <f>IF($H242=0,"",(E242-$H242)/$H242)</f>
        <v>0.1111111111111111</v>
      </c>
      <c r="M242" s="8">
        <f>IF($H242=0,"",(F242-$H242)/$H242)</f>
        <v>0.1111111111111111</v>
      </c>
      <c r="N242" s="8">
        <f>IF($H242=0,"",(G242-$H242)/$H242)</f>
        <v>0.0</v>
      </c>
      <c r="O242" s="9">
        <f>IF(ABS(C242-$H242)&lt;=1E-9,1,0)</f>
        <v>0</v>
      </c>
      <c r="P242" s="9">
        <f>IF(ABS(D242-$H242)&lt;=1E-9,1,0)</f>
        <v>0</v>
      </c>
      <c r="Q242" s="9">
        <f>IF(ABS(E242-$H242)&lt;=1E-9,1,0)</f>
        <v>0</v>
      </c>
      <c r="R242" s="9">
        <f>IF(ABS(F242-$H242)&lt;=1E-9,1,0)</f>
        <v>0</v>
      </c>
      <c r="S242" s="9">
        <f>IF(ABS(G242-$H242)&lt;=1E-9,1,0)</f>
        <v>1</v>
      </c>
      <c r="T242" s="6" t="s">
        <v>26</v>
      </c>
    </row>
    <row r="243" spans="1:20">
      <c r="A243" s="6" t="s">
        <v>298</v>
      </c>
      <c r="B243" s="3">
        <v>25</v>
      </c>
      <c r="C243" s="7">
        <v>9</v>
      </c>
      <c r="D243" s="7">
        <v>9</v>
      </c>
      <c r="E243" s="7">
        <v>10</v>
      </c>
      <c r="F243" s="7">
        <v>11</v>
      </c>
      <c r="G243" s="7">
        <v>9</v>
      </c>
      <c r="H243" s="7">
        <f>MIN(C243:G243)</f>
        <v>9.0</v>
      </c>
      <c r="I243" s="6" t="s">
        <v>65</v>
      </c>
      <c r="J243" s="8">
        <f>IF($H243=0,"",(C243-$H243)/$H243)</f>
        <v>0.0</v>
      </c>
      <c r="K243" s="8">
        <f>IF($H243=0,"",(D243-$H243)/$H243)</f>
        <v>0.0</v>
      </c>
      <c r="L243" s="8">
        <f>IF($H243=0,"",(E243-$H243)/$H243)</f>
        <v>0.1111111111111111</v>
      </c>
      <c r="M243" s="8">
        <f>IF($H243=0,"",(F243-$H243)/$H243)</f>
        <v>0.2222222222222222</v>
      </c>
      <c r="N243" s="8">
        <f>IF($H243=0,"",(G243-$H243)/$H243)</f>
        <v>0.0</v>
      </c>
      <c r="O243" s="9">
        <f>IF(ABS(C243-$H243)&lt;=1E-9,1,0)</f>
        <v>1</v>
      </c>
      <c r="P243" s="9">
        <f>IF(ABS(D243-$H243)&lt;=1E-9,1,0)</f>
        <v>1</v>
      </c>
      <c r="Q243" s="9">
        <f>IF(ABS(E243-$H243)&lt;=1E-9,1,0)</f>
        <v>0</v>
      </c>
      <c r="R243" s="9">
        <f>IF(ABS(F243-$H243)&lt;=1E-9,1,0)</f>
        <v>0</v>
      </c>
      <c r="S243" s="9">
        <f>IF(ABS(G243-$H243)&lt;=1E-9,1,0)</f>
        <v>1</v>
      </c>
      <c r="T243" s="6" t="s">
        <v>51</v>
      </c>
    </row>
    <row r="244" spans="1:20">
      <c r="A244" s="6" t="s">
        <v>299</v>
      </c>
      <c r="B244" s="3">
        <v>25</v>
      </c>
      <c r="C244" s="7">
        <v>153</v>
      </c>
      <c r="D244" s="7">
        <v>158</v>
      </c>
      <c r="E244" s="7">
        <v>146</v>
      </c>
      <c r="F244" s="7">
        <v>144</v>
      </c>
      <c r="G244" s="7">
        <v>134</v>
      </c>
      <c r="H244" s="7">
        <f>MIN(C244:G244)</f>
        <v>134.0</v>
      </c>
      <c r="I244" s="6" t="s">
        <v>26</v>
      </c>
      <c r="J244" s="8">
        <f>IF($H244=0,"",(C244-$H244)/$H244)</f>
        <v>0.1417910447761194</v>
      </c>
      <c r="K244" s="8">
        <f>IF($H244=0,"",(D244-$H244)/$H244)</f>
        <v>0.1791044776119403</v>
      </c>
      <c r="L244" s="8">
        <f>IF($H244=0,"",(E244-$H244)/$H244)</f>
        <v>0.08955223880597014</v>
      </c>
      <c r="M244" s="8">
        <f>IF($H244=0,"",(F244-$H244)/$H244)</f>
        <v>0.07462686567164178</v>
      </c>
      <c r="N244" s="8">
        <f>IF($H244=0,"",(G244-$H244)/$H244)</f>
        <v>0.0</v>
      </c>
      <c r="O244" s="9">
        <f>IF(ABS(C244-$H244)&lt;=1E-9,1,0)</f>
        <v>0</v>
      </c>
      <c r="P244" s="9">
        <f>IF(ABS(D244-$H244)&lt;=1E-9,1,0)</f>
        <v>0</v>
      </c>
      <c r="Q244" s="9">
        <f>IF(ABS(E244-$H244)&lt;=1E-9,1,0)</f>
        <v>0</v>
      </c>
      <c r="R244" s="9">
        <f>IF(ABS(F244-$H244)&lt;=1E-9,1,0)</f>
        <v>0</v>
      </c>
      <c r="S244" s="9">
        <f>IF(ABS(G244-$H244)&lt;=1E-9,1,0)</f>
        <v>1</v>
      </c>
      <c r="T244" s="6" t="s">
        <v>26</v>
      </c>
    </row>
    <row r="245" spans="1:20">
      <c r="A245" s="6" t="s">
        <v>300</v>
      </c>
      <c r="B245" s="3">
        <v>25</v>
      </c>
      <c r="C245" s="7">
        <v>135</v>
      </c>
      <c r="D245" s="7">
        <v>135</v>
      </c>
      <c r="E245" s="7">
        <v>140</v>
      </c>
      <c r="F245" s="7">
        <v>134</v>
      </c>
      <c r="G245" s="7">
        <v>120</v>
      </c>
      <c r="H245" s="7">
        <f>MIN(C245:G245)</f>
        <v>120.0</v>
      </c>
      <c r="I245" s="6" t="s">
        <v>26</v>
      </c>
      <c r="J245" s="8">
        <f>IF($H245=0,"",(C245-$H245)/$H245)</f>
        <v>0.125</v>
      </c>
      <c r="K245" s="8">
        <f>IF($H245=0,"",(D245-$H245)/$H245)</f>
        <v>0.125</v>
      </c>
      <c r="L245" s="8">
        <f>IF($H245=0,"",(E245-$H245)/$H245)</f>
        <v>0.16666666666666663</v>
      </c>
      <c r="M245" s="8">
        <f>IF($H245=0,"",(F245-$H245)/$H245)</f>
        <v>0.11666666666666665</v>
      </c>
      <c r="N245" s="8">
        <f>IF($H245=0,"",(G245-$H245)/$H245)</f>
        <v>0.0</v>
      </c>
      <c r="O245" s="9">
        <f>IF(ABS(C245-$H245)&lt;=1E-9,1,0)</f>
        <v>0</v>
      </c>
      <c r="P245" s="9">
        <f>IF(ABS(D245-$H245)&lt;=1E-9,1,0)</f>
        <v>0</v>
      </c>
      <c r="Q245" s="9">
        <f>IF(ABS(E245-$H245)&lt;=1E-9,1,0)</f>
        <v>0</v>
      </c>
      <c r="R245" s="9">
        <f>IF(ABS(F245-$H245)&lt;=1E-9,1,0)</f>
        <v>0</v>
      </c>
      <c r="S245" s="9">
        <f>IF(ABS(G245-$H245)&lt;=1E-9,1,0)</f>
        <v>1</v>
      </c>
      <c r="T245" s="6" t="s">
        <v>26</v>
      </c>
    </row>
    <row r="246" spans="1:20">
      <c r="A246" s="6" t="s">
        <v>301</v>
      </c>
      <c r="B246" s="3">
        <v>25</v>
      </c>
      <c r="C246" s="7">
        <v>8</v>
      </c>
      <c r="D246" s="7">
        <v>8</v>
      </c>
      <c r="E246" s="7">
        <v>9</v>
      </c>
      <c r="F246" s="7">
        <v>9</v>
      </c>
      <c r="G246" s="7">
        <v>8</v>
      </c>
      <c r="H246" s="7">
        <f>MIN(C246:G246)</f>
        <v>8.0</v>
      </c>
      <c r="I246" s="6" t="s">
        <v>65</v>
      </c>
      <c r="J246" s="8">
        <f>IF($H246=0,"",(C246-$H246)/$H246)</f>
        <v>0.0</v>
      </c>
      <c r="K246" s="8">
        <f>IF($H246=0,"",(D246-$H246)/$H246)</f>
        <v>0.0</v>
      </c>
      <c r="L246" s="8">
        <f>IF($H246=0,"",(E246-$H246)/$H246)</f>
        <v>0.125</v>
      </c>
      <c r="M246" s="8">
        <f>IF($H246=0,"",(F246-$H246)/$H246)</f>
        <v>0.125</v>
      </c>
      <c r="N246" s="8">
        <f>IF($H246=0,"",(G246-$H246)/$H246)</f>
        <v>0.0</v>
      </c>
      <c r="O246" s="9">
        <f>IF(ABS(C246-$H246)&lt;=1E-9,1,0)</f>
        <v>1</v>
      </c>
      <c r="P246" s="9">
        <f>IF(ABS(D246-$H246)&lt;=1E-9,1,0)</f>
        <v>1</v>
      </c>
      <c r="Q246" s="9">
        <f>IF(ABS(E246-$H246)&lt;=1E-9,1,0)</f>
        <v>0</v>
      </c>
      <c r="R246" s="9">
        <f>IF(ABS(F246-$H246)&lt;=1E-9,1,0)</f>
        <v>0</v>
      </c>
      <c r="S246" s="9">
        <f>IF(ABS(G246-$H246)&lt;=1E-9,1,0)</f>
        <v>1</v>
      </c>
      <c r="T246" s="6" t="s">
        <v>51</v>
      </c>
    </row>
    <row r="247" spans="1:20">
      <c r="A247" s="6" t="s">
        <v>302</v>
      </c>
      <c r="B247" s="3">
        <v>25</v>
      </c>
      <c r="C247" s="7">
        <v>8</v>
      </c>
      <c r="D247" s="7">
        <v>8</v>
      </c>
      <c r="E247" s="7">
        <v>8</v>
      </c>
      <c r="F247" s="7">
        <v>9</v>
      </c>
      <c r="G247" s="7">
        <v>8</v>
      </c>
      <c r="H247" s="7">
        <f>MIN(C247:G247)</f>
        <v>8.0</v>
      </c>
      <c r="I247" s="6" t="s">
        <v>133</v>
      </c>
      <c r="J247" s="8">
        <f>IF($H247=0,"",(C247-$H247)/$H247)</f>
        <v>0.0</v>
      </c>
      <c r="K247" s="8">
        <f>IF($H247=0,"",(D247-$H247)/$H247)</f>
        <v>0.0</v>
      </c>
      <c r="L247" s="8">
        <f>IF($H247=0,"",(E247-$H247)/$H247)</f>
        <v>0.0</v>
      </c>
      <c r="M247" s="8">
        <f>IF($H247=0,"",(F247-$H247)/$H247)</f>
        <v>0.125</v>
      </c>
      <c r="N247" s="8">
        <f>IF($H247=0,"",(G247-$H247)/$H247)</f>
        <v>0.0</v>
      </c>
      <c r="O247" s="9">
        <f>IF(ABS(C247-$H247)&lt;=1E-9,1,0)</f>
        <v>1</v>
      </c>
      <c r="P247" s="9">
        <f>IF(ABS(D247-$H247)&lt;=1E-9,1,0)</f>
        <v>1</v>
      </c>
      <c r="Q247" s="9">
        <f>IF(ABS(E247-$H247)&lt;=1E-9,1,0)</f>
        <v>1</v>
      </c>
      <c r="R247" s="9">
        <f>IF(ABS(F247-$H247)&lt;=1E-9,1,0)</f>
        <v>0</v>
      </c>
      <c r="S247" s="9">
        <f>IF(ABS(G247-$H247)&lt;=1E-9,1,0)</f>
        <v>1</v>
      </c>
      <c r="T247" s="6" t="s">
        <v>51</v>
      </c>
    </row>
    <row r="248" spans="1:20">
      <c r="A248" s="6" t="s">
        <v>303</v>
      </c>
      <c r="B248" s="3">
        <v>25</v>
      </c>
      <c r="C248" s="7">
        <v>153</v>
      </c>
      <c r="D248" s="7">
        <v>144</v>
      </c>
      <c r="E248" s="7">
        <v>149</v>
      </c>
      <c r="F248" s="7">
        <v>133</v>
      </c>
      <c r="G248" s="7">
        <v>127</v>
      </c>
      <c r="H248" s="7">
        <f>MIN(C248:G248)</f>
        <v>127.0</v>
      </c>
      <c r="I248" s="6" t="s">
        <v>26</v>
      </c>
      <c r="J248" s="8">
        <f>IF($H248=0,"",(C248-$H248)/$H248)</f>
        <v>0.2047244094488189</v>
      </c>
      <c r="K248" s="8">
        <f>IF($H248=0,"",(D248-$H248)/$H248)</f>
        <v>0.13385826771653545</v>
      </c>
      <c r="L248" s="8">
        <f>IF($H248=0,"",(E248-$H248)/$H248)</f>
        <v>0.17322834645669294</v>
      </c>
      <c r="M248" s="8">
        <f>IF($H248=0,"",(F248-$H248)/$H248)</f>
        <v>0.047244094488188976</v>
      </c>
      <c r="N248" s="8">
        <f>IF($H248=0,"",(G248-$H248)/$H248)</f>
        <v>0.0</v>
      </c>
      <c r="O248" s="9">
        <f>IF(ABS(C248-$H248)&lt;=1E-9,1,0)</f>
        <v>0</v>
      </c>
      <c r="P248" s="9">
        <f>IF(ABS(D248-$H248)&lt;=1E-9,1,0)</f>
        <v>0</v>
      </c>
      <c r="Q248" s="9">
        <f>IF(ABS(E248-$H248)&lt;=1E-9,1,0)</f>
        <v>0</v>
      </c>
      <c r="R248" s="9">
        <f>IF(ABS(F248-$H248)&lt;=1E-9,1,0)</f>
        <v>0</v>
      </c>
      <c r="S248" s="9">
        <f>IF(ABS(G248-$H248)&lt;=1E-9,1,0)</f>
        <v>1</v>
      </c>
      <c r="T248" s="6" t="s">
        <v>26</v>
      </c>
    </row>
    <row r="249" spans="1:20">
      <c r="A249" s="6" t="s">
        <v>304</v>
      </c>
      <c r="B249" s="3">
        <v>25</v>
      </c>
      <c r="C249" s="7">
        <v>109</v>
      </c>
      <c r="D249" s="7">
        <v>109</v>
      </c>
      <c r="E249" s="7">
        <v>117</v>
      </c>
      <c r="F249" s="7">
        <v>114</v>
      </c>
      <c r="G249" s="7">
        <v>106</v>
      </c>
      <c r="H249" s="7">
        <f>MIN(C249:G249)</f>
        <v>106.0</v>
      </c>
      <c r="I249" s="6" t="s">
        <v>26</v>
      </c>
      <c r="J249" s="8">
        <f>IF($H249=0,"",(C249-$H249)/$H249)</f>
        <v>0.028301886792452834</v>
      </c>
      <c r="K249" s="8">
        <f>IF($H249=0,"",(D249-$H249)/$H249)</f>
        <v>0.028301886792452834</v>
      </c>
      <c r="L249" s="8">
        <f>IF($H249=0,"",(E249-$H249)/$H249)</f>
        <v>0.10377358490566038</v>
      </c>
      <c r="M249" s="8">
        <f>IF($H249=0,"",(F249-$H249)/$H249)</f>
        <v>0.07547169811320754</v>
      </c>
      <c r="N249" s="8">
        <f>IF($H249=0,"",(G249-$H249)/$H249)</f>
        <v>0.0</v>
      </c>
      <c r="O249" s="9">
        <f>IF(ABS(C249-$H249)&lt;=1E-9,1,0)</f>
        <v>0</v>
      </c>
      <c r="P249" s="9">
        <f>IF(ABS(D249-$H249)&lt;=1E-9,1,0)</f>
        <v>0</v>
      </c>
      <c r="Q249" s="9">
        <f>IF(ABS(E249-$H249)&lt;=1E-9,1,0)</f>
        <v>0</v>
      </c>
      <c r="R249" s="9">
        <f>IF(ABS(F249-$H249)&lt;=1E-9,1,0)</f>
        <v>0</v>
      </c>
      <c r="S249" s="9">
        <f>IF(ABS(G249-$H249)&lt;=1E-9,1,0)</f>
        <v>1</v>
      </c>
      <c r="T249" s="6" t="s">
        <v>26</v>
      </c>
    </row>
    <row r="250" spans="1:20">
      <c r="A250" s="6" t="s">
        <v>305</v>
      </c>
      <c r="B250" s="3">
        <v>25</v>
      </c>
      <c r="C250" s="7">
        <v>7</v>
      </c>
      <c r="D250" s="7">
        <v>7</v>
      </c>
      <c r="E250" s="7">
        <v>7</v>
      </c>
      <c r="F250" s="7">
        <v>9</v>
      </c>
      <c r="G250" s="7">
        <v>7</v>
      </c>
      <c r="H250" s="7">
        <f>MIN(C250:G250)</f>
        <v>7.0</v>
      </c>
      <c r="I250" s="6" t="s">
        <v>133</v>
      </c>
      <c r="J250" s="8">
        <f>IF($H250=0,"",(C250-$H250)/$H250)</f>
        <v>0.0</v>
      </c>
      <c r="K250" s="8">
        <f>IF($H250=0,"",(D250-$H250)/$H250)</f>
        <v>0.0</v>
      </c>
      <c r="L250" s="8">
        <f>IF($H250=0,"",(E250-$H250)/$H250)</f>
        <v>0.0</v>
      </c>
      <c r="M250" s="8">
        <f>IF($H250=0,"",(F250-$H250)/$H250)</f>
        <v>0.2857142857142857</v>
      </c>
      <c r="N250" s="8">
        <f>IF($H250=0,"",(G250-$H250)/$H250)</f>
        <v>0.0</v>
      </c>
      <c r="O250" s="9">
        <f>IF(ABS(C250-$H250)&lt;=1E-9,1,0)</f>
        <v>1</v>
      </c>
      <c r="P250" s="9">
        <f>IF(ABS(D250-$H250)&lt;=1E-9,1,0)</f>
        <v>1</v>
      </c>
      <c r="Q250" s="9">
        <f>IF(ABS(E250-$H250)&lt;=1E-9,1,0)</f>
        <v>1</v>
      </c>
      <c r="R250" s="9">
        <f>IF(ABS(F250-$H250)&lt;=1E-9,1,0)</f>
        <v>0</v>
      </c>
      <c r="S250" s="9">
        <f>IF(ABS(G250-$H250)&lt;=1E-9,1,0)</f>
        <v>1</v>
      </c>
      <c r="T250" s="6" t="s">
        <v>51</v>
      </c>
    </row>
    <row r="251" spans="1:20">
      <c r="A251" s="6" t="s">
        <v>306</v>
      </c>
      <c r="B251" s="3">
        <v>25</v>
      </c>
      <c r="C251" s="7">
        <v>7</v>
      </c>
      <c r="D251" s="7">
        <v>7</v>
      </c>
      <c r="E251" s="7">
        <v>7</v>
      </c>
      <c r="F251" s="7">
        <v>8</v>
      </c>
      <c r="G251" s="7">
        <v>6</v>
      </c>
      <c r="H251" s="7">
        <f>MIN(C251:G251)</f>
        <v>6.0</v>
      </c>
      <c r="I251" s="6" t="s">
        <v>26</v>
      </c>
      <c r="J251" s="8">
        <f>IF($H251=0,"",(C251-$H251)/$H251)</f>
        <v>0.16666666666666663</v>
      </c>
      <c r="K251" s="8">
        <f>IF($H251=0,"",(D251-$H251)/$H251)</f>
        <v>0.16666666666666663</v>
      </c>
      <c r="L251" s="8">
        <f>IF($H251=0,"",(E251-$H251)/$H251)</f>
        <v>0.16666666666666663</v>
      </c>
      <c r="M251" s="8">
        <f>IF($H251=0,"",(F251-$H251)/$H251)</f>
        <v>0.33333333333333326</v>
      </c>
      <c r="N251" s="8">
        <f>IF($H251=0,"",(G251-$H251)/$H251)</f>
        <v>0.0</v>
      </c>
      <c r="O251" s="9">
        <f>IF(ABS(C251-$H251)&lt;=1E-9,1,0)</f>
        <v>0</v>
      </c>
      <c r="P251" s="9">
        <f>IF(ABS(D251-$H251)&lt;=1E-9,1,0)</f>
        <v>0</v>
      </c>
      <c r="Q251" s="9">
        <f>IF(ABS(E251-$H251)&lt;=1E-9,1,0)</f>
        <v>0</v>
      </c>
      <c r="R251" s="9">
        <f>IF(ABS(F251-$H251)&lt;=1E-9,1,0)</f>
        <v>0</v>
      </c>
      <c r="S251" s="9">
        <f>IF(ABS(G251-$H251)&lt;=1E-9,1,0)</f>
        <v>1</v>
      </c>
      <c r="T251" s="6" t="s">
        <v>26</v>
      </c>
    </row>
    <row r="252" spans="1:20">
      <c r="A252" s="6" t="s">
        <v>307</v>
      </c>
      <c r="B252" s="3">
        <v>25</v>
      </c>
      <c r="C252" s="7">
        <v>134</v>
      </c>
      <c r="D252" s="7">
        <v>140</v>
      </c>
      <c r="E252" s="7">
        <v>130</v>
      </c>
      <c r="F252" s="7">
        <v>128</v>
      </c>
      <c r="G252" s="7">
        <v>118</v>
      </c>
      <c r="H252" s="7">
        <f>MIN(C252:G252)</f>
        <v>118.0</v>
      </c>
      <c r="I252" s="6" t="s">
        <v>26</v>
      </c>
      <c r="J252" s="8">
        <f>IF($H252=0,"",(C252-$H252)/$H252)</f>
        <v>0.13559322033898305</v>
      </c>
      <c r="K252" s="8">
        <f>IF($H252=0,"",(D252-$H252)/$H252)</f>
        <v>0.1864406779661017</v>
      </c>
      <c r="L252" s="8">
        <f>IF($H252=0,"",(E252-$H252)/$H252)</f>
        <v>0.1016949152542373</v>
      </c>
      <c r="M252" s="8">
        <f>IF($H252=0,"",(F252-$H252)/$H252)</f>
        <v>0.08474576271186439</v>
      </c>
      <c r="N252" s="8">
        <f>IF($H252=0,"",(G252-$H252)/$H252)</f>
        <v>0.0</v>
      </c>
      <c r="O252" s="9">
        <f>IF(ABS(C252-$H252)&lt;=1E-9,1,0)</f>
        <v>0</v>
      </c>
      <c r="P252" s="9">
        <f>IF(ABS(D252-$H252)&lt;=1E-9,1,0)</f>
        <v>0</v>
      </c>
      <c r="Q252" s="9">
        <f>IF(ABS(E252-$H252)&lt;=1E-9,1,0)</f>
        <v>0</v>
      </c>
      <c r="R252" s="9">
        <f>IF(ABS(F252-$H252)&lt;=1E-9,1,0)</f>
        <v>0</v>
      </c>
      <c r="S252" s="9">
        <f>IF(ABS(G252-$H252)&lt;=1E-9,1,0)</f>
        <v>1</v>
      </c>
      <c r="T252" s="6" t="s">
        <v>26</v>
      </c>
    </row>
    <row r="253" spans="1:20">
      <c r="A253" s="6" t="s">
        <v>308</v>
      </c>
      <c r="B253" s="3">
        <v>25</v>
      </c>
      <c r="C253" s="7">
        <v>128</v>
      </c>
      <c r="D253" s="7">
        <v>121</v>
      </c>
      <c r="E253" s="7">
        <v>116</v>
      </c>
      <c r="F253" s="7">
        <v>124</v>
      </c>
      <c r="G253" s="7">
        <v>100</v>
      </c>
      <c r="H253" s="7">
        <f>MIN(C253:G253)</f>
        <v>100.0</v>
      </c>
      <c r="I253" s="6" t="s">
        <v>26</v>
      </c>
      <c r="J253" s="8">
        <f>IF($H253=0,"",(C253-$H253)/$H253)</f>
        <v>0.28</v>
      </c>
      <c r="K253" s="8">
        <f>IF($H253=0,"",(D253-$H253)/$H253)</f>
        <v>0.21</v>
      </c>
      <c r="L253" s="8">
        <f>IF($H253=0,"",(E253-$H253)/$H253)</f>
        <v>0.16</v>
      </c>
      <c r="M253" s="8">
        <f>IF($H253=0,"",(F253-$H253)/$H253)</f>
        <v>0.24</v>
      </c>
      <c r="N253" s="8">
        <f>IF($H253=0,"",(G253-$H253)/$H253)</f>
        <v>0.0</v>
      </c>
      <c r="O253" s="9">
        <f>IF(ABS(C253-$H253)&lt;=1E-9,1,0)</f>
        <v>0</v>
      </c>
      <c r="P253" s="9">
        <f>IF(ABS(D253-$H253)&lt;=1E-9,1,0)</f>
        <v>0</v>
      </c>
      <c r="Q253" s="9">
        <f>IF(ABS(E253-$H253)&lt;=1E-9,1,0)</f>
        <v>0</v>
      </c>
      <c r="R253" s="9">
        <f>IF(ABS(F253-$H253)&lt;=1E-9,1,0)</f>
        <v>0</v>
      </c>
      <c r="S253" s="9">
        <f>IF(ABS(G253-$H253)&lt;=1E-9,1,0)</f>
        <v>1</v>
      </c>
      <c r="T253" s="6" t="s">
        <v>26</v>
      </c>
    </row>
    <row r="254" spans="1:20">
      <c r="A254" s="6" t="s">
        <v>309</v>
      </c>
      <c r="B254" s="3">
        <v>25</v>
      </c>
      <c r="C254" s="7">
        <v>7</v>
      </c>
      <c r="D254" s="7">
        <v>7</v>
      </c>
      <c r="E254" s="7">
        <v>7</v>
      </c>
      <c r="F254" s="7">
        <v>8</v>
      </c>
      <c r="G254" s="7">
        <v>6</v>
      </c>
      <c r="H254" s="7">
        <f>MIN(C254:G254)</f>
        <v>6.0</v>
      </c>
      <c r="I254" s="6" t="s">
        <v>26</v>
      </c>
      <c r="J254" s="8">
        <f>IF($H254=0,"",(C254-$H254)/$H254)</f>
        <v>0.16666666666666663</v>
      </c>
      <c r="K254" s="8">
        <f>IF($H254=0,"",(D254-$H254)/$H254)</f>
        <v>0.16666666666666663</v>
      </c>
      <c r="L254" s="8">
        <f>IF($H254=0,"",(E254-$H254)/$H254)</f>
        <v>0.16666666666666663</v>
      </c>
      <c r="M254" s="8">
        <f>IF($H254=0,"",(F254-$H254)/$H254)</f>
        <v>0.33333333333333326</v>
      </c>
      <c r="N254" s="8">
        <f>IF($H254=0,"",(G254-$H254)/$H254)</f>
        <v>0.0</v>
      </c>
      <c r="O254" s="9">
        <f>IF(ABS(C254-$H254)&lt;=1E-9,1,0)</f>
        <v>0</v>
      </c>
      <c r="P254" s="9">
        <f>IF(ABS(D254-$H254)&lt;=1E-9,1,0)</f>
        <v>0</v>
      </c>
      <c r="Q254" s="9">
        <f>IF(ABS(E254-$H254)&lt;=1E-9,1,0)</f>
        <v>0</v>
      </c>
      <c r="R254" s="9">
        <f>IF(ABS(F254-$H254)&lt;=1E-9,1,0)</f>
        <v>0</v>
      </c>
      <c r="S254" s="9">
        <f>IF(ABS(G254-$H254)&lt;=1E-9,1,0)</f>
        <v>1</v>
      </c>
      <c r="T254" s="6" t="s">
        <v>26</v>
      </c>
    </row>
    <row r="255" spans="1:20">
      <c r="A255" s="6" t="s">
        <v>310</v>
      </c>
      <c r="B255" s="3">
        <v>25</v>
      </c>
      <c r="C255" s="7">
        <v>7</v>
      </c>
      <c r="D255" s="7">
        <v>7</v>
      </c>
      <c r="E255" s="7">
        <v>8</v>
      </c>
      <c r="F255" s="7">
        <v>10</v>
      </c>
      <c r="G255" s="7">
        <v>7</v>
      </c>
      <c r="H255" s="7">
        <f>MIN(C255:G255)</f>
        <v>7.0</v>
      </c>
      <c r="I255" s="6" t="s">
        <v>65</v>
      </c>
      <c r="J255" s="8">
        <f>IF($H255=0,"",(C255-$H255)/$H255)</f>
        <v>0.0</v>
      </c>
      <c r="K255" s="8">
        <f>IF($H255=0,"",(D255-$H255)/$H255)</f>
        <v>0.0</v>
      </c>
      <c r="L255" s="8">
        <f>IF($H255=0,"",(E255-$H255)/$H255)</f>
        <v>0.14285714285714285</v>
      </c>
      <c r="M255" s="8">
        <f>IF($H255=0,"",(F255-$H255)/$H255)</f>
        <v>0.42857142857142855</v>
      </c>
      <c r="N255" s="8">
        <f>IF($H255=0,"",(G255-$H255)/$H255)</f>
        <v>0.0</v>
      </c>
      <c r="O255" s="9">
        <f>IF(ABS(C255-$H255)&lt;=1E-9,1,0)</f>
        <v>1</v>
      </c>
      <c r="P255" s="9">
        <f>IF(ABS(D255-$H255)&lt;=1E-9,1,0)</f>
        <v>1</v>
      </c>
      <c r="Q255" s="9">
        <f>IF(ABS(E255-$H255)&lt;=1E-9,1,0)</f>
        <v>0</v>
      </c>
      <c r="R255" s="9">
        <f>IF(ABS(F255-$H255)&lt;=1E-9,1,0)</f>
        <v>0</v>
      </c>
      <c r="S255" s="9">
        <f>IF(ABS(G255-$H255)&lt;=1E-9,1,0)</f>
        <v>1</v>
      </c>
      <c r="T255" s="6" t="s">
        <v>51</v>
      </c>
    </row>
    <row r="256" spans="1:20">
      <c r="A256" s="6" t="s">
        <v>311</v>
      </c>
      <c r="B256" s="3">
        <v>25</v>
      </c>
      <c r="C256" s="7">
        <v>134</v>
      </c>
      <c r="D256" s="7">
        <v>130</v>
      </c>
      <c r="E256" s="7">
        <v>141</v>
      </c>
      <c r="F256" s="7">
        <v>130</v>
      </c>
      <c r="G256" s="7">
        <v>120</v>
      </c>
      <c r="H256" s="7">
        <f>MIN(C256:G256)</f>
        <v>120.0</v>
      </c>
      <c r="I256" s="6" t="s">
        <v>26</v>
      </c>
      <c r="J256" s="8">
        <f>IF($H256=0,"",(C256-$H256)/$H256)</f>
        <v>0.11666666666666665</v>
      </c>
      <c r="K256" s="8">
        <f>IF($H256=0,"",(D256-$H256)/$H256)</f>
        <v>0.08333333333333331</v>
      </c>
      <c r="L256" s="8">
        <f>IF($H256=0,"",(E256-$H256)/$H256)</f>
        <v>0.175</v>
      </c>
      <c r="M256" s="8">
        <f>IF($H256=0,"",(F256-$H256)/$H256)</f>
        <v>0.08333333333333331</v>
      </c>
      <c r="N256" s="8">
        <f>IF($H256=0,"",(G256-$H256)/$H256)</f>
        <v>0.0</v>
      </c>
      <c r="O256" s="9">
        <f>IF(ABS(C256-$H256)&lt;=1E-9,1,0)</f>
        <v>0</v>
      </c>
      <c r="P256" s="9">
        <f>IF(ABS(D256-$H256)&lt;=1E-9,1,0)</f>
        <v>0</v>
      </c>
      <c r="Q256" s="9">
        <f>IF(ABS(E256-$H256)&lt;=1E-9,1,0)</f>
        <v>0</v>
      </c>
      <c r="R256" s="9">
        <f>IF(ABS(F256-$H256)&lt;=1E-9,1,0)</f>
        <v>0</v>
      </c>
      <c r="S256" s="9">
        <f>IF(ABS(G256-$H256)&lt;=1E-9,1,0)</f>
        <v>1</v>
      </c>
      <c r="T256" s="6" t="s">
        <v>26</v>
      </c>
    </row>
    <row r="257" spans="1:20">
      <c r="A257" s="6" t="s">
        <v>312</v>
      </c>
      <c r="B257" s="3">
        <v>25</v>
      </c>
      <c r="C257" s="7">
        <v>114</v>
      </c>
      <c r="D257" s="7">
        <v>114</v>
      </c>
      <c r="E257" s="7">
        <v>118</v>
      </c>
      <c r="F257" s="7">
        <v>128</v>
      </c>
      <c r="G257" s="7">
        <v>110</v>
      </c>
      <c r="H257" s="7">
        <f>MIN(C257:G257)</f>
        <v>110.0</v>
      </c>
      <c r="I257" s="6" t="s">
        <v>26</v>
      </c>
      <c r="J257" s="8">
        <f>IF($H257=0,"",(C257-$H257)/$H257)</f>
        <v>0.03636363636363636</v>
      </c>
      <c r="K257" s="8">
        <f>IF($H257=0,"",(D257-$H257)/$H257)</f>
        <v>0.03636363636363636</v>
      </c>
      <c r="L257" s="8">
        <f>IF($H257=0,"",(E257-$H257)/$H257)</f>
        <v>0.07272727272727272</v>
      </c>
      <c r="M257" s="8">
        <f>IF($H257=0,"",(F257-$H257)/$H257)</f>
        <v>0.16363636363636364</v>
      </c>
      <c r="N257" s="8">
        <f>IF($H257=0,"",(G257-$H257)/$H257)</f>
        <v>0.0</v>
      </c>
      <c r="O257" s="9">
        <f>IF(ABS(C257-$H257)&lt;=1E-9,1,0)</f>
        <v>0</v>
      </c>
      <c r="P257" s="9">
        <f>IF(ABS(D257-$H257)&lt;=1E-9,1,0)</f>
        <v>0</v>
      </c>
      <c r="Q257" s="9">
        <f>IF(ABS(E257-$H257)&lt;=1E-9,1,0)</f>
        <v>0</v>
      </c>
      <c r="R257" s="9">
        <f>IF(ABS(F257-$H257)&lt;=1E-9,1,0)</f>
        <v>0</v>
      </c>
      <c r="S257" s="9">
        <f>IF(ABS(G257-$H257)&lt;=1E-9,1,0)</f>
        <v>1</v>
      </c>
      <c r="T257" s="6" t="s">
        <v>26</v>
      </c>
    </row>
    <row r="258" spans="1:20">
      <c r="A258" s="6" t="s">
        <v>313</v>
      </c>
      <c r="B258" s="3">
        <v>50</v>
      </c>
      <c r="C258" s="7">
        <v>21</v>
      </c>
      <c r="D258" s="7">
        <v>21</v>
      </c>
      <c r="E258" s="7">
        <v>22</v>
      </c>
      <c r="F258" s="7">
        <v>19</v>
      </c>
      <c r="G258" s="7">
        <v>19</v>
      </c>
      <c r="H258" s="7">
        <f>MIN(C258:G258)</f>
        <v>19.0</v>
      </c>
      <c r="I258" s="6" t="s">
        <v>50</v>
      </c>
      <c r="J258" s="8">
        <f>IF($H258=0,"",(C258-$H258)/$H258)</f>
        <v>0.10526315789473684</v>
      </c>
      <c r="K258" s="8">
        <f>IF($H258=0,"",(D258-$H258)/$H258)</f>
        <v>0.10526315789473684</v>
      </c>
      <c r="L258" s="8">
        <f>IF($H258=0,"",(E258-$H258)/$H258)</f>
        <v>0.15789473684210525</v>
      </c>
      <c r="M258" s="8">
        <f>IF($H258=0,"",(F258-$H258)/$H258)</f>
        <v>0.0</v>
      </c>
      <c r="N258" s="8">
        <f>IF($H258=0,"",(G258-$H258)/$H258)</f>
        <v>0.0</v>
      </c>
      <c r="O258" s="9">
        <f>IF(ABS(C258-$H258)&lt;=1E-9,1,0)</f>
        <v>0</v>
      </c>
      <c r="P258" s="9">
        <f>IF(ABS(D258-$H258)&lt;=1E-9,1,0)</f>
        <v>0</v>
      </c>
      <c r="Q258" s="9">
        <f>IF(ABS(E258-$H258)&lt;=1E-9,1,0)</f>
        <v>0</v>
      </c>
      <c r="R258" s="9">
        <f>IF(ABS(F258-$H258)&lt;=1E-9,1,0)</f>
        <v>1</v>
      </c>
      <c r="S258" s="9">
        <f>IF(ABS(G258-$H258)&lt;=1E-9,1,0)</f>
        <v>1</v>
      </c>
      <c r="T258" s="6" t="s">
        <v>51</v>
      </c>
    </row>
    <row r="259" spans="1:20">
      <c r="A259" s="6" t="s">
        <v>314</v>
      </c>
      <c r="B259" s="3">
        <v>50</v>
      </c>
      <c r="C259" s="7">
        <v>21</v>
      </c>
      <c r="D259" s="7">
        <v>21</v>
      </c>
      <c r="E259" s="7">
        <v>21</v>
      </c>
      <c r="F259" s="7">
        <v>19</v>
      </c>
      <c r="G259" s="7">
        <v>19</v>
      </c>
      <c r="H259" s="7">
        <f>MIN(C259:G259)</f>
        <v>19.0</v>
      </c>
      <c r="I259" s="6" t="s">
        <v>50</v>
      </c>
      <c r="J259" s="8">
        <f>IF($H259=0,"",(C259-$H259)/$H259)</f>
        <v>0.10526315789473684</v>
      </c>
      <c r="K259" s="8">
        <f>IF($H259=0,"",(D259-$H259)/$H259)</f>
        <v>0.10526315789473684</v>
      </c>
      <c r="L259" s="8">
        <f>IF($H259=0,"",(E259-$H259)/$H259)</f>
        <v>0.10526315789473684</v>
      </c>
      <c r="M259" s="8">
        <f>IF($H259=0,"",(F259-$H259)/$H259)</f>
        <v>0.0</v>
      </c>
      <c r="N259" s="8">
        <f>IF($H259=0,"",(G259-$H259)/$H259)</f>
        <v>0.0</v>
      </c>
      <c r="O259" s="9">
        <f>IF(ABS(C259-$H259)&lt;=1E-9,1,0)</f>
        <v>0</v>
      </c>
      <c r="P259" s="9">
        <f>IF(ABS(D259-$H259)&lt;=1E-9,1,0)</f>
        <v>0</v>
      </c>
      <c r="Q259" s="9">
        <f>IF(ABS(E259-$H259)&lt;=1E-9,1,0)</f>
        <v>0</v>
      </c>
      <c r="R259" s="9">
        <f>IF(ABS(F259-$H259)&lt;=1E-9,1,0)</f>
        <v>1</v>
      </c>
      <c r="S259" s="9">
        <f>IF(ABS(G259-$H259)&lt;=1E-9,1,0)</f>
        <v>1</v>
      </c>
      <c r="T259" s="6" t="s">
        <v>51</v>
      </c>
    </row>
    <row r="260" spans="1:20">
      <c r="A260" s="6" t="s">
        <v>315</v>
      </c>
      <c r="B260" s="3">
        <v>50</v>
      </c>
      <c r="C260" s="7">
        <v>314</v>
      </c>
      <c r="D260" s="7">
        <v>314</v>
      </c>
      <c r="E260" s="7">
        <v>320</v>
      </c>
      <c r="F260" s="7">
        <v>293</v>
      </c>
      <c r="G260" s="7">
        <v>258</v>
      </c>
      <c r="H260" s="7">
        <f>MIN(C260:G260)</f>
        <v>258.0</v>
      </c>
      <c r="I260" s="6" t="s">
        <v>26</v>
      </c>
      <c r="J260" s="8">
        <f>IF($H260=0,"",(C260-$H260)/$H260)</f>
        <v>0.21705426356589147</v>
      </c>
      <c r="K260" s="8">
        <f>IF($H260=0,"",(D260-$H260)/$H260)</f>
        <v>0.21705426356589147</v>
      </c>
      <c r="L260" s="8">
        <f>IF($H260=0,"",(E260-$H260)/$H260)</f>
        <v>0.24031007751937986</v>
      </c>
      <c r="M260" s="8">
        <f>IF($H260=0,"",(F260-$H260)/$H260)</f>
        <v>0.13565891472868216</v>
      </c>
      <c r="N260" s="8">
        <f>IF($H260=0,"",(G260-$H260)/$H260)</f>
        <v>0.0</v>
      </c>
      <c r="O260" s="9">
        <f>IF(ABS(C260-$H260)&lt;=1E-9,1,0)</f>
        <v>0</v>
      </c>
      <c r="P260" s="9">
        <f>IF(ABS(D260-$H260)&lt;=1E-9,1,0)</f>
        <v>0</v>
      </c>
      <c r="Q260" s="9">
        <f>IF(ABS(E260-$H260)&lt;=1E-9,1,0)</f>
        <v>0</v>
      </c>
      <c r="R260" s="9">
        <f>IF(ABS(F260-$H260)&lt;=1E-9,1,0)</f>
        <v>0</v>
      </c>
      <c r="S260" s="9">
        <f>IF(ABS(G260-$H260)&lt;=1E-9,1,0)</f>
        <v>1</v>
      </c>
      <c r="T260" s="6" t="s">
        <v>26</v>
      </c>
    </row>
    <row r="261" spans="1:20">
      <c r="A261" s="6" t="s">
        <v>316</v>
      </c>
      <c r="B261" s="3">
        <v>50</v>
      </c>
      <c r="C261" s="7">
        <v>338</v>
      </c>
      <c r="D261" s="7">
        <v>350</v>
      </c>
      <c r="E261" s="7">
        <v>336</v>
      </c>
      <c r="F261" s="7">
        <v>291</v>
      </c>
      <c r="G261" s="7">
        <v>285</v>
      </c>
      <c r="H261" s="7">
        <f>MIN(C261:G261)</f>
        <v>285.0</v>
      </c>
      <c r="I261" s="6" t="s">
        <v>26</v>
      </c>
      <c r="J261" s="8">
        <f>IF($H261=0,"",(C261-$H261)/$H261)</f>
        <v>0.18596491228070175</v>
      </c>
      <c r="K261" s="8">
        <f>IF($H261=0,"",(D261-$H261)/$H261)</f>
        <v>0.22807017543859648</v>
      </c>
      <c r="L261" s="8">
        <f>IF($H261=0,"",(E261-$H261)/$H261)</f>
        <v>0.17894736842105263</v>
      </c>
      <c r="M261" s="8">
        <f>IF($H261=0,"",(F261-$H261)/$H261)</f>
        <v>0.021052631578947368</v>
      </c>
      <c r="N261" s="8">
        <f>IF($H261=0,"",(G261-$H261)/$H261)</f>
        <v>0.0</v>
      </c>
      <c r="O261" s="9">
        <f>IF(ABS(C261-$H261)&lt;=1E-9,1,0)</f>
        <v>0</v>
      </c>
      <c r="P261" s="9">
        <f>IF(ABS(D261-$H261)&lt;=1E-9,1,0)</f>
        <v>0</v>
      </c>
      <c r="Q261" s="9">
        <f>IF(ABS(E261-$H261)&lt;=1E-9,1,0)</f>
        <v>0</v>
      </c>
      <c r="R261" s="9">
        <f>IF(ABS(F261-$H261)&lt;=1E-9,1,0)</f>
        <v>0</v>
      </c>
      <c r="S261" s="9">
        <f>IF(ABS(G261-$H261)&lt;=1E-9,1,0)</f>
        <v>1</v>
      </c>
      <c r="T261" s="6" t="s">
        <v>26</v>
      </c>
    </row>
    <row r="262" spans="1:20">
      <c r="A262" s="6" t="s">
        <v>317</v>
      </c>
      <c r="B262" s="3">
        <v>50</v>
      </c>
      <c r="C262" s="7">
        <v>17</v>
      </c>
      <c r="D262" s="7">
        <v>17</v>
      </c>
      <c r="E262" s="7">
        <v>17</v>
      </c>
      <c r="F262" s="7">
        <v>18</v>
      </c>
      <c r="G262" s="7">
        <v>16</v>
      </c>
      <c r="H262" s="7">
        <f>MIN(C262:G262)</f>
        <v>16.0</v>
      </c>
      <c r="I262" s="6" t="s">
        <v>26</v>
      </c>
      <c r="J262" s="8">
        <f>IF($H262=0,"",(C262-$H262)/$H262)</f>
        <v>0.0625</v>
      </c>
      <c r="K262" s="8">
        <f>IF($H262=0,"",(D262-$H262)/$H262)</f>
        <v>0.0625</v>
      </c>
      <c r="L262" s="8">
        <f>IF($H262=0,"",(E262-$H262)/$H262)</f>
        <v>0.0625</v>
      </c>
      <c r="M262" s="8">
        <f>IF($H262=0,"",(F262-$H262)/$H262)</f>
        <v>0.125</v>
      </c>
      <c r="N262" s="8">
        <f>IF($H262=0,"",(G262-$H262)/$H262)</f>
        <v>0.0</v>
      </c>
      <c r="O262" s="9">
        <f>IF(ABS(C262-$H262)&lt;=1E-9,1,0)</f>
        <v>0</v>
      </c>
      <c r="P262" s="9">
        <f>IF(ABS(D262-$H262)&lt;=1E-9,1,0)</f>
        <v>0</v>
      </c>
      <c r="Q262" s="9">
        <f>IF(ABS(E262-$H262)&lt;=1E-9,1,0)</f>
        <v>0</v>
      </c>
      <c r="R262" s="9">
        <f>IF(ABS(F262-$H262)&lt;=1E-9,1,0)</f>
        <v>0</v>
      </c>
      <c r="S262" s="9">
        <f>IF(ABS(G262-$H262)&lt;=1E-9,1,0)</f>
        <v>1</v>
      </c>
      <c r="T262" s="6" t="s">
        <v>26</v>
      </c>
    </row>
    <row r="263" spans="1:20">
      <c r="A263" s="6" t="s">
        <v>318</v>
      </c>
      <c r="B263" s="3">
        <v>50</v>
      </c>
      <c r="C263" s="7">
        <v>16</v>
      </c>
      <c r="D263" s="7">
        <v>16</v>
      </c>
      <c r="E263" s="7">
        <v>15</v>
      </c>
      <c r="F263" s="7">
        <v>17</v>
      </c>
      <c r="G263" s="7">
        <v>15</v>
      </c>
      <c r="H263" s="7">
        <f>MIN(C263:G263)</f>
        <v>15.0</v>
      </c>
      <c r="I263" s="6" t="s">
        <v>319</v>
      </c>
      <c r="J263" s="8">
        <f>IF($H263=0,"",(C263-$H263)/$H263)</f>
        <v>0.06666666666666667</v>
      </c>
      <c r="K263" s="8">
        <f>IF($H263=0,"",(D263-$H263)/$H263)</f>
        <v>0.06666666666666667</v>
      </c>
      <c r="L263" s="8">
        <f>IF($H263=0,"",(E263-$H263)/$H263)</f>
        <v>0.0</v>
      </c>
      <c r="M263" s="8">
        <f>IF($H263=0,"",(F263-$H263)/$H263)</f>
        <v>0.13333333333333333</v>
      </c>
      <c r="N263" s="8">
        <f>IF($H263=0,"",(G263-$H263)/$H263)</f>
        <v>0.0</v>
      </c>
      <c r="O263" s="9">
        <f>IF(ABS(C263-$H263)&lt;=1E-9,1,0)</f>
        <v>0</v>
      </c>
      <c r="P263" s="9">
        <f>IF(ABS(D263-$H263)&lt;=1E-9,1,0)</f>
        <v>0</v>
      </c>
      <c r="Q263" s="9">
        <f>IF(ABS(E263-$H263)&lt;=1E-9,1,0)</f>
        <v>1</v>
      </c>
      <c r="R263" s="9">
        <f>IF(ABS(F263-$H263)&lt;=1E-9,1,0)</f>
        <v>0</v>
      </c>
      <c r="S263" s="9">
        <f>IF(ABS(G263-$H263)&lt;=1E-9,1,0)</f>
        <v>1</v>
      </c>
      <c r="T263" s="6" t="s">
        <v>51</v>
      </c>
    </row>
    <row r="264" spans="1:20">
      <c r="A264" s="6" t="s">
        <v>320</v>
      </c>
      <c r="B264" s="3">
        <v>50</v>
      </c>
      <c r="C264" s="7">
        <v>282</v>
      </c>
      <c r="D264" s="7">
        <v>286</v>
      </c>
      <c r="E264" s="7">
        <v>281</v>
      </c>
      <c r="F264" s="7">
        <v>265</v>
      </c>
      <c r="G264" s="7">
        <v>237</v>
      </c>
      <c r="H264" s="7">
        <f>MIN(C264:G264)</f>
        <v>237.0</v>
      </c>
      <c r="I264" s="6" t="s">
        <v>26</v>
      </c>
      <c r="J264" s="8">
        <f>IF($H264=0,"",(C264-$H264)/$H264)</f>
        <v>0.189873417721519</v>
      </c>
      <c r="K264" s="8">
        <f>IF($H264=0,"",(D264-$H264)/$H264)</f>
        <v>0.20675105485232068</v>
      </c>
      <c r="L264" s="8">
        <f>IF($H264=0,"",(E264-$H264)/$H264)</f>
        <v>0.18565400843881857</v>
      </c>
      <c r="M264" s="8">
        <f>IF($H264=0,"",(F264-$H264)/$H264)</f>
        <v>0.11814345991561181</v>
      </c>
      <c r="N264" s="8">
        <f>IF($H264=0,"",(G264-$H264)/$H264)</f>
        <v>0.0</v>
      </c>
      <c r="O264" s="9">
        <f>IF(ABS(C264-$H264)&lt;=1E-9,1,0)</f>
        <v>0</v>
      </c>
      <c r="P264" s="9">
        <f>IF(ABS(D264-$H264)&lt;=1E-9,1,0)</f>
        <v>0</v>
      </c>
      <c r="Q264" s="9">
        <f>IF(ABS(E264-$H264)&lt;=1E-9,1,0)</f>
        <v>0</v>
      </c>
      <c r="R264" s="9">
        <f>IF(ABS(F264-$H264)&lt;=1E-9,1,0)</f>
        <v>0</v>
      </c>
      <c r="S264" s="9">
        <f>IF(ABS(G264-$H264)&lt;=1E-9,1,0)</f>
        <v>1</v>
      </c>
      <c r="T264" s="6" t="s">
        <v>26</v>
      </c>
    </row>
    <row r="265" spans="1:20">
      <c r="A265" s="6" t="s">
        <v>321</v>
      </c>
      <c r="B265" s="3">
        <v>50</v>
      </c>
      <c r="C265" s="7">
        <v>310</v>
      </c>
      <c r="D265" s="7">
        <v>309</v>
      </c>
      <c r="E265" s="7">
        <v>310</v>
      </c>
      <c r="F265" s="7">
        <v>281</v>
      </c>
      <c r="G265" s="7">
        <v>245</v>
      </c>
      <c r="H265" s="7">
        <f>MIN(C265:G265)</f>
        <v>245.0</v>
      </c>
      <c r="I265" s="6" t="s">
        <v>26</v>
      </c>
      <c r="J265" s="8">
        <f>IF($H265=0,"",(C265-$H265)/$H265)</f>
        <v>0.2653061224489796</v>
      </c>
      <c r="K265" s="8">
        <f>IF($H265=0,"",(D265-$H265)/$H265)</f>
        <v>0.2612244897959184</v>
      </c>
      <c r="L265" s="8">
        <f>IF($H265=0,"",(E265-$H265)/$H265)</f>
        <v>0.2653061224489796</v>
      </c>
      <c r="M265" s="8">
        <f>IF($H265=0,"",(F265-$H265)/$H265)</f>
        <v>0.1469387755102041</v>
      </c>
      <c r="N265" s="8">
        <f>IF($H265=0,"",(G265-$H265)/$H265)</f>
        <v>0.0</v>
      </c>
      <c r="O265" s="9">
        <f>IF(ABS(C265-$H265)&lt;=1E-9,1,0)</f>
        <v>0</v>
      </c>
      <c r="P265" s="9">
        <f>IF(ABS(D265-$H265)&lt;=1E-9,1,0)</f>
        <v>0</v>
      </c>
      <c r="Q265" s="9">
        <f>IF(ABS(E265-$H265)&lt;=1E-9,1,0)</f>
        <v>0</v>
      </c>
      <c r="R265" s="9">
        <f>IF(ABS(F265-$H265)&lt;=1E-9,1,0)</f>
        <v>0</v>
      </c>
      <c r="S265" s="9">
        <f>IF(ABS(G265-$H265)&lt;=1E-9,1,0)</f>
        <v>1</v>
      </c>
      <c r="T265" s="6" t="s">
        <v>26</v>
      </c>
    </row>
    <row r="266" spans="1:20">
      <c r="A266" s="6" t="s">
        <v>322</v>
      </c>
      <c r="B266" s="3">
        <v>50</v>
      </c>
      <c r="C266" s="7">
        <v>13</v>
      </c>
      <c r="D266" s="7">
        <v>14</v>
      </c>
      <c r="E266" s="7">
        <v>13</v>
      </c>
      <c r="F266" s="7">
        <v>17</v>
      </c>
      <c r="G266" s="7">
        <v>12</v>
      </c>
      <c r="H266" s="7">
        <f>MIN(C266:G266)</f>
        <v>12.0</v>
      </c>
      <c r="I266" s="6" t="s">
        <v>26</v>
      </c>
      <c r="J266" s="8">
        <f>IF($H266=0,"",(C266-$H266)/$H266)</f>
        <v>0.08333333333333331</v>
      </c>
      <c r="K266" s="8">
        <f>IF($H266=0,"",(D266-$H266)/$H266)</f>
        <v>0.16666666666666663</v>
      </c>
      <c r="L266" s="8">
        <f>IF($H266=0,"",(E266-$H266)/$H266)</f>
        <v>0.08333333333333331</v>
      </c>
      <c r="M266" s="8">
        <f>IF($H266=0,"",(F266-$H266)/$H266)</f>
        <v>0.41666666666666674</v>
      </c>
      <c r="N266" s="8">
        <f>IF($H266=0,"",(G266-$H266)/$H266)</f>
        <v>0.0</v>
      </c>
      <c r="O266" s="9">
        <f>IF(ABS(C266-$H266)&lt;=1E-9,1,0)</f>
        <v>0</v>
      </c>
      <c r="P266" s="9">
        <f>IF(ABS(D266-$H266)&lt;=1E-9,1,0)</f>
        <v>0</v>
      </c>
      <c r="Q266" s="9">
        <f>IF(ABS(E266-$H266)&lt;=1E-9,1,0)</f>
        <v>0</v>
      </c>
      <c r="R266" s="9">
        <f>IF(ABS(F266-$H266)&lt;=1E-9,1,0)</f>
        <v>0</v>
      </c>
      <c r="S266" s="9">
        <f>IF(ABS(G266-$H266)&lt;=1E-9,1,0)</f>
        <v>1</v>
      </c>
      <c r="T266" s="6" t="s">
        <v>26</v>
      </c>
    </row>
    <row r="267" spans="1:20">
      <c r="A267" s="6" t="s">
        <v>323</v>
      </c>
      <c r="B267" s="3">
        <v>50</v>
      </c>
      <c r="C267" s="7">
        <v>13</v>
      </c>
      <c r="D267" s="7">
        <v>13</v>
      </c>
      <c r="E267" s="7">
        <v>13</v>
      </c>
      <c r="F267" s="7">
        <v>13</v>
      </c>
      <c r="G267" s="7">
        <v>13</v>
      </c>
      <c r="H267" s="7">
        <f>MIN(C267:G267)</f>
        <v>13.0</v>
      </c>
      <c r="I267" s="6" t="s">
        <v>324</v>
      </c>
      <c r="J267" s="8">
        <f>IF($H267=0,"",(C267-$H267)/$H267)</f>
        <v>0.0</v>
      </c>
      <c r="K267" s="8">
        <f>IF($H267=0,"",(D267-$H267)/$H267)</f>
        <v>0.0</v>
      </c>
      <c r="L267" s="8">
        <f>IF($H267=0,"",(E267-$H267)/$H267)</f>
        <v>0.0</v>
      </c>
      <c r="M267" s="8">
        <f>IF($H267=0,"",(F267-$H267)/$H267)</f>
        <v>0.0</v>
      </c>
      <c r="N267" s="8">
        <f>IF($H267=0,"",(G267-$H267)/$H267)</f>
        <v>0.0</v>
      </c>
      <c r="O267" s="9">
        <f>IF(ABS(C267-$H267)&lt;=1E-9,1,0)</f>
        <v>1</v>
      </c>
      <c r="P267" s="9">
        <f>IF(ABS(D267-$H267)&lt;=1E-9,1,0)</f>
        <v>1</v>
      </c>
      <c r="Q267" s="9">
        <f>IF(ABS(E267-$H267)&lt;=1E-9,1,0)</f>
        <v>1</v>
      </c>
      <c r="R267" s="9">
        <f>IF(ABS(F267-$H267)&lt;=1E-9,1,0)</f>
        <v>1</v>
      </c>
      <c r="S267" s="9">
        <f>IF(ABS(G267-$H267)&lt;=1E-9,1,0)</f>
        <v>1</v>
      </c>
      <c r="T267" s="6" t="s">
        <v>51</v>
      </c>
    </row>
    <row r="268" spans="1:20">
      <c r="A268" s="6" t="s">
        <v>325</v>
      </c>
      <c r="B268" s="3">
        <v>50</v>
      </c>
      <c r="C268" s="7">
        <v>283</v>
      </c>
      <c r="D268" s="7">
        <v>288</v>
      </c>
      <c r="E268" s="7">
        <v>295</v>
      </c>
      <c r="F268" s="7">
        <v>248</v>
      </c>
      <c r="G268" s="7">
        <v>226</v>
      </c>
      <c r="H268" s="7">
        <f>MIN(C268:G268)</f>
        <v>226.0</v>
      </c>
      <c r="I268" s="6" t="s">
        <v>26</v>
      </c>
      <c r="J268" s="8">
        <f>IF($H268=0,"",(C268-$H268)/$H268)</f>
        <v>0.252212389380531</v>
      </c>
      <c r="K268" s="8">
        <f>IF($H268=0,"",(D268-$H268)/$H268)</f>
        <v>0.2743362831858407</v>
      </c>
      <c r="L268" s="8">
        <f>IF($H268=0,"",(E268-$H268)/$H268)</f>
        <v>0.3053097345132743</v>
      </c>
      <c r="M268" s="8">
        <f>IF($H268=0,"",(F268-$H268)/$H268)</f>
        <v>0.09734513274336283</v>
      </c>
      <c r="N268" s="8">
        <f>IF($H268=0,"",(G268-$H268)/$H268)</f>
        <v>0.0</v>
      </c>
      <c r="O268" s="9">
        <f>IF(ABS(C268-$H268)&lt;=1E-9,1,0)</f>
        <v>0</v>
      </c>
      <c r="P268" s="9">
        <f>IF(ABS(D268-$H268)&lt;=1E-9,1,0)</f>
        <v>0</v>
      </c>
      <c r="Q268" s="9">
        <f>IF(ABS(E268-$H268)&lt;=1E-9,1,0)</f>
        <v>0</v>
      </c>
      <c r="R268" s="9">
        <f>IF(ABS(F268-$H268)&lt;=1E-9,1,0)</f>
        <v>0</v>
      </c>
      <c r="S268" s="9">
        <f>IF(ABS(G268-$H268)&lt;=1E-9,1,0)</f>
        <v>1</v>
      </c>
      <c r="T268" s="6" t="s">
        <v>26</v>
      </c>
    </row>
    <row r="269" spans="1:20">
      <c r="A269" s="6" t="s">
        <v>326</v>
      </c>
      <c r="B269" s="3">
        <v>50</v>
      </c>
      <c r="C269" s="7">
        <v>278</v>
      </c>
      <c r="D269" s="7">
        <v>295</v>
      </c>
      <c r="E269" s="7">
        <v>293</v>
      </c>
      <c r="F269" s="7">
        <v>259</v>
      </c>
      <c r="G269" s="7">
        <v>221</v>
      </c>
      <c r="H269" s="7">
        <f>MIN(C269:G269)</f>
        <v>221.0</v>
      </c>
      <c r="I269" s="6" t="s">
        <v>26</v>
      </c>
      <c r="J269" s="8">
        <f>IF($H269=0,"",(C269-$H269)/$H269)</f>
        <v>0.2579185520361991</v>
      </c>
      <c r="K269" s="8">
        <f>IF($H269=0,"",(D269-$H269)/$H269)</f>
        <v>0.33484162895927594</v>
      </c>
      <c r="L269" s="8">
        <f>IF($H269=0,"",(E269-$H269)/$H269)</f>
        <v>0.32579185520361986</v>
      </c>
      <c r="M269" s="8">
        <f>IF($H269=0,"",(F269-$H269)/$H269)</f>
        <v>0.17194570135746606</v>
      </c>
      <c r="N269" s="8">
        <f>IF($H269=0,"",(G269-$H269)/$H269)</f>
        <v>0.0</v>
      </c>
      <c r="O269" s="9">
        <f>IF(ABS(C269-$H269)&lt;=1E-9,1,0)</f>
        <v>0</v>
      </c>
      <c r="P269" s="9">
        <f>IF(ABS(D269-$H269)&lt;=1E-9,1,0)</f>
        <v>0</v>
      </c>
      <c r="Q269" s="9">
        <f>IF(ABS(E269-$H269)&lt;=1E-9,1,0)</f>
        <v>0</v>
      </c>
      <c r="R269" s="9">
        <f>IF(ABS(F269-$H269)&lt;=1E-9,1,0)</f>
        <v>0</v>
      </c>
      <c r="S269" s="9">
        <f>IF(ABS(G269-$H269)&lt;=1E-9,1,0)</f>
        <v>1</v>
      </c>
      <c r="T269" s="6" t="s">
        <v>26</v>
      </c>
    </row>
    <row r="270" spans="1:20">
      <c r="A270" s="6" t="s">
        <v>327</v>
      </c>
      <c r="B270" s="3">
        <v>50</v>
      </c>
      <c r="C270" s="7">
        <v>11</v>
      </c>
      <c r="D270" s="7">
        <v>12</v>
      </c>
      <c r="E270" s="7">
        <v>12</v>
      </c>
      <c r="F270" s="7">
        <v>15</v>
      </c>
      <c r="G270" s="7">
        <v>10</v>
      </c>
      <c r="H270" s="7">
        <f>MIN(C270:G270)</f>
        <v>10.0</v>
      </c>
      <c r="I270" s="6" t="s">
        <v>26</v>
      </c>
      <c r="J270" s="8">
        <f>IF($H270=0,"",(C270-$H270)/$H270)</f>
        <v>0.1</v>
      </c>
      <c r="K270" s="8">
        <f>IF($H270=0,"",(D270-$H270)/$H270)</f>
        <v>0.2</v>
      </c>
      <c r="L270" s="8">
        <f>IF($H270=0,"",(E270-$H270)/$H270)</f>
        <v>0.2</v>
      </c>
      <c r="M270" s="8">
        <f>IF($H270=0,"",(F270-$H270)/$H270)</f>
        <v>0.5</v>
      </c>
      <c r="N270" s="8">
        <f>IF($H270=0,"",(G270-$H270)/$H270)</f>
        <v>0.0</v>
      </c>
      <c r="O270" s="9">
        <f>IF(ABS(C270-$H270)&lt;=1E-9,1,0)</f>
        <v>0</v>
      </c>
      <c r="P270" s="9">
        <f>IF(ABS(D270-$H270)&lt;=1E-9,1,0)</f>
        <v>0</v>
      </c>
      <c r="Q270" s="9">
        <f>IF(ABS(E270-$H270)&lt;=1E-9,1,0)</f>
        <v>0</v>
      </c>
      <c r="R270" s="9">
        <f>IF(ABS(F270-$H270)&lt;=1E-9,1,0)</f>
        <v>0</v>
      </c>
      <c r="S270" s="9">
        <f>IF(ABS(G270-$H270)&lt;=1E-9,1,0)</f>
        <v>1</v>
      </c>
      <c r="T270" s="6" t="s">
        <v>26</v>
      </c>
    </row>
    <row r="271" spans="1:20">
      <c r="A271" s="6" t="s">
        <v>328</v>
      </c>
      <c r="B271" s="3">
        <v>50</v>
      </c>
      <c r="C271" s="7">
        <v>11</v>
      </c>
      <c r="D271" s="7">
        <v>10</v>
      </c>
      <c r="E271" s="7">
        <v>12</v>
      </c>
      <c r="F271" s="7">
        <v>13</v>
      </c>
      <c r="G271" s="7">
        <v>9</v>
      </c>
      <c r="H271" s="7">
        <f>MIN(C271:G271)</f>
        <v>9.0</v>
      </c>
      <c r="I271" s="6" t="s">
        <v>26</v>
      </c>
      <c r="J271" s="8">
        <f>IF($H271=0,"",(C271-$H271)/$H271)</f>
        <v>0.2222222222222222</v>
      </c>
      <c r="K271" s="8">
        <f>IF($H271=0,"",(D271-$H271)/$H271)</f>
        <v>0.1111111111111111</v>
      </c>
      <c r="L271" s="8">
        <f>IF($H271=0,"",(E271-$H271)/$H271)</f>
        <v>0.33333333333333326</v>
      </c>
      <c r="M271" s="8">
        <f>IF($H271=0,"",(F271-$H271)/$H271)</f>
        <v>0.4444444444444444</v>
      </c>
      <c r="N271" s="8">
        <f>IF($H271=0,"",(G271-$H271)/$H271)</f>
        <v>0.0</v>
      </c>
      <c r="O271" s="9">
        <f>IF(ABS(C271-$H271)&lt;=1E-9,1,0)</f>
        <v>0</v>
      </c>
      <c r="P271" s="9">
        <f>IF(ABS(D271-$H271)&lt;=1E-9,1,0)</f>
        <v>0</v>
      </c>
      <c r="Q271" s="9">
        <f>IF(ABS(E271-$H271)&lt;=1E-9,1,0)</f>
        <v>0</v>
      </c>
      <c r="R271" s="9">
        <f>IF(ABS(F271-$H271)&lt;=1E-9,1,0)</f>
        <v>0</v>
      </c>
      <c r="S271" s="9">
        <f>IF(ABS(G271-$H271)&lt;=1E-9,1,0)</f>
        <v>1</v>
      </c>
      <c r="T271" s="6" t="s">
        <v>26</v>
      </c>
    </row>
    <row r="272" spans="1:20">
      <c r="A272" s="6" t="s">
        <v>329</v>
      </c>
      <c r="B272" s="3">
        <v>50</v>
      </c>
      <c r="C272" s="7">
        <v>277</v>
      </c>
      <c r="D272" s="7">
        <v>266</v>
      </c>
      <c r="E272" s="7">
        <v>275</v>
      </c>
      <c r="F272" s="7">
        <v>238</v>
      </c>
      <c r="G272" s="7">
        <v>211</v>
      </c>
      <c r="H272" s="7">
        <f>MIN(C272:G272)</f>
        <v>211.0</v>
      </c>
      <c r="I272" s="6" t="s">
        <v>26</v>
      </c>
      <c r="J272" s="8">
        <f>IF($H272=0,"",(C272-$H272)/$H272)</f>
        <v>0.3127962085308057</v>
      </c>
      <c r="K272" s="8">
        <f>IF($H272=0,"",(D272-$H272)/$H272)</f>
        <v>0.26066350710900477</v>
      </c>
      <c r="L272" s="8">
        <f>IF($H272=0,"",(E272-$H272)/$H272)</f>
        <v>0.3033175355450237</v>
      </c>
      <c r="M272" s="8">
        <f>IF($H272=0,"",(F272-$H272)/$H272)</f>
        <v>0.12796208530805686</v>
      </c>
      <c r="N272" s="8">
        <f>IF($H272=0,"",(G272-$H272)/$H272)</f>
        <v>0.0</v>
      </c>
      <c r="O272" s="9">
        <f>IF(ABS(C272-$H272)&lt;=1E-9,1,0)</f>
        <v>0</v>
      </c>
      <c r="P272" s="9">
        <f>IF(ABS(D272-$H272)&lt;=1E-9,1,0)</f>
        <v>0</v>
      </c>
      <c r="Q272" s="9">
        <f>IF(ABS(E272-$H272)&lt;=1E-9,1,0)</f>
        <v>0</v>
      </c>
      <c r="R272" s="9">
        <f>IF(ABS(F272-$H272)&lt;=1E-9,1,0)</f>
        <v>0</v>
      </c>
      <c r="S272" s="9">
        <f>IF(ABS(G272-$H272)&lt;=1E-9,1,0)</f>
        <v>1</v>
      </c>
      <c r="T272" s="6" t="s">
        <v>26</v>
      </c>
    </row>
    <row r="273" spans="1:20">
      <c r="A273" s="6" t="s">
        <v>330</v>
      </c>
      <c r="B273" s="3">
        <v>50</v>
      </c>
      <c r="C273" s="7">
        <v>288</v>
      </c>
      <c r="D273" s="7">
        <v>283</v>
      </c>
      <c r="E273" s="7">
        <v>305</v>
      </c>
      <c r="F273" s="7">
        <v>299</v>
      </c>
      <c r="G273" s="7">
        <v>234</v>
      </c>
      <c r="H273" s="7">
        <f>MIN(C273:G273)</f>
        <v>234.0</v>
      </c>
      <c r="I273" s="6" t="s">
        <v>26</v>
      </c>
      <c r="J273" s="8">
        <f>IF($H273=0,"",(C273-$H273)/$H273)</f>
        <v>0.23076923076923075</v>
      </c>
      <c r="K273" s="8">
        <f>IF($H273=0,"",(D273-$H273)/$H273)</f>
        <v>0.2094017094017094</v>
      </c>
      <c r="L273" s="8">
        <f>IF($H273=0,"",(E273-$H273)/$H273)</f>
        <v>0.3034188034188034</v>
      </c>
      <c r="M273" s="8">
        <f>IF($H273=0,"",(F273-$H273)/$H273)</f>
        <v>0.2777777777777778</v>
      </c>
      <c r="N273" s="8">
        <f>IF($H273=0,"",(G273-$H273)/$H273)</f>
        <v>0.0</v>
      </c>
      <c r="O273" s="9">
        <f>IF(ABS(C273-$H273)&lt;=1E-9,1,0)</f>
        <v>0</v>
      </c>
      <c r="P273" s="9">
        <f>IF(ABS(D273-$H273)&lt;=1E-9,1,0)</f>
        <v>0</v>
      </c>
      <c r="Q273" s="9">
        <f>IF(ABS(E273-$H273)&lt;=1E-9,1,0)</f>
        <v>0</v>
      </c>
      <c r="R273" s="9">
        <f>IF(ABS(F273-$H273)&lt;=1E-9,1,0)</f>
        <v>0</v>
      </c>
      <c r="S273" s="9">
        <f>IF(ABS(G273-$H273)&lt;=1E-9,1,0)</f>
        <v>1</v>
      </c>
      <c r="T273" s="6" t="s">
        <v>26</v>
      </c>
    </row>
    <row r="274" spans="1:20">
      <c r="A274" s="6" t="s">
        <v>331</v>
      </c>
      <c r="B274" s="3">
        <v>50</v>
      </c>
      <c r="C274" s="7">
        <v>20</v>
      </c>
      <c r="D274" s="7">
        <v>20</v>
      </c>
      <c r="E274" s="7">
        <v>21</v>
      </c>
      <c r="F274" s="7">
        <v>19</v>
      </c>
      <c r="G274" s="7">
        <v>18</v>
      </c>
      <c r="H274" s="7">
        <f>MIN(C274:G274)</f>
        <v>18.0</v>
      </c>
      <c r="I274" s="6" t="s">
        <v>26</v>
      </c>
      <c r="J274" s="8">
        <f>IF($H274=0,"",(C274-$H274)/$H274)</f>
        <v>0.1111111111111111</v>
      </c>
      <c r="K274" s="8">
        <f>IF($H274=0,"",(D274-$H274)/$H274)</f>
        <v>0.1111111111111111</v>
      </c>
      <c r="L274" s="8">
        <f>IF($H274=0,"",(E274-$H274)/$H274)</f>
        <v>0.16666666666666663</v>
      </c>
      <c r="M274" s="8">
        <f>IF($H274=0,"",(F274-$H274)/$H274)</f>
        <v>0.05555555555555555</v>
      </c>
      <c r="N274" s="8">
        <f>IF($H274=0,"",(G274-$H274)/$H274)</f>
        <v>0.0</v>
      </c>
      <c r="O274" s="9">
        <f>IF(ABS(C274-$H274)&lt;=1E-9,1,0)</f>
        <v>0</v>
      </c>
      <c r="P274" s="9">
        <f>IF(ABS(D274-$H274)&lt;=1E-9,1,0)</f>
        <v>0</v>
      </c>
      <c r="Q274" s="9">
        <f>IF(ABS(E274-$H274)&lt;=1E-9,1,0)</f>
        <v>0</v>
      </c>
      <c r="R274" s="9">
        <f>IF(ABS(F274-$H274)&lt;=1E-9,1,0)</f>
        <v>0</v>
      </c>
      <c r="S274" s="9">
        <f>IF(ABS(G274-$H274)&lt;=1E-9,1,0)</f>
        <v>1</v>
      </c>
      <c r="T274" s="6" t="s">
        <v>26</v>
      </c>
    </row>
    <row r="275" spans="1:20">
      <c r="A275" s="6" t="s">
        <v>332</v>
      </c>
      <c r="B275" s="3">
        <v>50</v>
      </c>
      <c r="C275" s="7">
        <v>21</v>
      </c>
      <c r="D275" s="7">
        <v>20</v>
      </c>
      <c r="E275" s="7">
        <v>20</v>
      </c>
      <c r="F275" s="7">
        <v>19</v>
      </c>
      <c r="G275" s="7">
        <v>18</v>
      </c>
      <c r="H275" s="7">
        <f>MIN(C275:G275)</f>
        <v>18.0</v>
      </c>
      <c r="I275" s="6" t="s">
        <v>26</v>
      </c>
      <c r="J275" s="8">
        <f>IF($H275=0,"",(C275-$H275)/$H275)</f>
        <v>0.16666666666666663</v>
      </c>
      <c r="K275" s="8">
        <f>IF($H275=0,"",(D275-$H275)/$H275)</f>
        <v>0.1111111111111111</v>
      </c>
      <c r="L275" s="8">
        <f>IF($H275=0,"",(E275-$H275)/$H275)</f>
        <v>0.1111111111111111</v>
      </c>
      <c r="M275" s="8">
        <f>IF($H275=0,"",(F275-$H275)/$H275)</f>
        <v>0.05555555555555555</v>
      </c>
      <c r="N275" s="8">
        <f>IF($H275=0,"",(G275-$H275)/$H275)</f>
        <v>0.0</v>
      </c>
      <c r="O275" s="9">
        <f>IF(ABS(C275-$H275)&lt;=1E-9,1,0)</f>
        <v>0</v>
      </c>
      <c r="P275" s="9">
        <f>IF(ABS(D275-$H275)&lt;=1E-9,1,0)</f>
        <v>0</v>
      </c>
      <c r="Q275" s="9">
        <f>IF(ABS(E275-$H275)&lt;=1E-9,1,0)</f>
        <v>0</v>
      </c>
      <c r="R275" s="9">
        <f>IF(ABS(F275-$H275)&lt;=1E-9,1,0)</f>
        <v>0</v>
      </c>
      <c r="S275" s="9">
        <f>IF(ABS(G275-$H275)&lt;=1E-9,1,0)</f>
        <v>1</v>
      </c>
      <c r="T275" s="6" t="s">
        <v>26</v>
      </c>
    </row>
    <row r="276" spans="1:20">
      <c r="A276" s="6" t="s">
        <v>333</v>
      </c>
      <c r="B276" s="3">
        <v>50</v>
      </c>
      <c r="C276" s="7">
        <v>292</v>
      </c>
      <c r="D276" s="7">
        <v>313</v>
      </c>
      <c r="E276" s="7">
        <v>316</v>
      </c>
      <c r="F276" s="7">
        <v>255</v>
      </c>
      <c r="G276" s="7">
        <v>228</v>
      </c>
      <c r="H276" s="7">
        <f>MIN(C276:G276)</f>
        <v>228.0</v>
      </c>
      <c r="I276" s="6" t="s">
        <v>26</v>
      </c>
      <c r="J276" s="8">
        <f>IF($H276=0,"",(C276-$H276)/$H276)</f>
        <v>0.2807017543859649</v>
      </c>
      <c r="K276" s="8">
        <f>IF($H276=0,"",(D276-$H276)/$H276)</f>
        <v>0.37280701754385964</v>
      </c>
      <c r="L276" s="8">
        <f>IF($H276=0,"",(E276-$H276)/$H276)</f>
        <v>0.38596491228070173</v>
      </c>
      <c r="M276" s="8">
        <f>IF($H276=0,"",(F276-$H276)/$H276)</f>
        <v>0.11842105263157894</v>
      </c>
      <c r="N276" s="8">
        <f>IF($H276=0,"",(G276-$H276)/$H276)</f>
        <v>0.0</v>
      </c>
      <c r="O276" s="9">
        <f>IF(ABS(C276-$H276)&lt;=1E-9,1,0)</f>
        <v>0</v>
      </c>
      <c r="P276" s="9">
        <f>IF(ABS(D276-$H276)&lt;=1E-9,1,0)</f>
        <v>0</v>
      </c>
      <c r="Q276" s="9">
        <f>IF(ABS(E276-$H276)&lt;=1E-9,1,0)</f>
        <v>0</v>
      </c>
      <c r="R276" s="9">
        <f>IF(ABS(F276-$H276)&lt;=1E-9,1,0)</f>
        <v>0</v>
      </c>
      <c r="S276" s="9">
        <f>IF(ABS(G276-$H276)&lt;=1E-9,1,0)</f>
        <v>1</v>
      </c>
      <c r="T276" s="6" t="s">
        <v>26</v>
      </c>
    </row>
    <row r="277" spans="1:20">
      <c r="A277" s="6" t="s">
        <v>334</v>
      </c>
      <c r="B277" s="3">
        <v>50</v>
      </c>
      <c r="C277" s="7">
        <v>326</v>
      </c>
      <c r="D277" s="7">
        <v>316</v>
      </c>
      <c r="E277" s="7">
        <v>339</v>
      </c>
      <c r="F277" s="7">
        <v>258</v>
      </c>
      <c r="G277" s="7">
        <v>228</v>
      </c>
      <c r="H277" s="7">
        <f>MIN(C277:G277)</f>
        <v>228.0</v>
      </c>
      <c r="I277" s="6" t="s">
        <v>26</v>
      </c>
      <c r="J277" s="8">
        <f>IF($H277=0,"",(C277-$H277)/$H277)</f>
        <v>0.4298245614035088</v>
      </c>
      <c r="K277" s="8">
        <f>IF($H277=0,"",(D277-$H277)/$H277)</f>
        <v>0.38596491228070173</v>
      </c>
      <c r="L277" s="8">
        <f>IF($H277=0,"",(E277-$H277)/$H277)</f>
        <v>0.48684210526315785</v>
      </c>
      <c r="M277" s="8">
        <f>IF($H277=0,"",(F277-$H277)/$H277)</f>
        <v>0.13157894736842105</v>
      </c>
      <c r="N277" s="8">
        <f>IF($H277=0,"",(G277-$H277)/$H277)</f>
        <v>0.0</v>
      </c>
      <c r="O277" s="9">
        <f>IF(ABS(C277-$H277)&lt;=1E-9,1,0)</f>
        <v>0</v>
      </c>
      <c r="P277" s="9">
        <f>IF(ABS(D277-$H277)&lt;=1E-9,1,0)</f>
        <v>0</v>
      </c>
      <c r="Q277" s="9">
        <f>IF(ABS(E277-$H277)&lt;=1E-9,1,0)</f>
        <v>0</v>
      </c>
      <c r="R277" s="9">
        <f>IF(ABS(F277-$H277)&lt;=1E-9,1,0)</f>
        <v>0</v>
      </c>
      <c r="S277" s="9">
        <f>IF(ABS(G277-$H277)&lt;=1E-9,1,0)</f>
        <v>1</v>
      </c>
      <c r="T277" s="6" t="s">
        <v>26</v>
      </c>
    </row>
    <row r="278" spans="1:20">
      <c r="A278" s="6" t="s">
        <v>335</v>
      </c>
      <c r="B278" s="3">
        <v>50</v>
      </c>
      <c r="C278" s="7">
        <v>16</v>
      </c>
      <c r="D278" s="7">
        <v>17</v>
      </c>
      <c r="E278" s="7">
        <v>17</v>
      </c>
      <c r="F278" s="7">
        <v>18</v>
      </c>
      <c r="G278" s="7">
        <v>16</v>
      </c>
      <c r="H278" s="7">
        <f>MIN(C278:G278)</f>
        <v>16.0</v>
      </c>
      <c r="I278" s="6" t="s">
        <v>119</v>
      </c>
      <c r="J278" s="8">
        <f>IF($H278=0,"",(C278-$H278)/$H278)</f>
        <v>0.0</v>
      </c>
      <c r="K278" s="8">
        <f>IF($H278=0,"",(D278-$H278)/$H278)</f>
        <v>0.0625</v>
      </c>
      <c r="L278" s="8">
        <f>IF($H278=0,"",(E278-$H278)/$H278)</f>
        <v>0.0625</v>
      </c>
      <c r="M278" s="8">
        <f>IF($H278=0,"",(F278-$H278)/$H278)</f>
        <v>0.125</v>
      </c>
      <c r="N278" s="8">
        <f>IF($H278=0,"",(G278-$H278)/$H278)</f>
        <v>0.0</v>
      </c>
      <c r="O278" s="9">
        <f>IF(ABS(C278-$H278)&lt;=1E-9,1,0)</f>
        <v>1</v>
      </c>
      <c r="P278" s="9">
        <f>IF(ABS(D278-$H278)&lt;=1E-9,1,0)</f>
        <v>0</v>
      </c>
      <c r="Q278" s="9">
        <f>IF(ABS(E278-$H278)&lt;=1E-9,1,0)</f>
        <v>0</v>
      </c>
      <c r="R278" s="9">
        <f>IF(ABS(F278-$H278)&lt;=1E-9,1,0)</f>
        <v>0</v>
      </c>
      <c r="S278" s="9">
        <f>IF(ABS(G278-$H278)&lt;=1E-9,1,0)</f>
        <v>1</v>
      </c>
      <c r="T278" s="6" t="s">
        <v>51</v>
      </c>
    </row>
    <row r="279" spans="1:20">
      <c r="A279" s="6" t="s">
        <v>336</v>
      </c>
      <c r="B279" s="3">
        <v>50</v>
      </c>
      <c r="C279" s="7">
        <v>16</v>
      </c>
      <c r="D279" s="7">
        <v>16</v>
      </c>
      <c r="E279" s="7">
        <v>16</v>
      </c>
      <c r="F279" s="7">
        <v>16</v>
      </c>
      <c r="G279" s="7">
        <v>15</v>
      </c>
      <c r="H279" s="7">
        <f>MIN(C279:G279)</f>
        <v>15.0</v>
      </c>
      <c r="I279" s="6" t="s">
        <v>26</v>
      </c>
      <c r="J279" s="8">
        <f>IF($H279=0,"",(C279-$H279)/$H279)</f>
        <v>0.06666666666666667</v>
      </c>
      <c r="K279" s="8">
        <f>IF($H279=0,"",(D279-$H279)/$H279)</f>
        <v>0.06666666666666667</v>
      </c>
      <c r="L279" s="8">
        <f>IF($H279=0,"",(E279-$H279)/$H279)</f>
        <v>0.06666666666666667</v>
      </c>
      <c r="M279" s="8">
        <f>IF($H279=0,"",(F279-$H279)/$H279)</f>
        <v>0.06666666666666667</v>
      </c>
      <c r="N279" s="8">
        <f>IF($H279=0,"",(G279-$H279)/$H279)</f>
        <v>0.0</v>
      </c>
      <c r="O279" s="9">
        <f>IF(ABS(C279-$H279)&lt;=1E-9,1,0)</f>
        <v>0</v>
      </c>
      <c r="P279" s="9">
        <f>IF(ABS(D279-$H279)&lt;=1E-9,1,0)</f>
        <v>0</v>
      </c>
      <c r="Q279" s="9">
        <f>IF(ABS(E279-$H279)&lt;=1E-9,1,0)</f>
        <v>0</v>
      </c>
      <c r="R279" s="9">
        <f>IF(ABS(F279-$H279)&lt;=1E-9,1,0)</f>
        <v>0</v>
      </c>
      <c r="S279" s="9">
        <f>IF(ABS(G279-$H279)&lt;=1E-9,1,0)</f>
        <v>1</v>
      </c>
      <c r="T279" s="6" t="s">
        <v>26</v>
      </c>
    </row>
    <row r="280" spans="1:20">
      <c r="A280" s="6" t="s">
        <v>337</v>
      </c>
      <c r="B280" s="3">
        <v>50</v>
      </c>
      <c r="C280" s="7">
        <v>258</v>
      </c>
      <c r="D280" s="7">
        <v>269</v>
      </c>
      <c r="E280" s="7">
        <v>262</v>
      </c>
      <c r="F280" s="7">
        <v>245</v>
      </c>
      <c r="G280" s="7">
        <v>200</v>
      </c>
      <c r="H280" s="7">
        <f>MIN(C280:G280)</f>
        <v>200.0</v>
      </c>
      <c r="I280" s="6" t="s">
        <v>26</v>
      </c>
      <c r="J280" s="8">
        <f>IF($H280=0,"",(C280-$H280)/$H280)</f>
        <v>0.29</v>
      </c>
      <c r="K280" s="8">
        <f>IF($H280=0,"",(D280-$H280)/$H280)</f>
        <v>0.345</v>
      </c>
      <c r="L280" s="8">
        <f>IF($H280=0,"",(E280-$H280)/$H280)</f>
        <v>0.31</v>
      </c>
      <c r="M280" s="8">
        <f>IF($H280=0,"",(F280-$H280)/$H280)</f>
        <v>0.225</v>
      </c>
      <c r="N280" s="8">
        <f>IF($H280=0,"",(G280-$H280)/$H280)</f>
        <v>0.0</v>
      </c>
      <c r="O280" s="9">
        <f>IF(ABS(C280-$H280)&lt;=1E-9,1,0)</f>
        <v>0</v>
      </c>
      <c r="P280" s="9">
        <f>IF(ABS(D280-$H280)&lt;=1E-9,1,0)</f>
        <v>0</v>
      </c>
      <c r="Q280" s="9">
        <f>IF(ABS(E280-$H280)&lt;=1E-9,1,0)</f>
        <v>0</v>
      </c>
      <c r="R280" s="9">
        <f>IF(ABS(F280-$H280)&lt;=1E-9,1,0)</f>
        <v>0</v>
      </c>
      <c r="S280" s="9">
        <f>IF(ABS(G280-$H280)&lt;=1E-9,1,0)</f>
        <v>1</v>
      </c>
      <c r="T280" s="6" t="s">
        <v>26</v>
      </c>
    </row>
    <row r="281" spans="1:20">
      <c r="A281" s="6" t="s">
        <v>338</v>
      </c>
      <c r="B281" s="3">
        <v>50</v>
      </c>
      <c r="C281" s="7">
        <v>268</v>
      </c>
      <c r="D281" s="7">
        <v>279</v>
      </c>
      <c r="E281" s="7">
        <v>271</v>
      </c>
      <c r="F281" s="7">
        <v>239</v>
      </c>
      <c r="G281" s="7">
        <v>219</v>
      </c>
      <c r="H281" s="7">
        <f>MIN(C281:G281)</f>
        <v>219.0</v>
      </c>
      <c r="I281" s="6" t="s">
        <v>26</v>
      </c>
      <c r="J281" s="8">
        <f>IF($H281=0,"",(C281-$H281)/$H281)</f>
        <v>0.2237442922374429</v>
      </c>
      <c r="K281" s="8">
        <f>IF($H281=0,"",(D281-$H281)/$H281)</f>
        <v>0.273972602739726</v>
      </c>
      <c r="L281" s="8">
        <f>IF($H281=0,"",(E281-$H281)/$H281)</f>
        <v>0.2374429223744292</v>
      </c>
      <c r="M281" s="8">
        <f>IF($H281=0,"",(F281-$H281)/$H281)</f>
        <v>0.09132420091324199</v>
      </c>
      <c r="N281" s="8">
        <f>IF($H281=0,"",(G281-$H281)/$H281)</f>
        <v>0.0</v>
      </c>
      <c r="O281" s="9">
        <f>IF(ABS(C281-$H281)&lt;=1E-9,1,0)</f>
        <v>0</v>
      </c>
      <c r="P281" s="9">
        <f>IF(ABS(D281-$H281)&lt;=1E-9,1,0)</f>
        <v>0</v>
      </c>
      <c r="Q281" s="9">
        <f>IF(ABS(E281-$H281)&lt;=1E-9,1,0)</f>
        <v>0</v>
      </c>
      <c r="R281" s="9">
        <f>IF(ABS(F281-$H281)&lt;=1E-9,1,0)</f>
        <v>0</v>
      </c>
      <c r="S281" s="9">
        <f>IF(ABS(G281-$H281)&lt;=1E-9,1,0)</f>
        <v>1</v>
      </c>
      <c r="T281" s="6" t="s">
        <v>26</v>
      </c>
    </row>
    <row r="282" spans="1:20">
      <c r="A282" s="6" t="s">
        <v>339</v>
      </c>
      <c r="B282" s="3">
        <v>50</v>
      </c>
      <c r="C282" s="7">
        <v>13</v>
      </c>
      <c r="D282" s="7">
        <v>12</v>
      </c>
      <c r="E282" s="7">
        <v>13</v>
      </c>
      <c r="F282" s="7">
        <v>15</v>
      </c>
      <c r="G282" s="7">
        <v>11</v>
      </c>
      <c r="H282" s="7">
        <f>MIN(C282:G282)</f>
        <v>11.0</v>
      </c>
      <c r="I282" s="6" t="s">
        <v>26</v>
      </c>
      <c r="J282" s="8">
        <f>IF($H282=0,"",(C282-$H282)/$H282)</f>
        <v>0.18181818181818182</v>
      </c>
      <c r="K282" s="8">
        <f>IF($H282=0,"",(D282-$H282)/$H282)</f>
        <v>0.09090909090909091</v>
      </c>
      <c r="L282" s="8">
        <f>IF($H282=0,"",(E282-$H282)/$H282)</f>
        <v>0.18181818181818182</v>
      </c>
      <c r="M282" s="8">
        <f>IF($H282=0,"",(F282-$H282)/$H282)</f>
        <v>0.36363636363636365</v>
      </c>
      <c r="N282" s="8">
        <f>IF($H282=0,"",(G282-$H282)/$H282)</f>
        <v>0.0</v>
      </c>
      <c r="O282" s="9">
        <f>IF(ABS(C282-$H282)&lt;=1E-9,1,0)</f>
        <v>0</v>
      </c>
      <c r="P282" s="9">
        <f>IF(ABS(D282-$H282)&lt;=1E-9,1,0)</f>
        <v>0</v>
      </c>
      <c r="Q282" s="9">
        <f>IF(ABS(E282-$H282)&lt;=1E-9,1,0)</f>
        <v>0</v>
      </c>
      <c r="R282" s="9">
        <f>IF(ABS(F282-$H282)&lt;=1E-9,1,0)</f>
        <v>0</v>
      </c>
      <c r="S282" s="9">
        <f>IF(ABS(G282-$H282)&lt;=1E-9,1,0)</f>
        <v>1</v>
      </c>
      <c r="T282" s="6" t="s">
        <v>26</v>
      </c>
    </row>
    <row r="283" spans="1:20">
      <c r="A283" s="6" t="s">
        <v>340</v>
      </c>
      <c r="B283" s="3">
        <v>50</v>
      </c>
      <c r="C283" s="7">
        <v>13</v>
      </c>
      <c r="D283" s="7">
        <v>13</v>
      </c>
      <c r="E283" s="7">
        <v>13</v>
      </c>
      <c r="F283" s="7">
        <v>15</v>
      </c>
      <c r="G283" s="7">
        <v>11</v>
      </c>
      <c r="H283" s="7">
        <f>MIN(C283:G283)</f>
        <v>11.0</v>
      </c>
      <c r="I283" s="6" t="s">
        <v>26</v>
      </c>
      <c r="J283" s="8">
        <f>IF($H283=0,"",(C283-$H283)/$H283)</f>
        <v>0.18181818181818182</v>
      </c>
      <c r="K283" s="8">
        <f>IF($H283=0,"",(D283-$H283)/$H283)</f>
        <v>0.18181818181818182</v>
      </c>
      <c r="L283" s="8">
        <f>IF($H283=0,"",(E283-$H283)/$H283)</f>
        <v>0.18181818181818182</v>
      </c>
      <c r="M283" s="8">
        <f>IF($H283=0,"",(F283-$H283)/$H283)</f>
        <v>0.36363636363636365</v>
      </c>
      <c r="N283" s="8">
        <f>IF($H283=0,"",(G283-$H283)/$H283)</f>
        <v>0.0</v>
      </c>
      <c r="O283" s="9">
        <f>IF(ABS(C283-$H283)&lt;=1E-9,1,0)</f>
        <v>0</v>
      </c>
      <c r="P283" s="9">
        <f>IF(ABS(D283-$H283)&lt;=1E-9,1,0)</f>
        <v>0</v>
      </c>
      <c r="Q283" s="9">
        <f>IF(ABS(E283-$H283)&lt;=1E-9,1,0)</f>
        <v>0</v>
      </c>
      <c r="R283" s="9">
        <f>IF(ABS(F283-$H283)&lt;=1E-9,1,0)</f>
        <v>0</v>
      </c>
      <c r="S283" s="9">
        <f>IF(ABS(G283-$H283)&lt;=1E-9,1,0)</f>
        <v>1</v>
      </c>
      <c r="T283" s="6" t="s">
        <v>26</v>
      </c>
    </row>
    <row r="284" spans="1:20">
      <c r="A284" s="6" t="s">
        <v>341</v>
      </c>
      <c r="B284" s="3">
        <v>50</v>
      </c>
      <c r="C284" s="7">
        <v>239</v>
      </c>
      <c r="D284" s="7">
        <v>249</v>
      </c>
      <c r="E284" s="7">
        <v>235</v>
      </c>
      <c r="F284" s="7">
        <v>244</v>
      </c>
      <c r="G284" s="7">
        <v>196</v>
      </c>
      <c r="H284" s="7">
        <f>MIN(C284:G284)</f>
        <v>196.0</v>
      </c>
      <c r="I284" s="6" t="s">
        <v>26</v>
      </c>
      <c r="J284" s="8">
        <f>IF($H284=0,"",(C284-$H284)/$H284)</f>
        <v>0.2193877551020408</v>
      </c>
      <c r="K284" s="8">
        <f>IF($H284=0,"",(D284-$H284)/$H284)</f>
        <v>0.27040816326530615</v>
      </c>
      <c r="L284" s="8">
        <f>IF($H284=0,"",(E284-$H284)/$H284)</f>
        <v>0.19897959183673466</v>
      </c>
      <c r="M284" s="8">
        <f>IF($H284=0,"",(F284-$H284)/$H284)</f>
        <v>0.24489795918367346</v>
      </c>
      <c r="N284" s="8">
        <f>IF($H284=0,"",(G284-$H284)/$H284)</f>
        <v>0.0</v>
      </c>
      <c r="O284" s="9">
        <f>IF(ABS(C284-$H284)&lt;=1E-9,1,0)</f>
        <v>0</v>
      </c>
      <c r="P284" s="9">
        <f>IF(ABS(D284-$H284)&lt;=1E-9,1,0)</f>
        <v>0</v>
      </c>
      <c r="Q284" s="9">
        <f>IF(ABS(E284-$H284)&lt;=1E-9,1,0)</f>
        <v>0</v>
      </c>
      <c r="R284" s="9">
        <f>IF(ABS(F284-$H284)&lt;=1E-9,1,0)</f>
        <v>0</v>
      </c>
      <c r="S284" s="9">
        <f>IF(ABS(G284-$H284)&lt;=1E-9,1,0)</f>
        <v>1</v>
      </c>
      <c r="T284" s="6" t="s">
        <v>26</v>
      </c>
    </row>
    <row r="285" spans="1:20">
      <c r="A285" s="6" t="s">
        <v>342</v>
      </c>
      <c r="B285" s="3">
        <v>50</v>
      </c>
      <c r="C285" s="7">
        <v>204</v>
      </c>
      <c r="D285" s="7">
        <v>210</v>
      </c>
      <c r="E285" s="7">
        <v>209</v>
      </c>
      <c r="F285" s="7">
        <v>200</v>
      </c>
      <c r="G285" s="7">
        <v>158</v>
      </c>
      <c r="H285" s="7">
        <f>MIN(C285:G285)</f>
        <v>158.0</v>
      </c>
      <c r="I285" s="6" t="s">
        <v>26</v>
      </c>
      <c r="J285" s="8">
        <f>IF($H285=0,"",(C285-$H285)/$H285)</f>
        <v>0.2911392405063291</v>
      </c>
      <c r="K285" s="8">
        <f>IF($H285=0,"",(D285-$H285)/$H285)</f>
        <v>0.3291139240506329</v>
      </c>
      <c r="L285" s="8">
        <f>IF($H285=0,"",(E285-$H285)/$H285)</f>
        <v>0.3227848101265823</v>
      </c>
      <c r="M285" s="8">
        <f>IF($H285=0,"",(F285-$H285)/$H285)</f>
        <v>0.26582278481012656</v>
      </c>
      <c r="N285" s="8">
        <f>IF($H285=0,"",(G285-$H285)/$H285)</f>
        <v>0.0</v>
      </c>
      <c r="O285" s="9">
        <f>IF(ABS(C285-$H285)&lt;=1E-9,1,0)</f>
        <v>0</v>
      </c>
      <c r="P285" s="9">
        <f>IF(ABS(D285-$H285)&lt;=1E-9,1,0)</f>
        <v>0</v>
      </c>
      <c r="Q285" s="9">
        <f>IF(ABS(E285-$H285)&lt;=1E-9,1,0)</f>
        <v>0</v>
      </c>
      <c r="R285" s="9">
        <f>IF(ABS(F285-$H285)&lt;=1E-9,1,0)</f>
        <v>0</v>
      </c>
      <c r="S285" s="9">
        <f>IF(ABS(G285-$H285)&lt;=1E-9,1,0)</f>
        <v>1</v>
      </c>
      <c r="T285" s="6" t="s">
        <v>26</v>
      </c>
    </row>
    <row r="286" spans="1:20">
      <c r="A286" s="6" t="s">
        <v>343</v>
      </c>
      <c r="B286" s="3">
        <v>50</v>
      </c>
      <c r="C286" s="7">
        <v>12</v>
      </c>
      <c r="D286" s="7">
        <v>11</v>
      </c>
      <c r="E286" s="7">
        <v>11</v>
      </c>
      <c r="F286" s="7">
        <v>16</v>
      </c>
      <c r="G286" s="7">
        <v>10</v>
      </c>
      <c r="H286" s="7">
        <f>MIN(C286:G286)</f>
        <v>10.0</v>
      </c>
      <c r="I286" s="6" t="s">
        <v>26</v>
      </c>
      <c r="J286" s="8">
        <f>IF($H286=0,"",(C286-$H286)/$H286)</f>
        <v>0.2</v>
      </c>
      <c r="K286" s="8">
        <f>IF($H286=0,"",(D286-$H286)/$H286)</f>
        <v>0.1</v>
      </c>
      <c r="L286" s="8">
        <f>IF($H286=0,"",(E286-$H286)/$H286)</f>
        <v>0.1</v>
      </c>
      <c r="M286" s="8">
        <f>IF($H286=0,"",(F286-$H286)/$H286)</f>
        <v>0.6</v>
      </c>
      <c r="N286" s="8">
        <f>IF($H286=0,"",(G286-$H286)/$H286)</f>
        <v>0.0</v>
      </c>
      <c r="O286" s="9">
        <f>IF(ABS(C286-$H286)&lt;=1E-9,1,0)</f>
        <v>0</v>
      </c>
      <c r="P286" s="9">
        <f>IF(ABS(D286-$H286)&lt;=1E-9,1,0)</f>
        <v>0</v>
      </c>
      <c r="Q286" s="9">
        <f>IF(ABS(E286-$H286)&lt;=1E-9,1,0)</f>
        <v>0</v>
      </c>
      <c r="R286" s="9">
        <f>IF(ABS(F286-$H286)&lt;=1E-9,1,0)</f>
        <v>0</v>
      </c>
      <c r="S286" s="9">
        <f>IF(ABS(G286-$H286)&lt;=1E-9,1,0)</f>
        <v>1</v>
      </c>
      <c r="T286" s="6" t="s">
        <v>26</v>
      </c>
    </row>
    <row r="287" spans="1:20">
      <c r="A287" s="6" t="s">
        <v>344</v>
      </c>
      <c r="B287" s="3">
        <v>50</v>
      </c>
      <c r="C287" s="7">
        <v>12</v>
      </c>
      <c r="D287" s="7">
        <v>12</v>
      </c>
      <c r="E287" s="7">
        <v>11</v>
      </c>
      <c r="F287" s="7">
        <v>14</v>
      </c>
      <c r="G287" s="7">
        <v>10</v>
      </c>
      <c r="H287" s="7">
        <f>MIN(C287:G287)</f>
        <v>10.0</v>
      </c>
      <c r="I287" s="6" t="s">
        <v>26</v>
      </c>
      <c r="J287" s="8">
        <f>IF($H287=0,"",(C287-$H287)/$H287)</f>
        <v>0.2</v>
      </c>
      <c r="K287" s="8">
        <f>IF($H287=0,"",(D287-$H287)/$H287)</f>
        <v>0.2</v>
      </c>
      <c r="L287" s="8">
        <f>IF($H287=0,"",(E287-$H287)/$H287)</f>
        <v>0.1</v>
      </c>
      <c r="M287" s="8">
        <f>IF($H287=0,"",(F287-$H287)/$H287)</f>
        <v>0.4</v>
      </c>
      <c r="N287" s="8">
        <f>IF($H287=0,"",(G287-$H287)/$H287)</f>
        <v>0.0</v>
      </c>
      <c r="O287" s="9">
        <f>IF(ABS(C287-$H287)&lt;=1E-9,1,0)</f>
        <v>0</v>
      </c>
      <c r="P287" s="9">
        <f>IF(ABS(D287-$H287)&lt;=1E-9,1,0)</f>
        <v>0</v>
      </c>
      <c r="Q287" s="9">
        <f>IF(ABS(E287-$H287)&lt;=1E-9,1,0)</f>
        <v>0</v>
      </c>
      <c r="R287" s="9">
        <f>IF(ABS(F287-$H287)&lt;=1E-9,1,0)</f>
        <v>0</v>
      </c>
      <c r="S287" s="9">
        <f>IF(ABS(G287-$H287)&lt;=1E-9,1,0)</f>
        <v>1</v>
      </c>
      <c r="T287" s="6" t="s">
        <v>26</v>
      </c>
    </row>
    <row r="288" spans="1:20">
      <c r="A288" s="6" t="s">
        <v>345</v>
      </c>
      <c r="B288" s="3">
        <v>50</v>
      </c>
      <c r="C288" s="7">
        <v>223</v>
      </c>
      <c r="D288" s="7">
        <v>241</v>
      </c>
      <c r="E288" s="7">
        <v>241</v>
      </c>
      <c r="F288" s="7">
        <v>252</v>
      </c>
      <c r="G288" s="7">
        <v>199</v>
      </c>
      <c r="H288" s="7">
        <f>MIN(C288:G288)</f>
        <v>199.0</v>
      </c>
      <c r="I288" s="6" t="s">
        <v>26</v>
      </c>
      <c r="J288" s="8">
        <f>IF($H288=0,"",(C288-$H288)/$H288)</f>
        <v>0.12060301507537688</v>
      </c>
      <c r="K288" s="8">
        <f>IF($H288=0,"",(D288-$H288)/$H288)</f>
        <v>0.21105527638190952</v>
      </c>
      <c r="L288" s="8">
        <f>IF($H288=0,"",(E288-$H288)/$H288)</f>
        <v>0.21105527638190952</v>
      </c>
      <c r="M288" s="8">
        <f>IF($H288=0,"",(F288-$H288)/$H288)</f>
        <v>0.2663316582914573</v>
      </c>
      <c r="N288" s="8">
        <f>IF($H288=0,"",(G288-$H288)/$H288)</f>
        <v>0.0</v>
      </c>
      <c r="O288" s="9">
        <f>IF(ABS(C288-$H288)&lt;=1E-9,1,0)</f>
        <v>0</v>
      </c>
      <c r="P288" s="9">
        <f>IF(ABS(D288-$H288)&lt;=1E-9,1,0)</f>
        <v>0</v>
      </c>
      <c r="Q288" s="9">
        <f>IF(ABS(E288-$H288)&lt;=1E-9,1,0)</f>
        <v>0</v>
      </c>
      <c r="R288" s="9">
        <f>IF(ABS(F288-$H288)&lt;=1E-9,1,0)</f>
        <v>0</v>
      </c>
      <c r="S288" s="9">
        <f>IF(ABS(G288-$H288)&lt;=1E-9,1,0)</f>
        <v>1</v>
      </c>
      <c r="T288" s="6" t="s">
        <v>26</v>
      </c>
    </row>
    <row r="289" spans="1:20">
      <c r="A289" s="6" t="s">
        <v>346</v>
      </c>
      <c r="B289" s="3">
        <v>50</v>
      </c>
      <c r="C289" s="7">
        <v>190</v>
      </c>
      <c r="D289" s="7">
        <v>181</v>
      </c>
      <c r="E289" s="7">
        <v>204</v>
      </c>
      <c r="F289" s="7">
        <v>213</v>
      </c>
      <c r="G289" s="7">
        <v>160</v>
      </c>
      <c r="H289" s="7">
        <f>MIN(C289:G289)</f>
        <v>160.0</v>
      </c>
      <c r="I289" s="6" t="s">
        <v>26</v>
      </c>
      <c r="J289" s="8">
        <f>IF($H289=0,"",(C289-$H289)/$H289)</f>
        <v>0.1875</v>
      </c>
      <c r="K289" s="8">
        <f>IF($H289=0,"",(D289-$H289)/$H289)</f>
        <v>0.13125</v>
      </c>
      <c r="L289" s="8">
        <f>IF($H289=0,"",(E289-$H289)/$H289)</f>
        <v>0.275</v>
      </c>
      <c r="M289" s="8">
        <f>IF($H289=0,"",(F289-$H289)/$H289)</f>
        <v>0.33125</v>
      </c>
      <c r="N289" s="8">
        <f>IF($H289=0,"",(G289-$H289)/$H289)</f>
        <v>0.0</v>
      </c>
      <c r="O289" s="9">
        <f>IF(ABS(C289-$H289)&lt;=1E-9,1,0)</f>
        <v>0</v>
      </c>
      <c r="P289" s="9">
        <f>IF(ABS(D289-$H289)&lt;=1E-9,1,0)</f>
        <v>0</v>
      </c>
      <c r="Q289" s="9">
        <f>IF(ABS(E289-$H289)&lt;=1E-9,1,0)</f>
        <v>0</v>
      </c>
      <c r="R289" s="9">
        <f>IF(ABS(F289-$H289)&lt;=1E-9,1,0)</f>
        <v>0</v>
      </c>
      <c r="S289" s="9">
        <f>IF(ABS(G289-$H289)&lt;=1E-9,1,0)</f>
        <v>1</v>
      </c>
      <c r="T289" s="6" t="s">
        <v>26</v>
      </c>
    </row>
    <row r="290" spans="1:20">
      <c r="A290" s="6" t="s">
        <v>347</v>
      </c>
      <c r="B290" s="3">
        <v>75</v>
      </c>
      <c r="C290" s="7">
        <v>27</v>
      </c>
      <c r="D290" s="7">
        <v>26</v>
      </c>
      <c r="E290" s="7">
        <v>28</v>
      </c>
      <c r="F290" s="7">
        <v>27</v>
      </c>
      <c r="G290" s="7">
        <v>25</v>
      </c>
      <c r="H290" s="7">
        <f>MIN(C290:G290)</f>
        <v>25.0</v>
      </c>
      <c r="I290" s="6" t="s">
        <v>26</v>
      </c>
      <c r="J290" s="8">
        <f>IF($H290=0,"",(C290-$H290)/$H290)</f>
        <v>0.08</v>
      </c>
      <c r="K290" s="8">
        <f>IF($H290=0,"",(D290-$H290)/$H290)</f>
        <v>0.04</v>
      </c>
      <c r="L290" s="8">
        <f>IF($H290=0,"",(E290-$H290)/$H290)</f>
        <v>0.12</v>
      </c>
      <c r="M290" s="8">
        <f>IF($H290=0,"",(F290-$H290)/$H290)</f>
        <v>0.08</v>
      </c>
      <c r="N290" s="8">
        <f>IF($H290=0,"",(G290-$H290)/$H290)</f>
        <v>0.0</v>
      </c>
      <c r="O290" s="9">
        <f>IF(ABS(C290-$H290)&lt;=1E-9,1,0)</f>
        <v>0</v>
      </c>
      <c r="P290" s="9">
        <f>IF(ABS(D290-$H290)&lt;=1E-9,1,0)</f>
        <v>0</v>
      </c>
      <c r="Q290" s="9">
        <f>IF(ABS(E290-$H290)&lt;=1E-9,1,0)</f>
        <v>0</v>
      </c>
      <c r="R290" s="9">
        <f>IF(ABS(F290-$H290)&lt;=1E-9,1,0)</f>
        <v>0</v>
      </c>
      <c r="S290" s="9">
        <f>IF(ABS(G290-$H290)&lt;=1E-9,1,0)</f>
        <v>1</v>
      </c>
      <c r="T290" s="6" t="s">
        <v>26</v>
      </c>
    </row>
    <row r="291" spans="1:20">
      <c r="A291" s="6" t="s">
        <v>348</v>
      </c>
      <c r="B291" s="3">
        <v>75</v>
      </c>
      <c r="C291" s="7">
        <v>28</v>
      </c>
      <c r="D291" s="7">
        <v>28</v>
      </c>
      <c r="E291" s="7">
        <v>29</v>
      </c>
      <c r="F291" s="7">
        <v>26</v>
      </c>
      <c r="G291" s="7">
        <v>26</v>
      </c>
      <c r="H291" s="7">
        <f>MIN(C291:G291)</f>
        <v>26.0</v>
      </c>
      <c r="I291" s="6" t="s">
        <v>50</v>
      </c>
      <c r="J291" s="8">
        <f>IF($H291=0,"",(C291-$H291)/$H291)</f>
        <v>0.07692307692307693</v>
      </c>
      <c r="K291" s="8">
        <f>IF($H291=0,"",(D291-$H291)/$H291)</f>
        <v>0.07692307692307693</v>
      </c>
      <c r="L291" s="8">
        <f>IF($H291=0,"",(E291-$H291)/$H291)</f>
        <v>0.11538461538461538</v>
      </c>
      <c r="M291" s="8">
        <f>IF($H291=0,"",(F291-$H291)/$H291)</f>
        <v>0.0</v>
      </c>
      <c r="N291" s="8">
        <f>IF($H291=0,"",(G291-$H291)/$H291)</f>
        <v>0.0</v>
      </c>
      <c r="O291" s="9">
        <f>IF(ABS(C291-$H291)&lt;=1E-9,1,0)</f>
        <v>0</v>
      </c>
      <c r="P291" s="9">
        <f>IF(ABS(D291-$H291)&lt;=1E-9,1,0)</f>
        <v>0</v>
      </c>
      <c r="Q291" s="9">
        <f>IF(ABS(E291-$H291)&lt;=1E-9,1,0)</f>
        <v>0</v>
      </c>
      <c r="R291" s="9">
        <f>IF(ABS(F291-$H291)&lt;=1E-9,1,0)</f>
        <v>1</v>
      </c>
      <c r="S291" s="9">
        <f>IF(ABS(G291-$H291)&lt;=1E-9,1,0)</f>
        <v>1</v>
      </c>
      <c r="T291" s="6" t="s">
        <v>51</v>
      </c>
    </row>
    <row r="292" spans="1:20">
      <c r="A292" s="6" t="s">
        <v>349</v>
      </c>
      <c r="B292" s="3">
        <v>75</v>
      </c>
      <c r="C292" s="7">
        <v>483</v>
      </c>
      <c r="D292" s="7">
        <v>473</v>
      </c>
      <c r="E292" s="7">
        <v>483</v>
      </c>
      <c r="F292" s="7">
        <v>382</v>
      </c>
      <c r="G292" s="7">
        <v>349</v>
      </c>
      <c r="H292" s="7">
        <f>MIN(C292:G292)</f>
        <v>349.0</v>
      </c>
      <c r="I292" s="6" t="s">
        <v>26</v>
      </c>
      <c r="J292" s="8">
        <f>IF($H292=0,"",(C292-$H292)/$H292)</f>
        <v>0.3839541547277937</v>
      </c>
      <c r="K292" s="8">
        <f>IF($H292=0,"",(D292-$H292)/$H292)</f>
        <v>0.3553008595988539</v>
      </c>
      <c r="L292" s="8">
        <f>IF($H292=0,"",(E292-$H292)/$H292)</f>
        <v>0.3839541547277937</v>
      </c>
      <c r="M292" s="8">
        <f>IF($H292=0,"",(F292-$H292)/$H292)</f>
        <v>0.09455587392550142</v>
      </c>
      <c r="N292" s="8">
        <f>IF($H292=0,"",(G292-$H292)/$H292)</f>
        <v>0.0</v>
      </c>
      <c r="O292" s="9">
        <f>IF(ABS(C292-$H292)&lt;=1E-9,1,0)</f>
        <v>0</v>
      </c>
      <c r="P292" s="9">
        <f>IF(ABS(D292-$H292)&lt;=1E-9,1,0)</f>
        <v>0</v>
      </c>
      <c r="Q292" s="9">
        <f>IF(ABS(E292-$H292)&lt;=1E-9,1,0)</f>
        <v>0</v>
      </c>
      <c r="R292" s="9">
        <f>IF(ABS(F292-$H292)&lt;=1E-9,1,0)</f>
        <v>0</v>
      </c>
      <c r="S292" s="9">
        <f>IF(ABS(G292-$H292)&lt;=1E-9,1,0)</f>
        <v>1</v>
      </c>
      <c r="T292" s="6" t="s">
        <v>26</v>
      </c>
    </row>
    <row r="293" spans="1:20">
      <c r="A293" s="6" t="s">
        <v>350</v>
      </c>
      <c r="B293" s="3">
        <v>75</v>
      </c>
      <c r="C293" s="7">
        <v>453</v>
      </c>
      <c r="D293" s="7">
        <v>461</v>
      </c>
      <c r="E293" s="7">
        <v>439</v>
      </c>
      <c r="F293" s="7">
        <v>388</v>
      </c>
      <c r="G293" s="7">
        <v>358</v>
      </c>
      <c r="H293" s="7">
        <f>MIN(C293:G293)</f>
        <v>358.0</v>
      </c>
      <c r="I293" s="6" t="s">
        <v>26</v>
      </c>
      <c r="J293" s="8">
        <f>IF($H293=0,"",(C293-$H293)/$H293)</f>
        <v>0.26536312849162014</v>
      </c>
      <c r="K293" s="8">
        <f>IF($H293=0,"",(D293-$H293)/$H293)</f>
        <v>0.2877094972067039</v>
      </c>
      <c r="L293" s="8">
        <f>IF($H293=0,"",(E293-$H293)/$H293)</f>
        <v>0.22625698324022347</v>
      </c>
      <c r="M293" s="8">
        <f>IF($H293=0,"",(F293-$H293)/$H293)</f>
        <v>0.08379888268156424</v>
      </c>
      <c r="N293" s="8">
        <f>IF($H293=0,"",(G293-$H293)/$H293)</f>
        <v>0.0</v>
      </c>
      <c r="O293" s="9">
        <f>IF(ABS(C293-$H293)&lt;=1E-9,1,0)</f>
        <v>0</v>
      </c>
      <c r="P293" s="9">
        <f>IF(ABS(D293-$H293)&lt;=1E-9,1,0)</f>
        <v>0</v>
      </c>
      <c r="Q293" s="9">
        <f>IF(ABS(E293-$H293)&lt;=1E-9,1,0)</f>
        <v>0</v>
      </c>
      <c r="R293" s="9">
        <f>IF(ABS(F293-$H293)&lt;=1E-9,1,0)</f>
        <v>0</v>
      </c>
      <c r="S293" s="9">
        <f>IF(ABS(G293-$H293)&lt;=1E-9,1,0)</f>
        <v>1</v>
      </c>
      <c r="T293" s="6" t="s">
        <v>26</v>
      </c>
    </row>
    <row r="294" spans="1:20">
      <c r="A294" s="6" t="s">
        <v>351</v>
      </c>
      <c r="B294" s="3">
        <v>75</v>
      </c>
      <c r="C294" s="7">
        <v>22</v>
      </c>
      <c r="D294" s="7">
        <v>22</v>
      </c>
      <c r="E294" s="7">
        <v>22</v>
      </c>
      <c r="F294" s="7">
        <v>24</v>
      </c>
      <c r="G294" s="7">
        <v>21</v>
      </c>
      <c r="H294" s="7">
        <f>MIN(C294:G294)</f>
        <v>21.0</v>
      </c>
      <c r="I294" s="6" t="s">
        <v>26</v>
      </c>
      <c r="J294" s="8">
        <f>IF($H294=0,"",(C294-$H294)/$H294)</f>
        <v>0.047619047619047616</v>
      </c>
      <c r="K294" s="8">
        <f>IF($H294=0,"",(D294-$H294)/$H294)</f>
        <v>0.047619047619047616</v>
      </c>
      <c r="L294" s="8">
        <f>IF($H294=0,"",(E294-$H294)/$H294)</f>
        <v>0.047619047619047616</v>
      </c>
      <c r="M294" s="8">
        <f>IF($H294=0,"",(F294-$H294)/$H294)</f>
        <v>0.14285714285714285</v>
      </c>
      <c r="N294" s="8">
        <f>IF($H294=0,"",(G294-$H294)/$H294)</f>
        <v>0.0</v>
      </c>
      <c r="O294" s="9">
        <f>IF(ABS(C294-$H294)&lt;=1E-9,1,0)</f>
        <v>0</v>
      </c>
      <c r="P294" s="9">
        <f>IF(ABS(D294-$H294)&lt;=1E-9,1,0)</f>
        <v>0</v>
      </c>
      <c r="Q294" s="9">
        <f>IF(ABS(E294-$H294)&lt;=1E-9,1,0)</f>
        <v>0</v>
      </c>
      <c r="R294" s="9">
        <f>IF(ABS(F294-$H294)&lt;=1E-9,1,0)</f>
        <v>0</v>
      </c>
      <c r="S294" s="9">
        <f>IF(ABS(G294-$H294)&lt;=1E-9,1,0)</f>
        <v>1</v>
      </c>
      <c r="T294" s="6" t="s">
        <v>26</v>
      </c>
    </row>
    <row r="295" spans="1:20">
      <c r="A295" s="6" t="s">
        <v>352</v>
      </c>
      <c r="B295" s="3">
        <v>75</v>
      </c>
      <c r="C295" s="7">
        <v>23</v>
      </c>
      <c r="D295" s="7">
        <v>24</v>
      </c>
      <c r="E295" s="7">
        <v>23</v>
      </c>
      <c r="F295" s="7">
        <v>23</v>
      </c>
      <c r="G295" s="7">
        <v>22</v>
      </c>
      <c r="H295" s="7">
        <f>MIN(C295:G295)</f>
        <v>22.0</v>
      </c>
      <c r="I295" s="6" t="s">
        <v>26</v>
      </c>
      <c r="J295" s="8">
        <f>IF($H295=0,"",(C295-$H295)/$H295)</f>
        <v>0.045454545454545456</v>
      </c>
      <c r="K295" s="8">
        <f>IF($H295=0,"",(D295-$H295)/$H295)</f>
        <v>0.09090909090909091</v>
      </c>
      <c r="L295" s="8">
        <f>IF($H295=0,"",(E295-$H295)/$H295)</f>
        <v>0.045454545454545456</v>
      </c>
      <c r="M295" s="8">
        <f>IF($H295=0,"",(F295-$H295)/$H295)</f>
        <v>0.045454545454545456</v>
      </c>
      <c r="N295" s="8">
        <f>IF($H295=0,"",(G295-$H295)/$H295)</f>
        <v>0.0</v>
      </c>
      <c r="O295" s="9">
        <f>IF(ABS(C295-$H295)&lt;=1E-9,1,0)</f>
        <v>0</v>
      </c>
      <c r="P295" s="9">
        <f>IF(ABS(D295-$H295)&lt;=1E-9,1,0)</f>
        <v>0</v>
      </c>
      <c r="Q295" s="9">
        <f>IF(ABS(E295-$H295)&lt;=1E-9,1,0)</f>
        <v>0</v>
      </c>
      <c r="R295" s="9">
        <f>IF(ABS(F295-$H295)&lt;=1E-9,1,0)</f>
        <v>0</v>
      </c>
      <c r="S295" s="9">
        <f>IF(ABS(G295-$H295)&lt;=1E-9,1,0)</f>
        <v>1</v>
      </c>
      <c r="T295" s="6" t="s">
        <v>26</v>
      </c>
    </row>
    <row r="296" spans="1:20">
      <c r="A296" s="6" t="s">
        <v>353</v>
      </c>
      <c r="B296" s="3">
        <v>75</v>
      </c>
      <c r="C296" s="7">
        <v>430</v>
      </c>
      <c r="D296" s="7">
        <v>433</v>
      </c>
      <c r="E296" s="7">
        <v>444</v>
      </c>
      <c r="F296" s="7">
        <v>366</v>
      </c>
      <c r="G296" s="7">
        <v>324</v>
      </c>
      <c r="H296" s="7">
        <f>MIN(C296:G296)</f>
        <v>324.0</v>
      </c>
      <c r="I296" s="6" t="s">
        <v>26</v>
      </c>
      <c r="J296" s="8">
        <f>IF($H296=0,"",(C296-$H296)/$H296)</f>
        <v>0.3271604938271605</v>
      </c>
      <c r="K296" s="8">
        <f>IF($H296=0,"",(D296-$H296)/$H296)</f>
        <v>0.33641975308641975</v>
      </c>
      <c r="L296" s="8">
        <f>IF($H296=0,"",(E296-$H296)/$H296)</f>
        <v>0.3703703703703704</v>
      </c>
      <c r="M296" s="8">
        <f>IF($H296=0,"",(F296-$H296)/$H296)</f>
        <v>0.12962962962962962</v>
      </c>
      <c r="N296" s="8">
        <f>IF($H296=0,"",(G296-$H296)/$H296)</f>
        <v>0.0</v>
      </c>
      <c r="O296" s="9">
        <f>IF(ABS(C296-$H296)&lt;=1E-9,1,0)</f>
        <v>0</v>
      </c>
      <c r="P296" s="9">
        <f>IF(ABS(D296-$H296)&lt;=1E-9,1,0)</f>
        <v>0</v>
      </c>
      <c r="Q296" s="9">
        <f>IF(ABS(E296-$H296)&lt;=1E-9,1,0)</f>
        <v>0</v>
      </c>
      <c r="R296" s="9">
        <f>IF(ABS(F296-$H296)&lt;=1E-9,1,0)</f>
        <v>0</v>
      </c>
      <c r="S296" s="9">
        <f>IF(ABS(G296-$H296)&lt;=1E-9,1,0)</f>
        <v>1</v>
      </c>
      <c r="T296" s="6" t="s">
        <v>26</v>
      </c>
    </row>
    <row r="297" spans="1:20">
      <c r="A297" s="6" t="s">
        <v>354</v>
      </c>
      <c r="B297" s="3">
        <v>75</v>
      </c>
      <c r="C297" s="7">
        <v>420</v>
      </c>
      <c r="D297" s="7">
        <v>436</v>
      </c>
      <c r="E297" s="7">
        <v>450</v>
      </c>
      <c r="F297" s="7">
        <v>350</v>
      </c>
      <c r="G297" s="7">
        <v>327</v>
      </c>
      <c r="H297" s="7">
        <f>MIN(C297:G297)</f>
        <v>327.0</v>
      </c>
      <c r="I297" s="6" t="s">
        <v>26</v>
      </c>
      <c r="J297" s="8">
        <f>IF($H297=0,"",(C297-$H297)/$H297)</f>
        <v>0.28440366972477066</v>
      </c>
      <c r="K297" s="8">
        <f>IF($H297=0,"",(D297-$H297)/$H297)</f>
        <v>0.33333333333333326</v>
      </c>
      <c r="L297" s="8">
        <f>IF($H297=0,"",(E297-$H297)/$H297)</f>
        <v>0.3761467889908257</v>
      </c>
      <c r="M297" s="8">
        <f>IF($H297=0,"",(F297-$H297)/$H297)</f>
        <v>0.07033639143730887</v>
      </c>
      <c r="N297" s="8">
        <f>IF($H297=0,"",(G297-$H297)/$H297)</f>
        <v>0.0</v>
      </c>
      <c r="O297" s="9">
        <f>IF(ABS(C297-$H297)&lt;=1E-9,1,0)</f>
        <v>0</v>
      </c>
      <c r="P297" s="9">
        <f>IF(ABS(D297-$H297)&lt;=1E-9,1,0)</f>
        <v>0</v>
      </c>
      <c r="Q297" s="9">
        <f>IF(ABS(E297-$H297)&lt;=1E-9,1,0)</f>
        <v>0</v>
      </c>
      <c r="R297" s="9">
        <f>IF(ABS(F297-$H297)&lt;=1E-9,1,0)</f>
        <v>0</v>
      </c>
      <c r="S297" s="9">
        <f>IF(ABS(G297-$H297)&lt;=1E-9,1,0)</f>
        <v>1</v>
      </c>
      <c r="T297" s="6" t="s">
        <v>26</v>
      </c>
    </row>
    <row r="298" spans="1:20">
      <c r="A298" s="6" t="s">
        <v>355</v>
      </c>
      <c r="B298" s="3">
        <v>75</v>
      </c>
      <c r="C298" s="7">
        <v>18</v>
      </c>
      <c r="D298" s="7">
        <v>19</v>
      </c>
      <c r="E298" s="7">
        <v>20</v>
      </c>
      <c r="F298" s="7">
        <v>22</v>
      </c>
      <c r="G298" s="7">
        <v>17</v>
      </c>
      <c r="H298" s="7">
        <f>MIN(C298:G298)</f>
        <v>17.0</v>
      </c>
      <c r="I298" s="6" t="s">
        <v>26</v>
      </c>
      <c r="J298" s="8">
        <f>IF($H298=0,"",(C298-$H298)/$H298)</f>
        <v>0.0588235294117647</v>
      </c>
      <c r="K298" s="8">
        <f>IF($H298=0,"",(D298-$H298)/$H298)</f>
        <v>0.1176470588235294</v>
      </c>
      <c r="L298" s="8">
        <f>IF($H298=0,"",(E298-$H298)/$H298)</f>
        <v>0.17647058823529413</v>
      </c>
      <c r="M298" s="8">
        <f>IF($H298=0,"",(F298-$H298)/$H298)</f>
        <v>0.29411764705882354</v>
      </c>
      <c r="N298" s="8">
        <f>IF($H298=0,"",(G298-$H298)/$H298)</f>
        <v>0.0</v>
      </c>
      <c r="O298" s="9">
        <f>IF(ABS(C298-$H298)&lt;=1E-9,1,0)</f>
        <v>0</v>
      </c>
      <c r="P298" s="9">
        <f>IF(ABS(D298-$H298)&lt;=1E-9,1,0)</f>
        <v>0</v>
      </c>
      <c r="Q298" s="9">
        <f>IF(ABS(E298-$H298)&lt;=1E-9,1,0)</f>
        <v>0</v>
      </c>
      <c r="R298" s="9">
        <f>IF(ABS(F298-$H298)&lt;=1E-9,1,0)</f>
        <v>0</v>
      </c>
      <c r="S298" s="9">
        <f>IF(ABS(G298-$H298)&lt;=1E-9,1,0)</f>
        <v>1</v>
      </c>
      <c r="T298" s="6" t="s">
        <v>26</v>
      </c>
    </row>
    <row r="299" spans="1:20">
      <c r="A299" s="6" t="s">
        <v>356</v>
      </c>
      <c r="B299" s="3">
        <v>75</v>
      </c>
      <c r="C299" s="7">
        <v>19</v>
      </c>
      <c r="D299" s="7">
        <v>18</v>
      </c>
      <c r="E299" s="7">
        <v>19</v>
      </c>
      <c r="F299" s="7">
        <v>21</v>
      </c>
      <c r="G299" s="7">
        <v>18</v>
      </c>
      <c r="H299" s="7">
        <f>MIN(C299:G299)</f>
        <v>18.0</v>
      </c>
      <c r="I299" s="6" t="s">
        <v>97</v>
      </c>
      <c r="J299" s="8">
        <f>IF($H299=0,"",(C299-$H299)/$H299)</f>
        <v>0.05555555555555555</v>
      </c>
      <c r="K299" s="8">
        <f>IF($H299=0,"",(D299-$H299)/$H299)</f>
        <v>0.0</v>
      </c>
      <c r="L299" s="8">
        <f>IF($H299=0,"",(E299-$H299)/$H299)</f>
        <v>0.05555555555555555</v>
      </c>
      <c r="M299" s="8">
        <f>IF($H299=0,"",(F299-$H299)/$H299)</f>
        <v>0.16666666666666663</v>
      </c>
      <c r="N299" s="8">
        <f>IF($H299=0,"",(G299-$H299)/$H299)</f>
        <v>0.0</v>
      </c>
      <c r="O299" s="9">
        <f>IF(ABS(C299-$H299)&lt;=1E-9,1,0)</f>
        <v>0</v>
      </c>
      <c r="P299" s="9">
        <f>IF(ABS(D299-$H299)&lt;=1E-9,1,0)</f>
        <v>1</v>
      </c>
      <c r="Q299" s="9">
        <f>IF(ABS(E299-$H299)&lt;=1E-9,1,0)</f>
        <v>0</v>
      </c>
      <c r="R299" s="9">
        <f>IF(ABS(F299-$H299)&lt;=1E-9,1,0)</f>
        <v>0</v>
      </c>
      <c r="S299" s="9">
        <f>IF(ABS(G299-$H299)&lt;=1E-9,1,0)</f>
        <v>1</v>
      </c>
      <c r="T299" s="6" t="s">
        <v>51</v>
      </c>
    </row>
    <row r="300" spans="1:20">
      <c r="A300" s="6" t="s">
        <v>357</v>
      </c>
      <c r="B300" s="3">
        <v>75</v>
      </c>
      <c r="C300" s="7">
        <v>380</v>
      </c>
      <c r="D300" s="7">
        <v>382</v>
      </c>
      <c r="E300" s="7">
        <v>410</v>
      </c>
      <c r="F300" s="7">
        <v>335</v>
      </c>
      <c r="G300" s="7">
        <v>290</v>
      </c>
      <c r="H300" s="7">
        <f>MIN(C300:G300)</f>
        <v>290.0</v>
      </c>
      <c r="I300" s="6" t="s">
        <v>26</v>
      </c>
      <c r="J300" s="8">
        <f>IF($H300=0,"",(C300-$H300)/$H300)</f>
        <v>0.3103448275862069</v>
      </c>
      <c r="K300" s="8">
        <f>IF($H300=0,"",(D300-$H300)/$H300)</f>
        <v>0.31724137931034485</v>
      </c>
      <c r="L300" s="8">
        <f>IF($H300=0,"",(E300-$H300)/$H300)</f>
        <v>0.41379310344827586</v>
      </c>
      <c r="M300" s="8">
        <f>IF($H300=0,"",(F300-$H300)/$H300)</f>
        <v>0.15517241379310345</v>
      </c>
      <c r="N300" s="8">
        <f>IF($H300=0,"",(G300-$H300)/$H300)</f>
        <v>0.0</v>
      </c>
      <c r="O300" s="9">
        <f>IF(ABS(C300-$H300)&lt;=1E-9,1,0)</f>
        <v>0</v>
      </c>
      <c r="P300" s="9">
        <f>IF(ABS(D300-$H300)&lt;=1E-9,1,0)</f>
        <v>0</v>
      </c>
      <c r="Q300" s="9">
        <f>IF(ABS(E300-$H300)&lt;=1E-9,1,0)</f>
        <v>0</v>
      </c>
      <c r="R300" s="9">
        <f>IF(ABS(F300-$H300)&lt;=1E-9,1,0)</f>
        <v>0</v>
      </c>
      <c r="S300" s="9">
        <f>IF(ABS(G300-$H300)&lt;=1E-9,1,0)</f>
        <v>1</v>
      </c>
      <c r="T300" s="6" t="s">
        <v>26</v>
      </c>
    </row>
    <row r="301" spans="1:20">
      <c r="A301" s="6" t="s">
        <v>358</v>
      </c>
      <c r="B301" s="3">
        <v>75</v>
      </c>
      <c r="C301" s="7">
        <v>349</v>
      </c>
      <c r="D301" s="7">
        <v>360</v>
      </c>
      <c r="E301" s="7">
        <v>359</v>
      </c>
      <c r="F301" s="7">
        <v>326</v>
      </c>
      <c r="G301" s="7">
        <v>275</v>
      </c>
      <c r="H301" s="7">
        <f>MIN(C301:G301)</f>
        <v>275.0</v>
      </c>
      <c r="I301" s="6" t="s">
        <v>26</v>
      </c>
      <c r="J301" s="8">
        <f>IF($H301=0,"",(C301-$H301)/$H301)</f>
        <v>0.2690909090909091</v>
      </c>
      <c r="K301" s="8">
        <f>IF($H301=0,"",(D301-$H301)/$H301)</f>
        <v>0.3090909090909091</v>
      </c>
      <c r="L301" s="8">
        <f>IF($H301=0,"",(E301-$H301)/$H301)</f>
        <v>0.3054545454545455</v>
      </c>
      <c r="M301" s="8">
        <f>IF($H301=0,"",(F301-$H301)/$H301)</f>
        <v>0.18545454545454546</v>
      </c>
      <c r="N301" s="8">
        <f>IF($H301=0,"",(G301-$H301)/$H301)</f>
        <v>0.0</v>
      </c>
      <c r="O301" s="9">
        <f>IF(ABS(C301-$H301)&lt;=1E-9,1,0)</f>
        <v>0</v>
      </c>
      <c r="P301" s="9">
        <f>IF(ABS(D301-$H301)&lt;=1E-9,1,0)</f>
        <v>0</v>
      </c>
      <c r="Q301" s="9">
        <f>IF(ABS(E301-$H301)&lt;=1E-9,1,0)</f>
        <v>0</v>
      </c>
      <c r="R301" s="9">
        <f>IF(ABS(F301-$H301)&lt;=1E-9,1,0)</f>
        <v>0</v>
      </c>
      <c r="S301" s="9">
        <f>IF(ABS(G301-$H301)&lt;=1E-9,1,0)</f>
        <v>1</v>
      </c>
      <c r="T301" s="6" t="s">
        <v>26</v>
      </c>
    </row>
    <row r="302" spans="1:20">
      <c r="A302" s="6" t="s">
        <v>359</v>
      </c>
      <c r="B302" s="3">
        <v>75</v>
      </c>
      <c r="C302" s="7">
        <v>16</v>
      </c>
      <c r="D302" s="7">
        <v>15</v>
      </c>
      <c r="E302" s="7">
        <v>15</v>
      </c>
      <c r="F302" s="7">
        <v>20</v>
      </c>
      <c r="G302" s="7">
        <v>13</v>
      </c>
      <c r="H302" s="7">
        <f>MIN(C302:G302)</f>
        <v>13.0</v>
      </c>
      <c r="I302" s="6" t="s">
        <v>26</v>
      </c>
      <c r="J302" s="8">
        <f>IF($H302=0,"",(C302-$H302)/$H302)</f>
        <v>0.23076923076923075</v>
      </c>
      <c r="K302" s="8">
        <f>IF($H302=0,"",(D302-$H302)/$H302)</f>
        <v>0.15384615384615385</v>
      </c>
      <c r="L302" s="8">
        <f>IF($H302=0,"",(E302-$H302)/$H302)</f>
        <v>0.15384615384615385</v>
      </c>
      <c r="M302" s="8">
        <f>IF($H302=0,"",(F302-$H302)/$H302)</f>
        <v>0.5384615384615384</v>
      </c>
      <c r="N302" s="8">
        <f>IF($H302=0,"",(G302-$H302)/$H302)</f>
        <v>0.0</v>
      </c>
      <c r="O302" s="9">
        <f>IF(ABS(C302-$H302)&lt;=1E-9,1,0)</f>
        <v>0</v>
      </c>
      <c r="P302" s="9">
        <f>IF(ABS(D302-$H302)&lt;=1E-9,1,0)</f>
        <v>0</v>
      </c>
      <c r="Q302" s="9">
        <f>IF(ABS(E302-$H302)&lt;=1E-9,1,0)</f>
        <v>0</v>
      </c>
      <c r="R302" s="9">
        <f>IF(ABS(F302-$H302)&lt;=1E-9,1,0)</f>
        <v>0</v>
      </c>
      <c r="S302" s="9">
        <f>IF(ABS(G302-$H302)&lt;=1E-9,1,0)</f>
        <v>1</v>
      </c>
      <c r="T302" s="6" t="s">
        <v>26</v>
      </c>
    </row>
    <row r="303" spans="1:20">
      <c r="A303" s="6" t="s">
        <v>360</v>
      </c>
      <c r="B303" s="3">
        <v>75</v>
      </c>
      <c r="C303" s="7">
        <v>16</v>
      </c>
      <c r="D303" s="7">
        <v>15</v>
      </c>
      <c r="E303" s="7">
        <v>17</v>
      </c>
      <c r="F303" s="7">
        <v>22</v>
      </c>
      <c r="G303" s="7">
        <v>13</v>
      </c>
      <c r="H303" s="7">
        <f>MIN(C303:G303)</f>
        <v>13.0</v>
      </c>
      <c r="I303" s="6" t="s">
        <v>26</v>
      </c>
      <c r="J303" s="8">
        <f>IF($H303=0,"",(C303-$H303)/$H303)</f>
        <v>0.23076923076923075</v>
      </c>
      <c r="K303" s="8">
        <f>IF($H303=0,"",(D303-$H303)/$H303)</f>
        <v>0.15384615384615385</v>
      </c>
      <c r="L303" s="8">
        <f>IF($H303=0,"",(E303-$H303)/$H303)</f>
        <v>0.3076923076923077</v>
      </c>
      <c r="M303" s="8">
        <f>IF($H303=0,"",(F303-$H303)/$H303)</f>
        <v>0.6923076923076923</v>
      </c>
      <c r="N303" s="8">
        <f>IF($H303=0,"",(G303-$H303)/$H303)</f>
        <v>0.0</v>
      </c>
      <c r="O303" s="9">
        <f>IF(ABS(C303-$H303)&lt;=1E-9,1,0)</f>
        <v>0</v>
      </c>
      <c r="P303" s="9">
        <f>IF(ABS(D303-$H303)&lt;=1E-9,1,0)</f>
        <v>0</v>
      </c>
      <c r="Q303" s="9">
        <f>IF(ABS(E303-$H303)&lt;=1E-9,1,0)</f>
        <v>0</v>
      </c>
      <c r="R303" s="9">
        <f>IF(ABS(F303-$H303)&lt;=1E-9,1,0)</f>
        <v>0</v>
      </c>
      <c r="S303" s="9">
        <f>IF(ABS(G303-$H303)&lt;=1E-9,1,0)</f>
        <v>1</v>
      </c>
      <c r="T303" s="6" t="s">
        <v>26</v>
      </c>
    </row>
    <row r="304" spans="1:20">
      <c r="A304" s="6" t="s">
        <v>361</v>
      </c>
      <c r="B304" s="3">
        <v>75</v>
      </c>
      <c r="C304" s="7">
        <v>367</v>
      </c>
      <c r="D304" s="7">
        <v>379</v>
      </c>
      <c r="E304" s="7">
        <v>388</v>
      </c>
      <c r="F304" s="7">
        <v>334</v>
      </c>
      <c r="G304" s="7">
        <v>295</v>
      </c>
      <c r="H304" s="7">
        <f>MIN(C304:G304)</f>
        <v>295.0</v>
      </c>
      <c r="I304" s="6" t="s">
        <v>26</v>
      </c>
      <c r="J304" s="8">
        <f>IF($H304=0,"",(C304-$H304)/$H304)</f>
        <v>0.24406779661016953</v>
      </c>
      <c r="K304" s="8">
        <f>IF($H304=0,"",(D304-$H304)/$H304)</f>
        <v>0.2847457627118644</v>
      </c>
      <c r="L304" s="8">
        <f>IF($H304=0,"",(E304-$H304)/$H304)</f>
        <v>0.3152542372881356</v>
      </c>
      <c r="M304" s="8">
        <f>IF($H304=0,"",(F304-$H304)/$H304)</f>
        <v>0.13220338983050847</v>
      </c>
      <c r="N304" s="8">
        <f>IF($H304=0,"",(G304-$H304)/$H304)</f>
        <v>0.0</v>
      </c>
      <c r="O304" s="9">
        <f>IF(ABS(C304-$H304)&lt;=1E-9,1,0)</f>
        <v>0</v>
      </c>
      <c r="P304" s="9">
        <f>IF(ABS(D304-$H304)&lt;=1E-9,1,0)</f>
        <v>0</v>
      </c>
      <c r="Q304" s="9">
        <f>IF(ABS(E304-$H304)&lt;=1E-9,1,0)</f>
        <v>0</v>
      </c>
      <c r="R304" s="9">
        <f>IF(ABS(F304-$H304)&lt;=1E-9,1,0)</f>
        <v>0</v>
      </c>
      <c r="S304" s="9">
        <f>IF(ABS(G304-$H304)&lt;=1E-9,1,0)</f>
        <v>1</v>
      </c>
      <c r="T304" s="6" t="s">
        <v>26</v>
      </c>
    </row>
    <row r="305" spans="1:20">
      <c r="A305" s="6" t="s">
        <v>362</v>
      </c>
      <c r="B305" s="3">
        <v>75</v>
      </c>
      <c r="C305" s="7">
        <v>342</v>
      </c>
      <c r="D305" s="7">
        <v>338</v>
      </c>
      <c r="E305" s="7">
        <v>343</v>
      </c>
      <c r="F305" s="7">
        <v>317</v>
      </c>
      <c r="G305" s="7">
        <v>268</v>
      </c>
      <c r="H305" s="7">
        <f>MIN(C305:G305)</f>
        <v>268.0</v>
      </c>
      <c r="I305" s="6" t="s">
        <v>26</v>
      </c>
      <c r="J305" s="8">
        <f>IF($H305=0,"",(C305-$H305)/$H305)</f>
        <v>0.27611940298507465</v>
      </c>
      <c r="K305" s="8">
        <f>IF($H305=0,"",(D305-$H305)/$H305)</f>
        <v>0.26119402985074625</v>
      </c>
      <c r="L305" s="8">
        <f>IF($H305=0,"",(E305-$H305)/$H305)</f>
        <v>0.2798507462686567</v>
      </c>
      <c r="M305" s="8">
        <f>IF($H305=0,"",(F305-$H305)/$H305)</f>
        <v>0.18283582089552242</v>
      </c>
      <c r="N305" s="8">
        <f>IF($H305=0,"",(G305-$H305)/$H305)</f>
        <v>0.0</v>
      </c>
      <c r="O305" s="9">
        <f>IF(ABS(C305-$H305)&lt;=1E-9,1,0)</f>
        <v>0</v>
      </c>
      <c r="P305" s="9">
        <f>IF(ABS(D305-$H305)&lt;=1E-9,1,0)</f>
        <v>0</v>
      </c>
      <c r="Q305" s="9">
        <f>IF(ABS(E305-$H305)&lt;=1E-9,1,0)</f>
        <v>0</v>
      </c>
      <c r="R305" s="9">
        <f>IF(ABS(F305-$H305)&lt;=1E-9,1,0)</f>
        <v>0</v>
      </c>
      <c r="S305" s="9">
        <f>IF(ABS(G305-$H305)&lt;=1E-9,1,0)</f>
        <v>1</v>
      </c>
      <c r="T305" s="6" t="s">
        <v>26</v>
      </c>
    </row>
    <row r="306" spans="1:20">
      <c r="A306" s="6" t="s">
        <v>363</v>
      </c>
      <c r="B306" s="3">
        <v>75</v>
      </c>
      <c r="C306" s="7">
        <v>27</v>
      </c>
      <c r="D306" s="7">
        <v>28</v>
      </c>
      <c r="E306" s="7">
        <v>28</v>
      </c>
      <c r="F306" s="7">
        <v>26</v>
      </c>
      <c r="G306" s="7">
        <v>25</v>
      </c>
      <c r="H306" s="7">
        <f>MIN(C306:G306)</f>
        <v>25.0</v>
      </c>
      <c r="I306" s="6" t="s">
        <v>26</v>
      </c>
      <c r="J306" s="8">
        <f>IF($H306=0,"",(C306-$H306)/$H306)</f>
        <v>0.08</v>
      </c>
      <c r="K306" s="8">
        <f>IF($H306=0,"",(D306-$H306)/$H306)</f>
        <v>0.12</v>
      </c>
      <c r="L306" s="8">
        <f>IF($H306=0,"",(E306-$H306)/$H306)</f>
        <v>0.12</v>
      </c>
      <c r="M306" s="8">
        <f>IF($H306=0,"",(F306-$H306)/$H306)</f>
        <v>0.04</v>
      </c>
      <c r="N306" s="8">
        <f>IF($H306=0,"",(G306-$H306)/$H306)</f>
        <v>0.0</v>
      </c>
      <c r="O306" s="9">
        <f>IF(ABS(C306-$H306)&lt;=1E-9,1,0)</f>
        <v>0</v>
      </c>
      <c r="P306" s="9">
        <f>IF(ABS(D306-$H306)&lt;=1E-9,1,0)</f>
        <v>0</v>
      </c>
      <c r="Q306" s="9">
        <f>IF(ABS(E306-$H306)&lt;=1E-9,1,0)</f>
        <v>0</v>
      </c>
      <c r="R306" s="9">
        <f>IF(ABS(F306-$H306)&lt;=1E-9,1,0)</f>
        <v>0</v>
      </c>
      <c r="S306" s="9">
        <f>IF(ABS(G306-$H306)&lt;=1E-9,1,0)</f>
        <v>1</v>
      </c>
      <c r="T306" s="6" t="s">
        <v>26</v>
      </c>
    </row>
    <row r="307" spans="1:20">
      <c r="A307" s="6" t="s">
        <v>364</v>
      </c>
      <c r="B307" s="3">
        <v>75</v>
      </c>
      <c r="C307" s="7">
        <v>25</v>
      </c>
      <c r="D307" s="7">
        <v>26</v>
      </c>
      <c r="E307" s="7">
        <v>26</v>
      </c>
      <c r="F307" s="7">
        <v>26</v>
      </c>
      <c r="G307" s="7">
        <v>24</v>
      </c>
      <c r="H307" s="7">
        <f>MIN(C307:G307)</f>
        <v>24.0</v>
      </c>
      <c r="I307" s="6" t="s">
        <v>26</v>
      </c>
      <c r="J307" s="8">
        <f>IF($H307=0,"",(C307-$H307)/$H307)</f>
        <v>0.04166666666666666</v>
      </c>
      <c r="K307" s="8">
        <f>IF($H307=0,"",(D307-$H307)/$H307)</f>
        <v>0.08333333333333331</v>
      </c>
      <c r="L307" s="8">
        <f>IF($H307=0,"",(E307-$H307)/$H307)</f>
        <v>0.08333333333333331</v>
      </c>
      <c r="M307" s="8">
        <f>IF($H307=0,"",(F307-$H307)/$H307)</f>
        <v>0.08333333333333331</v>
      </c>
      <c r="N307" s="8">
        <f>IF($H307=0,"",(G307-$H307)/$H307)</f>
        <v>0.0</v>
      </c>
      <c r="O307" s="9">
        <f>IF(ABS(C307-$H307)&lt;=1E-9,1,0)</f>
        <v>0</v>
      </c>
      <c r="P307" s="9">
        <f>IF(ABS(D307-$H307)&lt;=1E-9,1,0)</f>
        <v>0</v>
      </c>
      <c r="Q307" s="9">
        <f>IF(ABS(E307-$H307)&lt;=1E-9,1,0)</f>
        <v>0</v>
      </c>
      <c r="R307" s="9">
        <f>IF(ABS(F307-$H307)&lt;=1E-9,1,0)</f>
        <v>0</v>
      </c>
      <c r="S307" s="9">
        <f>IF(ABS(G307-$H307)&lt;=1E-9,1,0)</f>
        <v>1</v>
      </c>
      <c r="T307" s="6" t="s">
        <v>26</v>
      </c>
    </row>
    <row r="308" spans="1:20">
      <c r="A308" s="6" t="s">
        <v>365</v>
      </c>
      <c r="B308" s="3">
        <v>75</v>
      </c>
      <c r="C308" s="7">
        <v>434</v>
      </c>
      <c r="D308" s="7">
        <v>440</v>
      </c>
      <c r="E308" s="7">
        <v>440</v>
      </c>
      <c r="F308" s="7">
        <v>367</v>
      </c>
      <c r="G308" s="7">
        <v>320</v>
      </c>
      <c r="H308" s="7">
        <f>MIN(C308:G308)</f>
        <v>320.0</v>
      </c>
      <c r="I308" s="6" t="s">
        <v>26</v>
      </c>
      <c r="J308" s="8">
        <f>IF($H308=0,"",(C308-$H308)/$H308)</f>
        <v>0.35625</v>
      </c>
      <c r="K308" s="8">
        <f>IF($H308=0,"",(D308-$H308)/$H308)</f>
        <v>0.375</v>
      </c>
      <c r="L308" s="8">
        <f>IF($H308=0,"",(E308-$H308)/$H308)</f>
        <v>0.375</v>
      </c>
      <c r="M308" s="8">
        <f>IF($H308=0,"",(F308-$H308)/$H308)</f>
        <v>0.146875</v>
      </c>
      <c r="N308" s="8">
        <f>IF($H308=0,"",(G308-$H308)/$H308)</f>
        <v>0.0</v>
      </c>
      <c r="O308" s="9">
        <f>IF(ABS(C308-$H308)&lt;=1E-9,1,0)</f>
        <v>0</v>
      </c>
      <c r="P308" s="9">
        <f>IF(ABS(D308-$H308)&lt;=1E-9,1,0)</f>
        <v>0</v>
      </c>
      <c r="Q308" s="9">
        <f>IF(ABS(E308-$H308)&lt;=1E-9,1,0)</f>
        <v>0</v>
      </c>
      <c r="R308" s="9">
        <f>IF(ABS(F308-$H308)&lt;=1E-9,1,0)</f>
        <v>0</v>
      </c>
      <c r="S308" s="9">
        <f>IF(ABS(G308-$H308)&lt;=1E-9,1,0)</f>
        <v>1</v>
      </c>
      <c r="T308" s="6" t="s">
        <v>26</v>
      </c>
    </row>
    <row r="309" spans="1:20">
      <c r="A309" s="6" t="s">
        <v>366</v>
      </c>
      <c r="B309" s="3">
        <v>75</v>
      </c>
      <c r="C309" s="7">
        <v>392</v>
      </c>
      <c r="D309" s="7">
        <v>392</v>
      </c>
      <c r="E309" s="7">
        <v>386</v>
      </c>
      <c r="F309" s="7">
        <v>333</v>
      </c>
      <c r="G309" s="7">
        <v>290</v>
      </c>
      <c r="H309" s="7">
        <f>MIN(C309:G309)</f>
        <v>290.0</v>
      </c>
      <c r="I309" s="6" t="s">
        <v>26</v>
      </c>
      <c r="J309" s="8">
        <f>IF($H309=0,"",(C309-$H309)/$H309)</f>
        <v>0.35172413793103446</v>
      </c>
      <c r="K309" s="8">
        <f>IF($H309=0,"",(D309-$H309)/$H309)</f>
        <v>0.35172413793103446</v>
      </c>
      <c r="L309" s="8">
        <f>IF($H309=0,"",(E309-$H309)/$H309)</f>
        <v>0.3310344827586207</v>
      </c>
      <c r="M309" s="8">
        <f>IF($H309=0,"",(F309-$H309)/$H309)</f>
        <v>0.1482758620689655</v>
      </c>
      <c r="N309" s="8">
        <f>IF($H309=0,"",(G309-$H309)/$H309)</f>
        <v>0.0</v>
      </c>
      <c r="O309" s="9">
        <f>IF(ABS(C309-$H309)&lt;=1E-9,1,0)</f>
        <v>0</v>
      </c>
      <c r="P309" s="9">
        <f>IF(ABS(D309-$H309)&lt;=1E-9,1,0)</f>
        <v>0</v>
      </c>
      <c r="Q309" s="9">
        <f>IF(ABS(E309-$H309)&lt;=1E-9,1,0)</f>
        <v>0</v>
      </c>
      <c r="R309" s="9">
        <f>IF(ABS(F309-$H309)&lt;=1E-9,1,0)</f>
        <v>0</v>
      </c>
      <c r="S309" s="9">
        <f>IF(ABS(G309-$H309)&lt;=1E-9,1,0)</f>
        <v>1</v>
      </c>
      <c r="T309" s="6" t="s">
        <v>26</v>
      </c>
    </row>
    <row r="310" spans="1:20">
      <c r="A310" s="6" t="s">
        <v>367</v>
      </c>
      <c r="B310" s="3">
        <v>75</v>
      </c>
      <c r="C310" s="7">
        <v>23</v>
      </c>
      <c r="D310" s="7">
        <v>23</v>
      </c>
      <c r="E310" s="7">
        <v>24</v>
      </c>
      <c r="F310" s="7">
        <v>25</v>
      </c>
      <c r="G310" s="7">
        <v>22</v>
      </c>
      <c r="H310" s="7">
        <f>MIN(C310:G310)</f>
        <v>22.0</v>
      </c>
      <c r="I310" s="6" t="s">
        <v>26</v>
      </c>
      <c r="J310" s="8">
        <f>IF($H310=0,"",(C310-$H310)/$H310)</f>
        <v>0.045454545454545456</v>
      </c>
      <c r="K310" s="8">
        <f>IF($H310=0,"",(D310-$H310)/$H310)</f>
        <v>0.045454545454545456</v>
      </c>
      <c r="L310" s="8">
        <f>IF($H310=0,"",(E310-$H310)/$H310)</f>
        <v>0.09090909090909091</v>
      </c>
      <c r="M310" s="8">
        <f>IF($H310=0,"",(F310-$H310)/$H310)</f>
        <v>0.13636363636363635</v>
      </c>
      <c r="N310" s="8">
        <f>IF($H310=0,"",(G310-$H310)/$H310)</f>
        <v>0.0</v>
      </c>
      <c r="O310" s="9">
        <f>IF(ABS(C310-$H310)&lt;=1E-9,1,0)</f>
        <v>0</v>
      </c>
      <c r="P310" s="9">
        <f>IF(ABS(D310-$H310)&lt;=1E-9,1,0)</f>
        <v>0</v>
      </c>
      <c r="Q310" s="9">
        <f>IF(ABS(E310-$H310)&lt;=1E-9,1,0)</f>
        <v>0</v>
      </c>
      <c r="R310" s="9">
        <f>IF(ABS(F310-$H310)&lt;=1E-9,1,0)</f>
        <v>0</v>
      </c>
      <c r="S310" s="9">
        <f>IF(ABS(G310-$H310)&lt;=1E-9,1,0)</f>
        <v>1</v>
      </c>
      <c r="T310" s="6" t="s">
        <v>26</v>
      </c>
    </row>
    <row r="311" spans="1:20">
      <c r="A311" s="6" t="s">
        <v>368</v>
      </c>
      <c r="B311" s="3">
        <v>75</v>
      </c>
      <c r="C311" s="7">
        <v>22</v>
      </c>
      <c r="D311" s="7">
        <v>22</v>
      </c>
      <c r="E311" s="7">
        <v>22</v>
      </c>
      <c r="F311" s="7">
        <v>23</v>
      </c>
      <c r="G311" s="7">
        <v>20</v>
      </c>
      <c r="H311" s="7">
        <f>MIN(C311:G311)</f>
        <v>20.0</v>
      </c>
      <c r="I311" s="6" t="s">
        <v>26</v>
      </c>
      <c r="J311" s="8">
        <f>IF($H311=0,"",(C311-$H311)/$H311)</f>
        <v>0.1</v>
      </c>
      <c r="K311" s="8">
        <f>IF($H311=0,"",(D311-$H311)/$H311)</f>
        <v>0.1</v>
      </c>
      <c r="L311" s="8">
        <f>IF($H311=0,"",(E311-$H311)/$H311)</f>
        <v>0.1</v>
      </c>
      <c r="M311" s="8">
        <f>IF($H311=0,"",(F311-$H311)/$H311)</f>
        <v>0.15</v>
      </c>
      <c r="N311" s="8">
        <f>IF($H311=0,"",(G311-$H311)/$H311)</f>
        <v>0.0</v>
      </c>
      <c r="O311" s="9">
        <f>IF(ABS(C311-$H311)&lt;=1E-9,1,0)</f>
        <v>0</v>
      </c>
      <c r="P311" s="9">
        <f>IF(ABS(D311-$H311)&lt;=1E-9,1,0)</f>
        <v>0</v>
      </c>
      <c r="Q311" s="9">
        <f>IF(ABS(E311-$H311)&lt;=1E-9,1,0)</f>
        <v>0</v>
      </c>
      <c r="R311" s="9">
        <f>IF(ABS(F311-$H311)&lt;=1E-9,1,0)</f>
        <v>0</v>
      </c>
      <c r="S311" s="9">
        <f>IF(ABS(G311-$H311)&lt;=1E-9,1,0)</f>
        <v>1</v>
      </c>
      <c r="T311" s="6" t="s">
        <v>26</v>
      </c>
    </row>
    <row r="312" spans="1:20">
      <c r="A312" s="6" t="s">
        <v>369</v>
      </c>
      <c r="B312" s="3">
        <v>75</v>
      </c>
      <c r="C312" s="7">
        <v>397</v>
      </c>
      <c r="D312" s="7">
        <v>393</v>
      </c>
      <c r="E312" s="7">
        <v>409</v>
      </c>
      <c r="F312" s="7">
        <v>334</v>
      </c>
      <c r="G312" s="7">
        <v>287</v>
      </c>
      <c r="H312" s="7">
        <f>MIN(C312:G312)</f>
        <v>287.0</v>
      </c>
      <c r="I312" s="6" t="s">
        <v>26</v>
      </c>
      <c r="J312" s="8">
        <f>IF($H312=0,"",(C312-$H312)/$H312)</f>
        <v>0.3832752613240418</v>
      </c>
      <c r="K312" s="8">
        <f>IF($H312=0,"",(D312-$H312)/$H312)</f>
        <v>0.3693379790940767</v>
      </c>
      <c r="L312" s="8">
        <f>IF($H312=0,"",(E312-$H312)/$H312)</f>
        <v>0.42508710801393723</v>
      </c>
      <c r="M312" s="8">
        <f>IF($H312=0,"",(F312-$H312)/$H312)</f>
        <v>0.16376306620209058</v>
      </c>
      <c r="N312" s="8">
        <f>IF($H312=0,"",(G312-$H312)/$H312)</f>
        <v>0.0</v>
      </c>
      <c r="O312" s="9">
        <f>IF(ABS(C312-$H312)&lt;=1E-9,1,0)</f>
        <v>0</v>
      </c>
      <c r="P312" s="9">
        <f>IF(ABS(D312-$H312)&lt;=1E-9,1,0)</f>
        <v>0</v>
      </c>
      <c r="Q312" s="9">
        <f>IF(ABS(E312-$H312)&lt;=1E-9,1,0)</f>
        <v>0</v>
      </c>
      <c r="R312" s="9">
        <f>IF(ABS(F312-$H312)&lt;=1E-9,1,0)</f>
        <v>0</v>
      </c>
      <c r="S312" s="9">
        <f>IF(ABS(G312-$H312)&lt;=1E-9,1,0)</f>
        <v>1</v>
      </c>
      <c r="T312" s="6" t="s">
        <v>26</v>
      </c>
    </row>
    <row r="313" spans="1:20">
      <c r="A313" s="6" t="s">
        <v>370</v>
      </c>
      <c r="B313" s="3">
        <v>75</v>
      </c>
      <c r="C313" s="7">
        <v>353</v>
      </c>
      <c r="D313" s="7">
        <v>355</v>
      </c>
      <c r="E313" s="7">
        <v>340</v>
      </c>
      <c r="F313" s="7">
        <v>315</v>
      </c>
      <c r="G313" s="7">
        <v>266</v>
      </c>
      <c r="H313" s="7">
        <f>MIN(C313:G313)</f>
        <v>266.0</v>
      </c>
      <c r="I313" s="6" t="s">
        <v>26</v>
      </c>
      <c r="J313" s="8">
        <f>IF($H313=0,"",(C313-$H313)/$H313)</f>
        <v>0.3270676691729324</v>
      </c>
      <c r="K313" s="8">
        <f>IF($H313=0,"",(D313-$H313)/$H313)</f>
        <v>0.3345864661654135</v>
      </c>
      <c r="L313" s="8">
        <f>IF($H313=0,"",(E313-$H313)/$H313)</f>
        <v>0.2781954887218045</v>
      </c>
      <c r="M313" s="8">
        <f>IF($H313=0,"",(F313-$H313)/$H313)</f>
        <v>0.18421052631578946</v>
      </c>
      <c r="N313" s="8">
        <f>IF($H313=0,"",(G313-$H313)/$H313)</f>
        <v>0.0</v>
      </c>
      <c r="O313" s="9">
        <f>IF(ABS(C313-$H313)&lt;=1E-9,1,0)</f>
        <v>0</v>
      </c>
      <c r="P313" s="9">
        <f>IF(ABS(D313-$H313)&lt;=1E-9,1,0)</f>
        <v>0</v>
      </c>
      <c r="Q313" s="9">
        <f>IF(ABS(E313-$H313)&lt;=1E-9,1,0)</f>
        <v>0</v>
      </c>
      <c r="R313" s="9">
        <f>IF(ABS(F313-$H313)&lt;=1E-9,1,0)</f>
        <v>0</v>
      </c>
      <c r="S313" s="9">
        <f>IF(ABS(G313-$H313)&lt;=1E-9,1,0)</f>
        <v>1</v>
      </c>
      <c r="T313" s="6" t="s">
        <v>26</v>
      </c>
    </row>
    <row r="314" spans="1:20">
      <c r="A314" s="6" t="s">
        <v>371</v>
      </c>
      <c r="B314" s="3">
        <v>75</v>
      </c>
      <c r="C314" s="7">
        <v>17</v>
      </c>
      <c r="D314" s="7">
        <v>17</v>
      </c>
      <c r="E314" s="7">
        <v>17</v>
      </c>
      <c r="F314" s="7">
        <v>20</v>
      </c>
      <c r="G314" s="7">
        <v>16</v>
      </c>
      <c r="H314" s="7">
        <f>MIN(C314:G314)</f>
        <v>16.0</v>
      </c>
      <c r="I314" s="6" t="s">
        <v>26</v>
      </c>
      <c r="J314" s="8">
        <f>IF($H314=0,"",(C314-$H314)/$H314)</f>
        <v>0.0625</v>
      </c>
      <c r="K314" s="8">
        <f>IF($H314=0,"",(D314-$H314)/$H314)</f>
        <v>0.0625</v>
      </c>
      <c r="L314" s="8">
        <f>IF($H314=0,"",(E314-$H314)/$H314)</f>
        <v>0.0625</v>
      </c>
      <c r="M314" s="8">
        <f>IF($H314=0,"",(F314-$H314)/$H314)</f>
        <v>0.25</v>
      </c>
      <c r="N314" s="8">
        <f>IF($H314=0,"",(G314-$H314)/$H314)</f>
        <v>0.0</v>
      </c>
      <c r="O314" s="9">
        <f>IF(ABS(C314-$H314)&lt;=1E-9,1,0)</f>
        <v>0</v>
      </c>
      <c r="P314" s="9">
        <f>IF(ABS(D314-$H314)&lt;=1E-9,1,0)</f>
        <v>0</v>
      </c>
      <c r="Q314" s="9">
        <f>IF(ABS(E314-$H314)&lt;=1E-9,1,0)</f>
        <v>0</v>
      </c>
      <c r="R314" s="9">
        <f>IF(ABS(F314-$H314)&lt;=1E-9,1,0)</f>
        <v>0</v>
      </c>
      <c r="S314" s="9">
        <f>IF(ABS(G314-$H314)&lt;=1E-9,1,0)</f>
        <v>1</v>
      </c>
      <c r="T314" s="6" t="s">
        <v>26</v>
      </c>
    </row>
    <row r="315" spans="1:20">
      <c r="A315" s="6" t="s">
        <v>372</v>
      </c>
      <c r="B315" s="3">
        <v>75</v>
      </c>
      <c r="C315" s="7">
        <v>18</v>
      </c>
      <c r="D315" s="7">
        <v>18</v>
      </c>
      <c r="E315" s="7">
        <v>18</v>
      </c>
      <c r="F315" s="7">
        <v>21</v>
      </c>
      <c r="G315" s="7">
        <v>16</v>
      </c>
      <c r="H315" s="7">
        <f>MIN(C315:G315)</f>
        <v>16.0</v>
      </c>
      <c r="I315" s="6" t="s">
        <v>26</v>
      </c>
      <c r="J315" s="8">
        <f>IF($H315=0,"",(C315-$H315)/$H315)</f>
        <v>0.125</v>
      </c>
      <c r="K315" s="8">
        <f>IF($H315=0,"",(D315-$H315)/$H315)</f>
        <v>0.125</v>
      </c>
      <c r="L315" s="8">
        <f>IF($H315=0,"",(E315-$H315)/$H315)</f>
        <v>0.125</v>
      </c>
      <c r="M315" s="8">
        <f>IF($H315=0,"",(F315-$H315)/$H315)</f>
        <v>0.3125</v>
      </c>
      <c r="N315" s="8">
        <f>IF($H315=0,"",(G315-$H315)/$H315)</f>
        <v>0.0</v>
      </c>
      <c r="O315" s="9">
        <f>IF(ABS(C315-$H315)&lt;=1E-9,1,0)</f>
        <v>0</v>
      </c>
      <c r="P315" s="9">
        <f>IF(ABS(D315-$H315)&lt;=1E-9,1,0)</f>
        <v>0</v>
      </c>
      <c r="Q315" s="9">
        <f>IF(ABS(E315-$H315)&lt;=1E-9,1,0)</f>
        <v>0</v>
      </c>
      <c r="R315" s="9">
        <f>IF(ABS(F315-$H315)&lt;=1E-9,1,0)</f>
        <v>0</v>
      </c>
      <c r="S315" s="9">
        <f>IF(ABS(G315-$H315)&lt;=1E-9,1,0)</f>
        <v>1</v>
      </c>
      <c r="T315" s="6" t="s">
        <v>26</v>
      </c>
    </row>
    <row r="316" spans="1:20">
      <c r="A316" s="6" t="s">
        <v>373</v>
      </c>
      <c r="B316" s="3">
        <v>75</v>
      </c>
      <c r="C316" s="7">
        <v>337</v>
      </c>
      <c r="D316" s="7">
        <v>338</v>
      </c>
      <c r="E316" s="7">
        <v>339</v>
      </c>
      <c r="F316" s="7">
        <v>308</v>
      </c>
      <c r="G316" s="7">
        <v>257</v>
      </c>
      <c r="H316" s="7">
        <f>MIN(C316:G316)</f>
        <v>257.0</v>
      </c>
      <c r="I316" s="6" t="s">
        <v>26</v>
      </c>
      <c r="J316" s="8">
        <f>IF($H316=0,"",(C316-$H316)/$H316)</f>
        <v>0.311284046692607</v>
      </c>
      <c r="K316" s="8">
        <f>IF($H316=0,"",(D316-$H316)/$H316)</f>
        <v>0.3151750972762646</v>
      </c>
      <c r="L316" s="8">
        <f>IF($H316=0,"",(E316-$H316)/$H316)</f>
        <v>0.31906614785992216</v>
      </c>
      <c r="M316" s="8">
        <f>IF($H316=0,"",(F316-$H316)/$H316)</f>
        <v>0.19844357976653698</v>
      </c>
      <c r="N316" s="8">
        <f>IF($H316=0,"",(G316-$H316)/$H316)</f>
        <v>0.0</v>
      </c>
      <c r="O316" s="9">
        <f>IF(ABS(C316-$H316)&lt;=1E-9,1,0)</f>
        <v>0</v>
      </c>
      <c r="P316" s="9">
        <f>IF(ABS(D316-$H316)&lt;=1E-9,1,0)</f>
        <v>0</v>
      </c>
      <c r="Q316" s="9">
        <f>IF(ABS(E316-$H316)&lt;=1E-9,1,0)</f>
        <v>0</v>
      </c>
      <c r="R316" s="9">
        <f>IF(ABS(F316-$H316)&lt;=1E-9,1,0)</f>
        <v>0</v>
      </c>
      <c r="S316" s="9">
        <f>IF(ABS(G316-$H316)&lt;=1E-9,1,0)</f>
        <v>1</v>
      </c>
      <c r="T316" s="6" t="s">
        <v>26</v>
      </c>
    </row>
    <row r="317" spans="1:20">
      <c r="A317" s="6" t="s">
        <v>374</v>
      </c>
      <c r="B317" s="3">
        <v>75</v>
      </c>
      <c r="C317" s="7">
        <v>288</v>
      </c>
      <c r="D317" s="7">
        <v>304</v>
      </c>
      <c r="E317" s="7">
        <v>282</v>
      </c>
      <c r="F317" s="7">
        <v>281</v>
      </c>
      <c r="G317" s="7">
        <v>225</v>
      </c>
      <c r="H317" s="7">
        <f>MIN(C317:G317)</f>
        <v>225.0</v>
      </c>
      <c r="I317" s="6" t="s">
        <v>26</v>
      </c>
      <c r="J317" s="8">
        <f>IF($H317=0,"",(C317-$H317)/$H317)</f>
        <v>0.28</v>
      </c>
      <c r="K317" s="8">
        <f>IF($H317=0,"",(D317-$H317)/$H317)</f>
        <v>0.3511111111111111</v>
      </c>
      <c r="L317" s="8">
        <f>IF($H317=0,"",(E317-$H317)/$H317)</f>
        <v>0.25333333333333335</v>
      </c>
      <c r="M317" s="8">
        <f>IF($H317=0,"",(F317-$H317)/$H317)</f>
        <v>0.24888888888888888</v>
      </c>
      <c r="N317" s="8">
        <f>IF($H317=0,"",(G317-$H317)/$H317)</f>
        <v>0.0</v>
      </c>
      <c r="O317" s="9">
        <f>IF(ABS(C317-$H317)&lt;=1E-9,1,0)</f>
        <v>0</v>
      </c>
      <c r="P317" s="9">
        <f>IF(ABS(D317-$H317)&lt;=1E-9,1,0)</f>
        <v>0</v>
      </c>
      <c r="Q317" s="9">
        <f>IF(ABS(E317-$H317)&lt;=1E-9,1,0)</f>
        <v>0</v>
      </c>
      <c r="R317" s="9">
        <f>IF(ABS(F317-$H317)&lt;=1E-9,1,0)</f>
        <v>0</v>
      </c>
      <c r="S317" s="9">
        <f>IF(ABS(G317-$H317)&lt;=1E-9,1,0)</f>
        <v>1</v>
      </c>
      <c r="T317" s="6" t="s">
        <v>26</v>
      </c>
    </row>
    <row r="318" spans="1:20">
      <c r="A318" s="6" t="s">
        <v>375</v>
      </c>
      <c r="B318" s="3">
        <v>75</v>
      </c>
      <c r="C318" s="7">
        <v>15</v>
      </c>
      <c r="D318" s="7">
        <v>16</v>
      </c>
      <c r="E318" s="7">
        <v>16</v>
      </c>
      <c r="F318" s="7">
        <v>21</v>
      </c>
      <c r="G318" s="7">
        <v>14</v>
      </c>
      <c r="H318" s="7">
        <f>MIN(C318:G318)</f>
        <v>14.0</v>
      </c>
      <c r="I318" s="6" t="s">
        <v>26</v>
      </c>
      <c r="J318" s="8">
        <f>IF($H318=0,"",(C318-$H318)/$H318)</f>
        <v>0.07142857142857142</v>
      </c>
      <c r="K318" s="8">
        <f>IF($H318=0,"",(D318-$H318)/$H318)</f>
        <v>0.14285714285714285</v>
      </c>
      <c r="L318" s="8">
        <f>IF($H318=0,"",(E318-$H318)/$H318)</f>
        <v>0.14285714285714285</v>
      </c>
      <c r="M318" s="8">
        <f>IF($H318=0,"",(F318-$H318)/$H318)</f>
        <v>0.5</v>
      </c>
      <c r="N318" s="8">
        <f>IF($H318=0,"",(G318-$H318)/$H318)</f>
        <v>0.0</v>
      </c>
      <c r="O318" s="9">
        <f>IF(ABS(C318-$H318)&lt;=1E-9,1,0)</f>
        <v>0</v>
      </c>
      <c r="P318" s="9">
        <f>IF(ABS(D318-$H318)&lt;=1E-9,1,0)</f>
        <v>0</v>
      </c>
      <c r="Q318" s="9">
        <f>IF(ABS(E318-$H318)&lt;=1E-9,1,0)</f>
        <v>0</v>
      </c>
      <c r="R318" s="9">
        <f>IF(ABS(F318-$H318)&lt;=1E-9,1,0)</f>
        <v>0</v>
      </c>
      <c r="S318" s="9">
        <f>IF(ABS(G318-$H318)&lt;=1E-9,1,0)</f>
        <v>1</v>
      </c>
      <c r="T318" s="6" t="s">
        <v>26</v>
      </c>
    </row>
    <row r="319" spans="1:20">
      <c r="A319" s="6" t="s">
        <v>376</v>
      </c>
      <c r="B319" s="3">
        <v>75</v>
      </c>
      <c r="C319" s="7">
        <v>15</v>
      </c>
      <c r="D319" s="7">
        <v>15</v>
      </c>
      <c r="E319" s="7">
        <v>17</v>
      </c>
      <c r="F319" s="7">
        <v>23</v>
      </c>
      <c r="G319" s="7">
        <v>14</v>
      </c>
      <c r="H319" s="7">
        <f>MIN(C319:G319)</f>
        <v>14.0</v>
      </c>
      <c r="I319" s="6" t="s">
        <v>26</v>
      </c>
      <c r="J319" s="8">
        <f>IF($H319=0,"",(C319-$H319)/$H319)</f>
        <v>0.07142857142857142</v>
      </c>
      <c r="K319" s="8">
        <f>IF($H319=0,"",(D319-$H319)/$H319)</f>
        <v>0.07142857142857142</v>
      </c>
      <c r="L319" s="8">
        <f>IF($H319=0,"",(E319-$H319)/$H319)</f>
        <v>0.21428571428571427</v>
      </c>
      <c r="M319" s="8">
        <f>IF($H319=0,"",(F319-$H319)/$H319)</f>
        <v>0.6428571428571429</v>
      </c>
      <c r="N319" s="8">
        <f>IF($H319=0,"",(G319-$H319)/$H319)</f>
        <v>0.0</v>
      </c>
      <c r="O319" s="9">
        <f>IF(ABS(C319-$H319)&lt;=1E-9,1,0)</f>
        <v>0</v>
      </c>
      <c r="P319" s="9">
        <f>IF(ABS(D319-$H319)&lt;=1E-9,1,0)</f>
        <v>0</v>
      </c>
      <c r="Q319" s="9">
        <f>IF(ABS(E319-$H319)&lt;=1E-9,1,0)</f>
        <v>0</v>
      </c>
      <c r="R319" s="9">
        <f>IF(ABS(F319-$H319)&lt;=1E-9,1,0)</f>
        <v>0</v>
      </c>
      <c r="S319" s="9">
        <f>IF(ABS(G319-$H319)&lt;=1E-9,1,0)</f>
        <v>1</v>
      </c>
      <c r="T319" s="6" t="s">
        <v>26</v>
      </c>
    </row>
    <row r="320" spans="1:20">
      <c r="A320" s="6" t="s">
        <v>377</v>
      </c>
      <c r="B320" s="3">
        <v>75</v>
      </c>
      <c r="C320" s="7">
        <v>328</v>
      </c>
      <c r="D320" s="7">
        <v>329</v>
      </c>
      <c r="E320" s="7">
        <v>320</v>
      </c>
      <c r="F320" s="7">
        <v>286</v>
      </c>
      <c r="G320" s="7">
        <v>246</v>
      </c>
      <c r="H320" s="7">
        <f>MIN(C320:G320)</f>
        <v>246.0</v>
      </c>
      <c r="I320" s="6" t="s">
        <v>26</v>
      </c>
      <c r="J320" s="8">
        <f>IF($H320=0,"",(C320-$H320)/$H320)</f>
        <v>0.33333333333333326</v>
      </c>
      <c r="K320" s="8">
        <f>IF($H320=0,"",(D320-$H320)/$H320)</f>
        <v>0.33739837398373984</v>
      </c>
      <c r="L320" s="8">
        <f>IF($H320=0,"",(E320-$H320)/$H320)</f>
        <v>0.3008130081300813</v>
      </c>
      <c r="M320" s="8">
        <f>IF($H320=0,"",(F320-$H320)/$H320)</f>
        <v>0.16260162601626013</v>
      </c>
      <c r="N320" s="8">
        <f>IF($H320=0,"",(G320-$H320)/$H320)</f>
        <v>0.0</v>
      </c>
      <c r="O320" s="9">
        <f>IF(ABS(C320-$H320)&lt;=1E-9,1,0)</f>
        <v>0</v>
      </c>
      <c r="P320" s="9">
        <f>IF(ABS(D320-$H320)&lt;=1E-9,1,0)</f>
        <v>0</v>
      </c>
      <c r="Q320" s="9">
        <f>IF(ABS(E320-$H320)&lt;=1E-9,1,0)</f>
        <v>0</v>
      </c>
      <c r="R320" s="9">
        <f>IF(ABS(F320-$H320)&lt;=1E-9,1,0)</f>
        <v>0</v>
      </c>
      <c r="S320" s="9">
        <f>IF(ABS(G320-$H320)&lt;=1E-9,1,0)</f>
        <v>1</v>
      </c>
      <c r="T320" s="6" t="s">
        <v>26</v>
      </c>
    </row>
    <row r="321" spans="1:20">
      <c r="A321" s="6" t="s">
        <v>378</v>
      </c>
      <c r="B321" s="3">
        <v>75</v>
      </c>
      <c r="C321" s="7">
        <v>271</v>
      </c>
      <c r="D321" s="7">
        <v>267</v>
      </c>
      <c r="E321" s="7">
        <v>259</v>
      </c>
      <c r="F321" s="7">
        <v>282</v>
      </c>
      <c r="G321" s="7">
        <v>205</v>
      </c>
      <c r="H321" s="7">
        <f>MIN(C321:G321)</f>
        <v>205.0</v>
      </c>
      <c r="I321" s="6" t="s">
        <v>26</v>
      </c>
      <c r="J321" s="8">
        <f>IF($H321=0,"",(C321-$H321)/$H321)</f>
        <v>0.32195121951219513</v>
      </c>
      <c r="K321" s="8">
        <f>IF($H321=0,"",(D321-$H321)/$H321)</f>
        <v>0.3024390243902439</v>
      </c>
      <c r="L321" s="8">
        <f>IF($H321=0,"",(E321-$H321)/$H321)</f>
        <v>0.2634146341463415</v>
      </c>
      <c r="M321" s="8">
        <f>IF($H321=0,"",(F321-$H321)/$H321)</f>
        <v>0.375609756097561</v>
      </c>
      <c r="N321" s="8">
        <f>IF($H321=0,"",(G321-$H321)/$H321)</f>
        <v>0.0</v>
      </c>
      <c r="O321" s="9">
        <f>IF(ABS(C321-$H321)&lt;=1E-9,1,0)</f>
        <v>0</v>
      </c>
      <c r="P321" s="9">
        <f>IF(ABS(D321-$H321)&lt;=1E-9,1,0)</f>
        <v>0</v>
      </c>
      <c r="Q321" s="9">
        <f>IF(ABS(E321-$H321)&lt;=1E-9,1,0)</f>
        <v>0</v>
      </c>
      <c r="R321" s="9">
        <f>IF(ABS(F321-$H321)&lt;=1E-9,1,0)</f>
        <v>0</v>
      </c>
      <c r="S321" s="9">
        <f>IF(ABS(G321-$H321)&lt;=1E-9,1,0)</f>
        <v>1</v>
      </c>
      <c r="T321" s="6" t="s">
        <v>26</v>
      </c>
    </row>
    <row r="322" spans="1:20">
      <c r="A322" s="6" t="s">
        <v>379</v>
      </c>
      <c r="B322" s="3">
        <v>100</v>
      </c>
      <c r="C322" s="7">
        <v>25</v>
      </c>
      <c r="D322" s="7">
        <v>25</v>
      </c>
      <c r="E322" s="7">
        <v>25</v>
      </c>
      <c r="F322" s="7">
        <v>29</v>
      </c>
      <c r="G322" s="7">
        <v>23</v>
      </c>
      <c r="H322" s="7">
        <f>MIN(C322:G322)</f>
        <v>23.0</v>
      </c>
      <c r="I322" s="6" t="s">
        <v>26</v>
      </c>
      <c r="J322" s="8">
        <f>IF($H322=0,"",(C322-$H322)/$H322)</f>
        <v>0.08695652173913043</v>
      </c>
      <c r="K322" s="8">
        <f>IF($H322=0,"",(D322-$H322)/$H322)</f>
        <v>0.08695652173913043</v>
      </c>
      <c r="L322" s="8">
        <f>IF($H322=0,"",(E322-$H322)/$H322)</f>
        <v>0.08695652173913043</v>
      </c>
      <c r="M322" s="8">
        <f>IF($H322=0,"",(F322-$H322)/$H322)</f>
        <v>0.2608695652173913</v>
      </c>
      <c r="N322" s="8">
        <f>IF($H322=0,"",(G322-$H322)/$H322)</f>
        <v>0.0</v>
      </c>
      <c r="O322" s="9">
        <f>IF(ABS(C322-$H322)&lt;=1E-9,1,0)</f>
        <v>0</v>
      </c>
      <c r="P322" s="9">
        <f>IF(ABS(D322-$H322)&lt;=1E-9,1,0)</f>
        <v>0</v>
      </c>
      <c r="Q322" s="9">
        <f>IF(ABS(E322-$H322)&lt;=1E-9,1,0)</f>
        <v>0</v>
      </c>
      <c r="R322" s="9">
        <f>IF(ABS(F322-$H322)&lt;=1E-9,1,0)</f>
        <v>0</v>
      </c>
      <c r="S322" s="9">
        <f>IF(ABS(G322-$H322)&lt;=1E-9,1,0)</f>
        <v>1</v>
      </c>
      <c r="T322" s="6" t="s">
        <v>26</v>
      </c>
    </row>
    <row r="323" spans="1:20">
      <c r="A323" s="6" t="s">
        <v>380</v>
      </c>
      <c r="B323" s="3">
        <v>100</v>
      </c>
      <c r="C323" s="7">
        <v>25</v>
      </c>
      <c r="D323" s="7">
        <v>25</v>
      </c>
      <c r="E323" s="7">
        <v>25</v>
      </c>
      <c r="F323" s="7">
        <v>28</v>
      </c>
      <c r="G323" s="7">
        <v>22</v>
      </c>
      <c r="H323" s="7">
        <f>MIN(C323:G323)</f>
        <v>22.0</v>
      </c>
      <c r="I323" s="6" t="s">
        <v>26</v>
      </c>
      <c r="J323" s="8">
        <f>IF($H323=0,"",(C323-$H323)/$H323)</f>
        <v>0.13636363636363635</v>
      </c>
      <c r="K323" s="8">
        <f>IF($H323=0,"",(D323-$H323)/$H323)</f>
        <v>0.13636363636363635</v>
      </c>
      <c r="L323" s="8">
        <f>IF($H323=0,"",(E323-$H323)/$H323)</f>
        <v>0.13636363636363635</v>
      </c>
      <c r="M323" s="8">
        <f>IF($H323=0,"",(F323-$H323)/$H323)</f>
        <v>0.2727272727272727</v>
      </c>
      <c r="N323" s="8">
        <f>IF($H323=0,"",(G323-$H323)/$H323)</f>
        <v>0.0</v>
      </c>
      <c r="O323" s="9">
        <f>IF(ABS(C323-$H323)&lt;=1E-9,1,0)</f>
        <v>0</v>
      </c>
      <c r="P323" s="9">
        <f>IF(ABS(D323-$H323)&lt;=1E-9,1,0)</f>
        <v>0</v>
      </c>
      <c r="Q323" s="9">
        <f>IF(ABS(E323-$H323)&lt;=1E-9,1,0)</f>
        <v>0</v>
      </c>
      <c r="R323" s="9">
        <f>IF(ABS(F323-$H323)&lt;=1E-9,1,0)</f>
        <v>0</v>
      </c>
      <c r="S323" s="9">
        <f>IF(ABS(G323-$H323)&lt;=1E-9,1,0)</f>
        <v>1</v>
      </c>
      <c r="T323" s="6" t="s">
        <v>26</v>
      </c>
    </row>
    <row r="324" spans="1:20">
      <c r="A324" s="6" t="s">
        <v>381</v>
      </c>
      <c r="B324" s="3">
        <v>100</v>
      </c>
      <c r="C324" s="7">
        <v>432</v>
      </c>
      <c r="D324" s="7">
        <v>455</v>
      </c>
      <c r="E324" s="7">
        <v>453</v>
      </c>
      <c r="F324" s="7">
        <v>387</v>
      </c>
      <c r="G324" s="7">
        <v>323</v>
      </c>
      <c r="H324" s="7">
        <f>MIN(C324:G324)</f>
        <v>323.0</v>
      </c>
      <c r="I324" s="6" t="s">
        <v>26</v>
      </c>
      <c r="J324" s="8">
        <f>IF($H324=0,"",(C324-$H324)/$H324)</f>
        <v>0.33746130030959753</v>
      </c>
      <c r="K324" s="8">
        <f>IF($H324=0,"",(D324-$H324)/$H324)</f>
        <v>0.40866873065015485</v>
      </c>
      <c r="L324" s="8">
        <f>IF($H324=0,"",(E324-$H324)/$H324)</f>
        <v>0.4024767801857585</v>
      </c>
      <c r="M324" s="8">
        <f>IF($H324=0,"",(F324-$H324)/$H324)</f>
        <v>0.19814241486068113</v>
      </c>
      <c r="N324" s="8">
        <f>IF($H324=0,"",(G324-$H324)/$H324)</f>
        <v>0.0</v>
      </c>
      <c r="O324" s="9">
        <f>IF(ABS(C324-$H324)&lt;=1E-9,1,0)</f>
        <v>0</v>
      </c>
      <c r="P324" s="9">
        <f>IF(ABS(D324-$H324)&lt;=1E-9,1,0)</f>
        <v>0</v>
      </c>
      <c r="Q324" s="9">
        <f>IF(ABS(E324-$H324)&lt;=1E-9,1,0)</f>
        <v>0</v>
      </c>
      <c r="R324" s="9">
        <f>IF(ABS(F324-$H324)&lt;=1E-9,1,0)</f>
        <v>0</v>
      </c>
      <c r="S324" s="9">
        <f>IF(ABS(G324-$H324)&lt;=1E-9,1,0)</f>
        <v>1</v>
      </c>
      <c r="T324" s="6" t="s">
        <v>26</v>
      </c>
    </row>
    <row r="325" spans="1:20">
      <c r="A325" s="6" t="s">
        <v>382</v>
      </c>
      <c r="B325" s="3">
        <v>100</v>
      </c>
      <c r="C325" s="7">
        <v>413</v>
      </c>
      <c r="D325" s="7">
        <v>395</v>
      </c>
      <c r="E325" s="7">
        <v>443</v>
      </c>
      <c r="F325" s="7">
        <v>352</v>
      </c>
      <c r="G325" s="7">
        <v>297</v>
      </c>
      <c r="H325" s="7">
        <f>MIN(C325:G325)</f>
        <v>297.0</v>
      </c>
      <c r="I325" s="6" t="s">
        <v>26</v>
      </c>
      <c r="J325" s="8">
        <f>IF($H325=0,"",(C325-$H325)/$H325)</f>
        <v>0.39057239057239057</v>
      </c>
      <c r="K325" s="8">
        <f>IF($H325=0,"",(D325-$H325)/$H325)</f>
        <v>0.32996632996632996</v>
      </c>
      <c r="L325" s="8">
        <f>IF($H325=0,"",(E325-$H325)/$H325)</f>
        <v>0.49158249158249157</v>
      </c>
      <c r="M325" s="8">
        <f>IF($H325=0,"",(F325-$H325)/$H325)</f>
        <v>0.1851851851851852</v>
      </c>
      <c r="N325" s="8">
        <f>IF($H325=0,"",(G325-$H325)/$H325)</f>
        <v>0.0</v>
      </c>
      <c r="O325" s="9">
        <f>IF(ABS(C325-$H325)&lt;=1E-9,1,0)</f>
        <v>0</v>
      </c>
      <c r="P325" s="9">
        <f>IF(ABS(D325-$H325)&lt;=1E-9,1,0)</f>
        <v>0</v>
      </c>
      <c r="Q325" s="9">
        <f>IF(ABS(E325-$H325)&lt;=1E-9,1,0)</f>
        <v>0</v>
      </c>
      <c r="R325" s="9">
        <f>IF(ABS(F325-$H325)&lt;=1E-9,1,0)</f>
        <v>0</v>
      </c>
      <c r="S325" s="9">
        <f>IF(ABS(G325-$H325)&lt;=1E-9,1,0)</f>
        <v>1</v>
      </c>
      <c r="T325" s="6" t="s">
        <v>26</v>
      </c>
    </row>
    <row r="326" spans="1:20">
      <c r="A326" s="6" t="s">
        <v>383</v>
      </c>
      <c r="B326" s="3">
        <v>100</v>
      </c>
      <c r="C326" s="7">
        <v>20</v>
      </c>
      <c r="D326" s="7">
        <v>20</v>
      </c>
      <c r="E326" s="7">
        <v>21</v>
      </c>
      <c r="F326" s="7">
        <v>27</v>
      </c>
      <c r="G326" s="7">
        <v>18</v>
      </c>
      <c r="H326" s="7">
        <f>MIN(C326:G326)</f>
        <v>18.0</v>
      </c>
      <c r="I326" s="6" t="s">
        <v>26</v>
      </c>
      <c r="J326" s="8">
        <f>IF($H326=0,"",(C326-$H326)/$H326)</f>
        <v>0.1111111111111111</v>
      </c>
      <c r="K326" s="8">
        <f>IF($H326=0,"",(D326-$H326)/$H326)</f>
        <v>0.1111111111111111</v>
      </c>
      <c r="L326" s="8">
        <f>IF($H326=0,"",(E326-$H326)/$H326)</f>
        <v>0.16666666666666663</v>
      </c>
      <c r="M326" s="8">
        <f>IF($H326=0,"",(F326-$H326)/$H326)</f>
        <v>0.5</v>
      </c>
      <c r="N326" s="8">
        <f>IF($H326=0,"",(G326-$H326)/$H326)</f>
        <v>0.0</v>
      </c>
      <c r="O326" s="9">
        <f>IF(ABS(C326-$H326)&lt;=1E-9,1,0)</f>
        <v>0</v>
      </c>
      <c r="P326" s="9">
        <f>IF(ABS(D326-$H326)&lt;=1E-9,1,0)</f>
        <v>0</v>
      </c>
      <c r="Q326" s="9">
        <f>IF(ABS(E326-$H326)&lt;=1E-9,1,0)</f>
        <v>0</v>
      </c>
      <c r="R326" s="9">
        <f>IF(ABS(F326-$H326)&lt;=1E-9,1,0)</f>
        <v>0</v>
      </c>
      <c r="S326" s="9">
        <f>IF(ABS(G326-$H326)&lt;=1E-9,1,0)</f>
        <v>1</v>
      </c>
      <c r="T326" s="6" t="s">
        <v>26</v>
      </c>
    </row>
    <row r="327" spans="1:20">
      <c r="A327" s="6" t="s">
        <v>384</v>
      </c>
      <c r="B327" s="3">
        <v>100</v>
      </c>
      <c r="C327" s="7">
        <v>20</v>
      </c>
      <c r="D327" s="7">
        <v>20</v>
      </c>
      <c r="E327" s="7">
        <v>22</v>
      </c>
      <c r="F327" s="7">
        <v>26</v>
      </c>
      <c r="G327" s="7">
        <v>18</v>
      </c>
      <c r="H327" s="7">
        <f>MIN(C327:G327)</f>
        <v>18.0</v>
      </c>
      <c r="I327" s="6" t="s">
        <v>26</v>
      </c>
      <c r="J327" s="8">
        <f>IF($H327=0,"",(C327-$H327)/$H327)</f>
        <v>0.1111111111111111</v>
      </c>
      <c r="K327" s="8">
        <f>IF($H327=0,"",(D327-$H327)/$H327)</f>
        <v>0.1111111111111111</v>
      </c>
      <c r="L327" s="8">
        <f>IF($H327=0,"",(E327-$H327)/$H327)</f>
        <v>0.2222222222222222</v>
      </c>
      <c r="M327" s="8">
        <f>IF($H327=0,"",(F327-$H327)/$H327)</f>
        <v>0.4444444444444444</v>
      </c>
      <c r="N327" s="8">
        <f>IF($H327=0,"",(G327-$H327)/$H327)</f>
        <v>0.0</v>
      </c>
      <c r="O327" s="9">
        <f>IF(ABS(C327-$H327)&lt;=1E-9,1,0)</f>
        <v>0</v>
      </c>
      <c r="P327" s="9">
        <f>IF(ABS(D327-$H327)&lt;=1E-9,1,0)</f>
        <v>0</v>
      </c>
      <c r="Q327" s="9">
        <f>IF(ABS(E327-$H327)&lt;=1E-9,1,0)</f>
        <v>0</v>
      </c>
      <c r="R327" s="9">
        <f>IF(ABS(F327-$H327)&lt;=1E-9,1,0)</f>
        <v>0</v>
      </c>
      <c r="S327" s="9">
        <f>IF(ABS(G327-$H327)&lt;=1E-9,1,0)</f>
        <v>1</v>
      </c>
      <c r="T327" s="6" t="s">
        <v>26</v>
      </c>
    </row>
    <row r="328" spans="1:20">
      <c r="A328" s="6" t="s">
        <v>385</v>
      </c>
      <c r="B328" s="3">
        <v>100</v>
      </c>
      <c r="C328" s="7">
        <v>426</v>
      </c>
      <c r="D328" s="7">
        <v>440</v>
      </c>
      <c r="E328" s="7">
        <v>445</v>
      </c>
      <c r="F328" s="7">
        <v>420</v>
      </c>
      <c r="G328" s="7">
        <v>315</v>
      </c>
      <c r="H328" s="7">
        <f>MIN(C328:G328)</f>
        <v>315.0</v>
      </c>
      <c r="I328" s="6" t="s">
        <v>26</v>
      </c>
      <c r="J328" s="8">
        <f>IF($H328=0,"",(C328-$H328)/$H328)</f>
        <v>0.3523809523809524</v>
      </c>
      <c r="K328" s="8">
        <f>IF($H328=0,"",(D328-$H328)/$H328)</f>
        <v>0.39682539682539686</v>
      </c>
      <c r="L328" s="8">
        <f>IF($H328=0,"",(E328-$H328)/$H328)</f>
        <v>0.4126984126984127</v>
      </c>
      <c r="M328" s="8">
        <f>IF($H328=0,"",(F328-$H328)/$H328)</f>
        <v>0.33333333333333326</v>
      </c>
      <c r="N328" s="8">
        <f>IF($H328=0,"",(G328-$H328)/$H328)</f>
        <v>0.0</v>
      </c>
      <c r="O328" s="9">
        <f>IF(ABS(C328-$H328)&lt;=1E-9,1,0)</f>
        <v>0</v>
      </c>
      <c r="P328" s="9">
        <f>IF(ABS(D328-$H328)&lt;=1E-9,1,0)</f>
        <v>0</v>
      </c>
      <c r="Q328" s="9">
        <f>IF(ABS(E328-$H328)&lt;=1E-9,1,0)</f>
        <v>0</v>
      </c>
      <c r="R328" s="9">
        <f>IF(ABS(F328-$H328)&lt;=1E-9,1,0)</f>
        <v>0</v>
      </c>
      <c r="S328" s="9">
        <f>IF(ABS(G328-$H328)&lt;=1E-9,1,0)</f>
        <v>1</v>
      </c>
      <c r="T328" s="6" t="s">
        <v>26</v>
      </c>
    </row>
    <row r="329" spans="1:20">
      <c r="A329" s="6" t="s">
        <v>386</v>
      </c>
      <c r="B329" s="3">
        <v>100</v>
      </c>
      <c r="C329" s="7">
        <v>421</v>
      </c>
      <c r="D329" s="7">
        <v>395</v>
      </c>
      <c r="E329" s="7">
        <v>424</v>
      </c>
      <c r="F329" s="7">
        <v>397</v>
      </c>
      <c r="G329" s="7">
        <v>301</v>
      </c>
      <c r="H329" s="7">
        <f>MIN(C329:G329)</f>
        <v>301.0</v>
      </c>
      <c r="I329" s="6" t="s">
        <v>26</v>
      </c>
      <c r="J329" s="8">
        <f>IF($H329=0,"",(C329-$H329)/$H329)</f>
        <v>0.39867109634551495</v>
      </c>
      <c r="K329" s="8">
        <f>IF($H329=0,"",(D329-$H329)/$H329)</f>
        <v>0.3122923588039867</v>
      </c>
      <c r="L329" s="8">
        <f>IF($H329=0,"",(E329-$H329)/$H329)</f>
        <v>0.40863787375415284</v>
      </c>
      <c r="M329" s="8">
        <f>IF($H329=0,"",(F329-$H329)/$H329)</f>
        <v>0.31893687707641194</v>
      </c>
      <c r="N329" s="8">
        <f>IF($H329=0,"",(G329-$H329)/$H329)</f>
        <v>0.0</v>
      </c>
      <c r="O329" s="9">
        <f>IF(ABS(C329-$H329)&lt;=1E-9,1,0)</f>
        <v>0</v>
      </c>
      <c r="P329" s="9">
        <f>IF(ABS(D329-$H329)&lt;=1E-9,1,0)</f>
        <v>0</v>
      </c>
      <c r="Q329" s="9">
        <f>IF(ABS(E329-$H329)&lt;=1E-9,1,0)</f>
        <v>0</v>
      </c>
      <c r="R329" s="9">
        <f>IF(ABS(F329-$H329)&lt;=1E-9,1,0)</f>
        <v>0</v>
      </c>
      <c r="S329" s="9">
        <f>IF(ABS(G329-$H329)&lt;=1E-9,1,0)</f>
        <v>1</v>
      </c>
      <c r="T329" s="6" t="s">
        <v>26</v>
      </c>
    </row>
    <row r="330" spans="1:20">
      <c r="A330" s="6" t="s">
        <v>387</v>
      </c>
      <c r="B330" s="3">
        <v>100</v>
      </c>
      <c r="C330" s="7">
        <v>38</v>
      </c>
      <c r="D330" s="7">
        <v>37</v>
      </c>
      <c r="E330" s="7">
        <v>38</v>
      </c>
      <c r="F330" s="7">
        <v>35</v>
      </c>
      <c r="G330" s="7">
        <v>34</v>
      </c>
      <c r="H330" s="7">
        <f>MIN(C330:G330)</f>
        <v>34.0</v>
      </c>
      <c r="I330" s="6" t="s">
        <v>26</v>
      </c>
      <c r="J330" s="8">
        <f>IF($H330=0,"",(C330-$H330)/$H330)</f>
        <v>0.1176470588235294</v>
      </c>
      <c r="K330" s="8">
        <f>IF($H330=0,"",(D330-$H330)/$H330)</f>
        <v>0.08823529411764706</v>
      </c>
      <c r="L330" s="8">
        <f>IF($H330=0,"",(E330-$H330)/$H330)</f>
        <v>0.1176470588235294</v>
      </c>
      <c r="M330" s="8">
        <f>IF($H330=0,"",(F330-$H330)/$H330)</f>
        <v>0.02941176470588235</v>
      </c>
      <c r="N330" s="8">
        <f>IF($H330=0,"",(G330-$H330)/$H330)</f>
        <v>0.0</v>
      </c>
      <c r="O330" s="9">
        <f>IF(ABS(C330-$H330)&lt;=1E-9,1,0)</f>
        <v>0</v>
      </c>
      <c r="P330" s="9">
        <f>IF(ABS(D330-$H330)&lt;=1E-9,1,0)</f>
        <v>0</v>
      </c>
      <c r="Q330" s="9">
        <f>IF(ABS(E330-$H330)&lt;=1E-9,1,0)</f>
        <v>0</v>
      </c>
      <c r="R330" s="9">
        <f>IF(ABS(F330-$H330)&lt;=1E-9,1,0)</f>
        <v>0</v>
      </c>
      <c r="S330" s="9">
        <f>IF(ABS(G330-$H330)&lt;=1E-9,1,0)</f>
        <v>1</v>
      </c>
      <c r="T330" s="6" t="s">
        <v>26</v>
      </c>
    </row>
    <row r="331" spans="1:20">
      <c r="A331" s="6" t="s">
        <v>388</v>
      </c>
      <c r="B331" s="3">
        <v>100</v>
      </c>
      <c r="C331" s="7">
        <v>39</v>
      </c>
      <c r="D331" s="7">
        <v>39</v>
      </c>
      <c r="E331" s="7">
        <v>40</v>
      </c>
      <c r="F331" s="7">
        <v>35</v>
      </c>
      <c r="G331" s="7">
        <v>35</v>
      </c>
      <c r="H331" s="7">
        <f>MIN(C331:G331)</f>
        <v>35.0</v>
      </c>
      <c r="I331" s="6" t="s">
        <v>50</v>
      </c>
      <c r="J331" s="8">
        <f>IF($H331=0,"",(C331-$H331)/$H331)</f>
        <v>0.11428571428571428</v>
      </c>
      <c r="K331" s="8">
        <f>IF($H331=0,"",(D331-$H331)/$H331)</f>
        <v>0.11428571428571428</v>
      </c>
      <c r="L331" s="8">
        <f>IF($H331=0,"",(E331-$H331)/$H331)</f>
        <v>0.14285714285714285</v>
      </c>
      <c r="M331" s="8">
        <f>IF($H331=0,"",(F331-$H331)/$H331)</f>
        <v>0.0</v>
      </c>
      <c r="N331" s="8">
        <f>IF($H331=0,"",(G331-$H331)/$H331)</f>
        <v>0.0</v>
      </c>
      <c r="O331" s="9">
        <f>IF(ABS(C331-$H331)&lt;=1E-9,1,0)</f>
        <v>0</v>
      </c>
      <c r="P331" s="9">
        <f>IF(ABS(D331-$H331)&lt;=1E-9,1,0)</f>
        <v>0</v>
      </c>
      <c r="Q331" s="9">
        <f>IF(ABS(E331-$H331)&lt;=1E-9,1,0)</f>
        <v>0</v>
      </c>
      <c r="R331" s="9">
        <f>IF(ABS(F331-$H331)&lt;=1E-9,1,0)</f>
        <v>1</v>
      </c>
      <c r="S331" s="9">
        <f>IF(ABS(G331-$H331)&lt;=1E-9,1,0)</f>
        <v>1</v>
      </c>
      <c r="T331" s="6" t="s">
        <v>51</v>
      </c>
    </row>
    <row r="332" spans="1:20">
      <c r="A332" s="6" t="s">
        <v>389</v>
      </c>
      <c r="B332" s="3">
        <v>100</v>
      </c>
      <c r="C332" s="7">
        <v>591</v>
      </c>
      <c r="D332" s="7">
        <v>616</v>
      </c>
      <c r="E332" s="7">
        <v>620</v>
      </c>
      <c r="F332" s="7">
        <v>472</v>
      </c>
      <c r="G332" s="7">
        <v>431</v>
      </c>
      <c r="H332" s="7">
        <f>MIN(C332:G332)</f>
        <v>431.0</v>
      </c>
      <c r="I332" s="6" t="s">
        <v>26</v>
      </c>
      <c r="J332" s="8">
        <f>IF($H332=0,"",(C332-$H332)/$H332)</f>
        <v>0.37122969837587005</v>
      </c>
      <c r="K332" s="8">
        <f>IF($H332=0,"",(D332-$H332)/$H332)</f>
        <v>0.42923433874709976</v>
      </c>
      <c r="L332" s="8">
        <f>IF($H332=0,"",(E332-$H332)/$H332)</f>
        <v>0.43851508120649657</v>
      </c>
      <c r="M332" s="8">
        <f>IF($H332=0,"",(F332-$H332)/$H332)</f>
        <v>0.09512761020881672</v>
      </c>
      <c r="N332" s="8">
        <f>IF($H332=0,"",(G332-$H332)/$H332)</f>
        <v>0.0</v>
      </c>
      <c r="O332" s="9">
        <f>IF(ABS(C332-$H332)&lt;=1E-9,1,0)</f>
        <v>0</v>
      </c>
      <c r="P332" s="9">
        <f>IF(ABS(D332-$H332)&lt;=1E-9,1,0)</f>
        <v>0</v>
      </c>
      <c r="Q332" s="9">
        <f>IF(ABS(E332-$H332)&lt;=1E-9,1,0)</f>
        <v>0</v>
      </c>
      <c r="R332" s="9">
        <f>IF(ABS(F332-$H332)&lt;=1E-9,1,0)</f>
        <v>0</v>
      </c>
      <c r="S332" s="9">
        <f>IF(ABS(G332-$H332)&lt;=1E-9,1,0)</f>
        <v>1</v>
      </c>
      <c r="T332" s="6" t="s">
        <v>26</v>
      </c>
    </row>
    <row r="333" spans="1:20">
      <c r="A333" s="6" t="s">
        <v>390</v>
      </c>
      <c r="B333" s="3">
        <v>100</v>
      </c>
      <c r="C333" s="7">
        <v>644</v>
      </c>
      <c r="D333" s="7">
        <v>638</v>
      </c>
      <c r="E333" s="7">
        <v>656</v>
      </c>
      <c r="F333" s="7">
        <v>495</v>
      </c>
      <c r="G333" s="7">
        <v>463</v>
      </c>
      <c r="H333" s="7">
        <f>MIN(C333:G333)</f>
        <v>463.0</v>
      </c>
      <c r="I333" s="6" t="s">
        <v>26</v>
      </c>
      <c r="J333" s="8">
        <f>IF($H333=0,"",(C333-$H333)/$H333)</f>
        <v>0.39092872570194387</v>
      </c>
      <c r="K333" s="8">
        <f>IF($H333=0,"",(D333-$H333)/$H333)</f>
        <v>0.37796976241900654</v>
      </c>
      <c r="L333" s="8">
        <f>IF($H333=0,"",(E333-$H333)/$H333)</f>
        <v>0.4168466522678186</v>
      </c>
      <c r="M333" s="8">
        <f>IF($H333=0,"",(F333-$H333)/$H333)</f>
        <v>0.06911447084233262</v>
      </c>
      <c r="N333" s="8">
        <f>IF($H333=0,"",(G333-$H333)/$H333)</f>
        <v>0.0</v>
      </c>
      <c r="O333" s="9">
        <f>IF(ABS(C333-$H333)&lt;=1E-9,1,0)</f>
        <v>0</v>
      </c>
      <c r="P333" s="9">
        <f>IF(ABS(D333-$H333)&lt;=1E-9,1,0)</f>
        <v>0</v>
      </c>
      <c r="Q333" s="9">
        <f>IF(ABS(E333-$H333)&lt;=1E-9,1,0)</f>
        <v>0</v>
      </c>
      <c r="R333" s="9">
        <f>IF(ABS(F333-$H333)&lt;=1E-9,1,0)</f>
        <v>0</v>
      </c>
      <c r="S333" s="9">
        <f>IF(ABS(G333-$H333)&lt;=1E-9,1,0)</f>
        <v>1</v>
      </c>
      <c r="T333" s="6" t="s">
        <v>26</v>
      </c>
    </row>
    <row r="334" spans="1:20">
      <c r="A334" s="6" t="s">
        <v>391</v>
      </c>
      <c r="B334" s="3">
        <v>100</v>
      </c>
      <c r="C334" s="7">
        <v>31</v>
      </c>
      <c r="D334" s="7">
        <v>31</v>
      </c>
      <c r="E334" s="7">
        <v>31</v>
      </c>
      <c r="F334" s="7">
        <v>30</v>
      </c>
      <c r="G334" s="7">
        <v>29</v>
      </c>
      <c r="H334" s="7">
        <f>MIN(C334:G334)</f>
        <v>29.0</v>
      </c>
      <c r="I334" s="6" t="s">
        <v>26</v>
      </c>
      <c r="J334" s="8">
        <f>IF($H334=0,"",(C334-$H334)/$H334)</f>
        <v>0.06896551724137931</v>
      </c>
      <c r="K334" s="8">
        <f>IF($H334=0,"",(D334-$H334)/$H334)</f>
        <v>0.06896551724137931</v>
      </c>
      <c r="L334" s="8">
        <f>IF($H334=0,"",(E334-$H334)/$H334)</f>
        <v>0.06896551724137931</v>
      </c>
      <c r="M334" s="8">
        <f>IF($H334=0,"",(F334-$H334)/$H334)</f>
        <v>0.034482758620689655</v>
      </c>
      <c r="N334" s="8">
        <f>IF($H334=0,"",(G334-$H334)/$H334)</f>
        <v>0.0</v>
      </c>
      <c r="O334" s="9">
        <f>IF(ABS(C334-$H334)&lt;=1E-9,1,0)</f>
        <v>0</v>
      </c>
      <c r="P334" s="9">
        <f>IF(ABS(D334-$H334)&lt;=1E-9,1,0)</f>
        <v>0</v>
      </c>
      <c r="Q334" s="9">
        <f>IF(ABS(E334-$H334)&lt;=1E-9,1,0)</f>
        <v>0</v>
      </c>
      <c r="R334" s="9">
        <f>IF(ABS(F334-$H334)&lt;=1E-9,1,0)</f>
        <v>0</v>
      </c>
      <c r="S334" s="9">
        <f>IF(ABS(G334-$H334)&lt;=1E-9,1,0)</f>
        <v>1</v>
      </c>
      <c r="T334" s="6" t="s">
        <v>26</v>
      </c>
    </row>
    <row r="335" spans="1:20">
      <c r="A335" s="6" t="s">
        <v>392</v>
      </c>
      <c r="B335" s="3">
        <v>100</v>
      </c>
      <c r="C335" s="7">
        <v>31</v>
      </c>
      <c r="D335" s="7">
        <v>31</v>
      </c>
      <c r="E335" s="7">
        <v>31</v>
      </c>
      <c r="F335" s="7">
        <v>30</v>
      </c>
      <c r="G335" s="7">
        <v>29</v>
      </c>
      <c r="H335" s="7">
        <f>MIN(C335:G335)</f>
        <v>29.0</v>
      </c>
      <c r="I335" s="6" t="s">
        <v>26</v>
      </c>
      <c r="J335" s="8">
        <f>IF($H335=0,"",(C335-$H335)/$H335)</f>
        <v>0.06896551724137931</v>
      </c>
      <c r="K335" s="8">
        <f>IF($H335=0,"",(D335-$H335)/$H335)</f>
        <v>0.06896551724137931</v>
      </c>
      <c r="L335" s="8">
        <f>IF($H335=0,"",(E335-$H335)/$H335)</f>
        <v>0.06896551724137931</v>
      </c>
      <c r="M335" s="8">
        <f>IF($H335=0,"",(F335-$H335)/$H335)</f>
        <v>0.034482758620689655</v>
      </c>
      <c r="N335" s="8">
        <f>IF($H335=0,"",(G335-$H335)/$H335)</f>
        <v>0.0</v>
      </c>
      <c r="O335" s="9">
        <f>IF(ABS(C335-$H335)&lt;=1E-9,1,0)</f>
        <v>0</v>
      </c>
      <c r="P335" s="9">
        <f>IF(ABS(D335-$H335)&lt;=1E-9,1,0)</f>
        <v>0</v>
      </c>
      <c r="Q335" s="9">
        <f>IF(ABS(E335-$H335)&lt;=1E-9,1,0)</f>
        <v>0</v>
      </c>
      <c r="R335" s="9">
        <f>IF(ABS(F335-$H335)&lt;=1E-9,1,0)</f>
        <v>0</v>
      </c>
      <c r="S335" s="9">
        <f>IF(ABS(G335-$H335)&lt;=1E-9,1,0)</f>
        <v>1</v>
      </c>
      <c r="T335" s="6" t="s">
        <v>26</v>
      </c>
    </row>
    <row r="336" spans="1:20">
      <c r="A336" s="6" t="s">
        <v>393</v>
      </c>
      <c r="B336" s="3">
        <v>100</v>
      </c>
      <c r="C336" s="7">
        <v>509</v>
      </c>
      <c r="D336" s="7">
        <v>508</v>
      </c>
      <c r="E336" s="7">
        <v>515</v>
      </c>
      <c r="F336" s="7">
        <v>422</v>
      </c>
      <c r="G336" s="7">
        <v>392</v>
      </c>
      <c r="H336" s="7">
        <f>MIN(C336:G336)</f>
        <v>392.0</v>
      </c>
      <c r="I336" s="6" t="s">
        <v>26</v>
      </c>
      <c r="J336" s="8">
        <f>IF($H336=0,"",(C336-$H336)/$H336)</f>
        <v>0.29846938775510207</v>
      </c>
      <c r="K336" s="8">
        <f>IF($H336=0,"",(D336-$H336)/$H336)</f>
        <v>0.29591836734693877</v>
      </c>
      <c r="L336" s="8">
        <f>IF($H336=0,"",(E336-$H336)/$H336)</f>
        <v>0.3137755102040816</v>
      </c>
      <c r="M336" s="8">
        <f>IF($H336=0,"",(F336-$H336)/$H336)</f>
        <v>0.07653061224489796</v>
      </c>
      <c r="N336" s="8">
        <f>IF($H336=0,"",(G336-$H336)/$H336)</f>
        <v>0.0</v>
      </c>
      <c r="O336" s="9">
        <f>IF(ABS(C336-$H336)&lt;=1E-9,1,0)</f>
        <v>0</v>
      </c>
      <c r="P336" s="9">
        <f>IF(ABS(D336-$H336)&lt;=1E-9,1,0)</f>
        <v>0</v>
      </c>
      <c r="Q336" s="9">
        <f>IF(ABS(E336-$H336)&lt;=1E-9,1,0)</f>
        <v>0</v>
      </c>
      <c r="R336" s="9">
        <f>IF(ABS(F336-$H336)&lt;=1E-9,1,0)</f>
        <v>0</v>
      </c>
      <c r="S336" s="9">
        <f>IF(ABS(G336-$H336)&lt;=1E-9,1,0)</f>
        <v>1</v>
      </c>
      <c r="T336" s="6" t="s">
        <v>26</v>
      </c>
    </row>
    <row r="337" spans="1:20">
      <c r="A337" s="6" t="s">
        <v>394</v>
      </c>
      <c r="B337" s="3">
        <v>100</v>
      </c>
      <c r="C337" s="7">
        <v>560</v>
      </c>
      <c r="D337" s="7">
        <v>575</v>
      </c>
      <c r="E337" s="7">
        <v>552</v>
      </c>
      <c r="F337" s="7">
        <v>469</v>
      </c>
      <c r="G337" s="7">
        <v>410</v>
      </c>
      <c r="H337" s="7">
        <f>MIN(C337:G337)</f>
        <v>410.0</v>
      </c>
      <c r="I337" s="6" t="s">
        <v>26</v>
      </c>
      <c r="J337" s="8">
        <f>IF($H337=0,"",(C337-$H337)/$H337)</f>
        <v>0.36585365853658536</v>
      </c>
      <c r="K337" s="8">
        <f>IF($H337=0,"",(D337-$H337)/$H337)</f>
        <v>0.402439024390244</v>
      </c>
      <c r="L337" s="8">
        <f>IF($H337=0,"",(E337-$H337)/$H337)</f>
        <v>0.3463414634146341</v>
      </c>
      <c r="M337" s="8">
        <f>IF($H337=0,"",(F337-$H337)/$H337)</f>
        <v>0.14390243902439023</v>
      </c>
      <c r="N337" s="8">
        <f>IF($H337=0,"",(G337-$H337)/$H337)</f>
        <v>0.0</v>
      </c>
      <c r="O337" s="9">
        <f>IF(ABS(C337-$H337)&lt;=1E-9,1,0)</f>
        <v>0</v>
      </c>
      <c r="P337" s="9">
        <f>IF(ABS(D337-$H337)&lt;=1E-9,1,0)</f>
        <v>0</v>
      </c>
      <c r="Q337" s="9">
        <f>IF(ABS(E337-$H337)&lt;=1E-9,1,0)</f>
        <v>0</v>
      </c>
      <c r="R337" s="9">
        <f>IF(ABS(F337-$H337)&lt;=1E-9,1,0)</f>
        <v>0</v>
      </c>
      <c r="S337" s="9">
        <f>IF(ABS(G337-$H337)&lt;=1E-9,1,0)</f>
        <v>1</v>
      </c>
      <c r="T337" s="6" t="s">
        <v>26</v>
      </c>
    </row>
    <row r="338" spans="1:20">
      <c r="A338" s="6" t="s">
        <v>395</v>
      </c>
      <c r="B338" s="3">
        <v>100</v>
      </c>
      <c r="C338" s="7">
        <v>22</v>
      </c>
      <c r="D338" s="7">
        <v>23</v>
      </c>
      <c r="E338" s="7">
        <v>24</v>
      </c>
      <c r="F338" s="7">
        <v>27</v>
      </c>
      <c r="G338" s="7">
        <v>21</v>
      </c>
      <c r="H338" s="7">
        <f>MIN(C338:G338)</f>
        <v>21.0</v>
      </c>
      <c r="I338" s="6" t="s">
        <v>26</v>
      </c>
      <c r="J338" s="8">
        <f>IF($H338=0,"",(C338-$H338)/$H338)</f>
        <v>0.047619047619047616</v>
      </c>
      <c r="K338" s="8">
        <f>IF($H338=0,"",(D338-$H338)/$H338)</f>
        <v>0.09523809523809523</v>
      </c>
      <c r="L338" s="8">
        <f>IF($H338=0,"",(E338-$H338)/$H338)</f>
        <v>0.14285714285714285</v>
      </c>
      <c r="M338" s="8">
        <f>IF($H338=0,"",(F338-$H338)/$H338)</f>
        <v>0.2857142857142857</v>
      </c>
      <c r="N338" s="8">
        <f>IF($H338=0,"",(G338-$H338)/$H338)</f>
        <v>0.0</v>
      </c>
      <c r="O338" s="9">
        <f>IF(ABS(C338-$H338)&lt;=1E-9,1,0)</f>
        <v>0</v>
      </c>
      <c r="P338" s="9">
        <f>IF(ABS(D338-$H338)&lt;=1E-9,1,0)</f>
        <v>0</v>
      </c>
      <c r="Q338" s="9">
        <f>IF(ABS(E338-$H338)&lt;=1E-9,1,0)</f>
        <v>0</v>
      </c>
      <c r="R338" s="9">
        <f>IF(ABS(F338-$H338)&lt;=1E-9,1,0)</f>
        <v>0</v>
      </c>
      <c r="S338" s="9">
        <f>IF(ABS(G338-$H338)&lt;=1E-9,1,0)</f>
        <v>1</v>
      </c>
      <c r="T338" s="6" t="s">
        <v>26</v>
      </c>
    </row>
    <row r="339" spans="1:20">
      <c r="A339" s="6" t="s">
        <v>396</v>
      </c>
      <c r="B339" s="3">
        <v>100</v>
      </c>
      <c r="C339" s="7">
        <v>24</v>
      </c>
      <c r="D339" s="7">
        <v>24</v>
      </c>
      <c r="E339" s="7">
        <v>24</v>
      </c>
      <c r="F339" s="7">
        <v>27</v>
      </c>
      <c r="G339" s="7">
        <v>22</v>
      </c>
      <c r="H339" s="7">
        <f>MIN(C339:G339)</f>
        <v>22.0</v>
      </c>
      <c r="I339" s="6" t="s">
        <v>26</v>
      </c>
      <c r="J339" s="8">
        <f>IF($H339=0,"",(C339-$H339)/$H339)</f>
        <v>0.09090909090909091</v>
      </c>
      <c r="K339" s="8">
        <f>IF($H339=0,"",(D339-$H339)/$H339)</f>
        <v>0.09090909090909091</v>
      </c>
      <c r="L339" s="8">
        <f>IF($H339=0,"",(E339-$H339)/$H339)</f>
        <v>0.09090909090909091</v>
      </c>
      <c r="M339" s="8">
        <f>IF($H339=0,"",(F339-$H339)/$H339)</f>
        <v>0.22727272727272727</v>
      </c>
      <c r="N339" s="8">
        <f>IF($H339=0,"",(G339-$H339)/$H339)</f>
        <v>0.0</v>
      </c>
      <c r="O339" s="9">
        <f>IF(ABS(C339-$H339)&lt;=1E-9,1,0)</f>
        <v>0</v>
      </c>
      <c r="P339" s="9">
        <f>IF(ABS(D339-$H339)&lt;=1E-9,1,0)</f>
        <v>0</v>
      </c>
      <c r="Q339" s="9">
        <f>IF(ABS(E339-$H339)&lt;=1E-9,1,0)</f>
        <v>0</v>
      </c>
      <c r="R339" s="9">
        <f>IF(ABS(F339-$H339)&lt;=1E-9,1,0)</f>
        <v>0</v>
      </c>
      <c r="S339" s="9">
        <f>IF(ABS(G339-$H339)&lt;=1E-9,1,0)</f>
        <v>1</v>
      </c>
      <c r="T339" s="6" t="s">
        <v>26</v>
      </c>
    </row>
    <row r="340" spans="1:20">
      <c r="A340" s="6" t="s">
        <v>397</v>
      </c>
      <c r="B340" s="3">
        <v>100</v>
      </c>
      <c r="C340" s="7">
        <v>425</v>
      </c>
      <c r="D340" s="7">
        <v>427</v>
      </c>
      <c r="E340" s="7">
        <v>419</v>
      </c>
      <c r="F340" s="7">
        <v>378</v>
      </c>
      <c r="G340" s="7">
        <v>273</v>
      </c>
      <c r="H340" s="7">
        <f>MIN(C340:G340)</f>
        <v>273.0</v>
      </c>
      <c r="I340" s="6" t="s">
        <v>26</v>
      </c>
      <c r="J340" s="8">
        <f>IF($H340=0,"",(C340-$H340)/$H340)</f>
        <v>0.5567765567765568</v>
      </c>
      <c r="K340" s="8">
        <f>IF($H340=0,"",(D340-$H340)/$H340)</f>
        <v>0.5641025641025641</v>
      </c>
      <c r="L340" s="8">
        <f>IF($H340=0,"",(E340-$H340)/$H340)</f>
        <v>0.5347985347985348</v>
      </c>
      <c r="M340" s="8">
        <f>IF($H340=0,"",(F340-$H340)/$H340)</f>
        <v>0.3846153846153847</v>
      </c>
      <c r="N340" s="8">
        <f>IF($H340=0,"",(G340-$H340)/$H340)</f>
        <v>0.0</v>
      </c>
      <c r="O340" s="9">
        <f>IF(ABS(C340-$H340)&lt;=1E-9,1,0)</f>
        <v>0</v>
      </c>
      <c r="P340" s="9">
        <f>IF(ABS(D340-$H340)&lt;=1E-9,1,0)</f>
        <v>0</v>
      </c>
      <c r="Q340" s="9">
        <f>IF(ABS(E340-$H340)&lt;=1E-9,1,0)</f>
        <v>0</v>
      </c>
      <c r="R340" s="9">
        <f>IF(ABS(F340-$H340)&lt;=1E-9,1,0)</f>
        <v>0</v>
      </c>
      <c r="S340" s="9">
        <f>IF(ABS(G340-$H340)&lt;=1E-9,1,0)</f>
        <v>1</v>
      </c>
      <c r="T340" s="6" t="s">
        <v>26</v>
      </c>
    </row>
    <row r="341" spans="1:20">
      <c r="A341" s="6" t="s">
        <v>398</v>
      </c>
      <c r="B341" s="3">
        <v>100</v>
      </c>
      <c r="C341" s="7">
        <v>378</v>
      </c>
      <c r="D341" s="7">
        <v>383</v>
      </c>
      <c r="E341" s="7">
        <v>386</v>
      </c>
      <c r="F341" s="7">
        <v>371</v>
      </c>
      <c r="G341" s="7">
        <v>286</v>
      </c>
      <c r="H341" s="7">
        <f>MIN(C341:G341)</f>
        <v>286.0</v>
      </c>
      <c r="I341" s="6" t="s">
        <v>26</v>
      </c>
      <c r="J341" s="8">
        <f>IF($H341=0,"",(C341-$H341)/$H341)</f>
        <v>0.32167832167832167</v>
      </c>
      <c r="K341" s="8">
        <f>IF($H341=0,"",(D341-$H341)/$H341)</f>
        <v>0.3391608391608392</v>
      </c>
      <c r="L341" s="8">
        <f>IF($H341=0,"",(E341-$H341)/$H341)</f>
        <v>0.3496503496503497</v>
      </c>
      <c r="M341" s="8">
        <f>IF($H341=0,"",(F341-$H341)/$H341)</f>
        <v>0.2972027972027972</v>
      </c>
      <c r="N341" s="8">
        <f>IF($H341=0,"",(G341-$H341)/$H341)</f>
        <v>0.0</v>
      </c>
      <c r="O341" s="9">
        <f>IF(ABS(C341-$H341)&lt;=1E-9,1,0)</f>
        <v>0</v>
      </c>
      <c r="P341" s="9">
        <f>IF(ABS(D341-$H341)&lt;=1E-9,1,0)</f>
        <v>0</v>
      </c>
      <c r="Q341" s="9">
        <f>IF(ABS(E341-$H341)&lt;=1E-9,1,0)</f>
        <v>0</v>
      </c>
      <c r="R341" s="9">
        <f>IF(ABS(F341-$H341)&lt;=1E-9,1,0)</f>
        <v>0</v>
      </c>
      <c r="S341" s="9">
        <f>IF(ABS(G341-$H341)&lt;=1E-9,1,0)</f>
        <v>1</v>
      </c>
      <c r="T341" s="6" t="s">
        <v>26</v>
      </c>
    </row>
    <row r="342" spans="1:20">
      <c r="A342" s="6" t="s">
        <v>399</v>
      </c>
      <c r="B342" s="3">
        <v>100</v>
      </c>
      <c r="C342" s="7">
        <v>19</v>
      </c>
      <c r="D342" s="7">
        <v>19</v>
      </c>
      <c r="E342" s="7">
        <v>22</v>
      </c>
      <c r="F342" s="7">
        <v>26</v>
      </c>
      <c r="G342" s="7">
        <v>19</v>
      </c>
      <c r="H342" s="7">
        <f>MIN(C342:G342)</f>
        <v>19.0</v>
      </c>
      <c r="I342" s="6" t="s">
        <v>65</v>
      </c>
      <c r="J342" s="8">
        <f>IF($H342=0,"",(C342-$H342)/$H342)</f>
        <v>0.0</v>
      </c>
      <c r="K342" s="8">
        <f>IF($H342=0,"",(D342-$H342)/$H342)</f>
        <v>0.0</v>
      </c>
      <c r="L342" s="8">
        <f>IF($H342=0,"",(E342-$H342)/$H342)</f>
        <v>0.15789473684210525</v>
      </c>
      <c r="M342" s="8">
        <f>IF($H342=0,"",(F342-$H342)/$H342)</f>
        <v>0.3684210526315789</v>
      </c>
      <c r="N342" s="8">
        <f>IF($H342=0,"",(G342-$H342)/$H342)</f>
        <v>0.0</v>
      </c>
      <c r="O342" s="9">
        <f>IF(ABS(C342-$H342)&lt;=1E-9,1,0)</f>
        <v>1</v>
      </c>
      <c r="P342" s="9">
        <f>IF(ABS(D342-$H342)&lt;=1E-9,1,0)</f>
        <v>1</v>
      </c>
      <c r="Q342" s="9">
        <f>IF(ABS(E342-$H342)&lt;=1E-9,1,0)</f>
        <v>0</v>
      </c>
      <c r="R342" s="9">
        <f>IF(ABS(F342-$H342)&lt;=1E-9,1,0)</f>
        <v>0</v>
      </c>
      <c r="S342" s="9">
        <f>IF(ABS(G342-$H342)&lt;=1E-9,1,0)</f>
        <v>1</v>
      </c>
      <c r="T342" s="6" t="s">
        <v>51</v>
      </c>
    </row>
    <row r="343" spans="1:20">
      <c r="A343" s="6" t="s">
        <v>400</v>
      </c>
      <c r="B343" s="3">
        <v>100</v>
      </c>
      <c r="C343" s="7">
        <v>20</v>
      </c>
      <c r="D343" s="7">
        <v>20</v>
      </c>
      <c r="E343" s="7">
        <v>21</v>
      </c>
      <c r="F343" s="7">
        <v>27</v>
      </c>
      <c r="G343" s="7">
        <v>18</v>
      </c>
      <c r="H343" s="7">
        <f>MIN(C343:G343)</f>
        <v>18.0</v>
      </c>
      <c r="I343" s="6" t="s">
        <v>26</v>
      </c>
      <c r="J343" s="8">
        <f>IF($H343=0,"",(C343-$H343)/$H343)</f>
        <v>0.1111111111111111</v>
      </c>
      <c r="K343" s="8">
        <f>IF($H343=0,"",(D343-$H343)/$H343)</f>
        <v>0.1111111111111111</v>
      </c>
      <c r="L343" s="8">
        <f>IF($H343=0,"",(E343-$H343)/$H343)</f>
        <v>0.16666666666666663</v>
      </c>
      <c r="M343" s="8">
        <f>IF($H343=0,"",(F343-$H343)/$H343)</f>
        <v>0.5</v>
      </c>
      <c r="N343" s="8">
        <f>IF($H343=0,"",(G343-$H343)/$H343)</f>
        <v>0.0</v>
      </c>
      <c r="O343" s="9">
        <f>IF(ABS(C343-$H343)&lt;=1E-9,1,0)</f>
        <v>0</v>
      </c>
      <c r="P343" s="9">
        <f>IF(ABS(D343-$H343)&lt;=1E-9,1,0)</f>
        <v>0</v>
      </c>
      <c r="Q343" s="9">
        <f>IF(ABS(E343-$H343)&lt;=1E-9,1,0)</f>
        <v>0</v>
      </c>
      <c r="R343" s="9">
        <f>IF(ABS(F343-$H343)&lt;=1E-9,1,0)</f>
        <v>0</v>
      </c>
      <c r="S343" s="9">
        <f>IF(ABS(G343-$H343)&lt;=1E-9,1,0)</f>
        <v>1</v>
      </c>
      <c r="T343" s="6" t="s">
        <v>26</v>
      </c>
    </row>
    <row r="344" spans="1:20">
      <c r="A344" s="6" t="s">
        <v>401</v>
      </c>
      <c r="B344" s="3">
        <v>100</v>
      </c>
      <c r="C344" s="7">
        <v>385</v>
      </c>
      <c r="D344" s="7">
        <v>384</v>
      </c>
      <c r="E344" s="7">
        <v>410</v>
      </c>
      <c r="F344" s="7">
        <v>376</v>
      </c>
      <c r="G344" s="7">
        <v>294</v>
      </c>
      <c r="H344" s="7">
        <f>MIN(C344:G344)</f>
        <v>294.0</v>
      </c>
      <c r="I344" s="6" t="s">
        <v>26</v>
      </c>
      <c r="J344" s="8">
        <f>IF($H344=0,"",(C344-$H344)/$H344)</f>
        <v>0.30952380952380953</v>
      </c>
      <c r="K344" s="8">
        <f>IF($H344=0,"",(D344-$H344)/$H344)</f>
        <v>0.30612244897959184</v>
      </c>
      <c r="L344" s="8">
        <f>IF($H344=0,"",(E344-$H344)/$H344)</f>
        <v>0.39455782312925164</v>
      </c>
      <c r="M344" s="8">
        <f>IF($H344=0,"",(F344-$H344)/$H344)</f>
        <v>0.2789115646258503</v>
      </c>
      <c r="N344" s="8">
        <f>IF($H344=0,"",(G344-$H344)/$H344)</f>
        <v>0.0</v>
      </c>
      <c r="O344" s="9">
        <f>IF(ABS(C344-$H344)&lt;=1E-9,1,0)</f>
        <v>0</v>
      </c>
      <c r="P344" s="9">
        <f>IF(ABS(D344-$H344)&lt;=1E-9,1,0)</f>
        <v>0</v>
      </c>
      <c r="Q344" s="9">
        <f>IF(ABS(E344-$H344)&lt;=1E-9,1,0)</f>
        <v>0</v>
      </c>
      <c r="R344" s="9">
        <f>IF(ABS(F344-$H344)&lt;=1E-9,1,0)</f>
        <v>0</v>
      </c>
      <c r="S344" s="9">
        <f>IF(ABS(G344-$H344)&lt;=1E-9,1,0)</f>
        <v>1</v>
      </c>
      <c r="T344" s="6" t="s">
        <v>26</v>
      </c>
    </row>
    <row r="345" spans="1:20">
      <c r="A345" s="6" t="s">
        <v>402</v>
      </c>
      <c r="B345" s="3">
        <v>100</v>
      </c>
      <c r="C345" s="7">
        <v>349</v>
      </c>
      <c r="D345" s="7">
        <v>353</v>
      </c>
      <c r="E345" s="7">
        <v>355</v>
      </c>
      <c r="F345" s="7">
        <v>345</v>
      </c>
      <c r="G345" s="7">
        <v>256</v>
      </c>
      <c r="H345" s="7">
        <f>MIN(C345:G345)</f>
        <v>256.0</v>
      </c>
      <c r="I345" s="6" t="s">
        <v>26</v>
      </c>
      <c r="J345" s="8">
        <f>IF($H345=0,"",(C345-$H345)/$H345)</f>
        <v>0.36328125</v>
      </c>
      <c r="K345" s="8">
        <f>IF($H345=0,"",(D345-$H345)/$H345)</f>
        <v>0.37890625</v>
      </c>
      <c r="L345" s="8">
        <f>IF($H345=0,"",(E345-$H345)/$H345)</f>
        <v>0.38671875</v>
      </c>
      <c r="M345" s="8">
        <f>IF($H345=0,"",(F345-$H345)/$H345)</f>
        <v>0.34765625</v>
      </c>
      <c r="N345" s="8">
        <f>IF($H345=0,"",(G345-$H345)/$H345)</f>
        <v>0.0</v>
      </c>
      <c r="O345" s="9">
        <f>IF(ABS(C345-$H345)&lt;=1E-9,1,0)</f>
        <v>0</v>
      </c>
      <c r="P345" s="9">
        <f>IF(ABS(D345-$H345)&lt;=1E-9,1,0)</f>
        <v>0</v>
      </c>
      <c r="Q345" s="9">
        <f>IF(ABS(E345-$H345)&lt;=1E-9,1,0)</f>
        <v>0</v>
      </c>
      <c r="R345" s="9">
        <f>IF(ABS(F345-$H345)&lt;=1E-9,1,0)</f>
        <v>0</v>
      </c>
      <c r="S345" s="9">
        <f>IF(ABS(G345-$H345)&lt;=1E-9,1,0)</f>
        <v>1</v>
      </c>
      <c r="T345" s="6" t="s">
        <v>26</v>
      </c>
    </row>
    <row r="346" spans="1:20">
      <c r="A346" s="6" t="s">
        <v>403</v>
      </c>
      <c r="B346" s="3">
        <v>100</v>
      </c>
      <c r="C346" s="7">
        <v>35</v>
      </c>
      <c r="D346" s="7">
        <v>35</v>
      </c>
      <c r="E346" s="7">
        <v>36</v>
      </c>
      <c r="F346" s="7">
        <v>33</v>
      </c>
      <c r="G346" s="7">
        <v>32</v>
      </c>
      <c r="H346" s="7">
        <f>MIN(C346:G346)</f>
        <v>32.0</v>
      </c>
      <c r="I346" s="6" t="s">
        <v>26</v>
      </c>
      <c r="J346" s="8">
        <f>IF($H346=0,"",(C346-$H346)/$H346)</f>
        <v>0.09375</v>
      </c>
      <c r="K346" s="8">
        <f>IF($H346=0,"",(D346-$H346)/$H346)</f>
        <v>0.09375</v>
      </c>
      <c r="L346" s="8">
        <f>IF($H346=0,"",(E346-$H346)/$H346)</f>
        <v>0.125</v>
      </c>
      <c r="M346" s="8">
        <f>IF($H346=0,"",(F346-$H346)/$H346)</f>
        <v>0.03125</v>
      </c>
      <c r="N346" s="8">
        <f>IF($H346=0,"",(G346-$H346)/$H346)</f>
        <v>0.0</v>
      </c>
      <c r="O346" s="9">
        <f>IF(ABS(C346-$H346)&lt;=1E-9,1,0)</f>
        <v>0</v>
      </c>
      <c r="P346" s="9">
        <f>IF(ABS(D346-$H346)&lt;=1E-9,1,0)</f>
        <v>0</v>
      </c>
      <c r="Q346" s="9">
        <f>IF(ABS(E346-$H346)&lt;=1E-9,1,0)</f>
        <v>0</v>
      </c>
      <c r="R346" s="9">
        <f>IF(ABS(F346-$H346)&lt;=1E-9,1,0)</f>
        <v>0</v>
      </c>
      <c r="S346" s="9">
        <f>IF(ABS(G346-$H346)&lt;=1E-9,1,0)</f>
        <v>1</v>
      </c>
      <c r="T346" s="6" t="s">
        <v>26</v>
      </c>
    </row>
    <row r="347" spans="1:20">
      <c r="A347" s="6" t="s">
        <v>404</v>
      </c>
      <c r="B347" s="3">
        <v>100</v>
      </c>
      <c r="C347" s="7">
        <v>39</v>
      </c>
      <c r="D347" s="7">
        <v>39</v>
      </c>
      <c r="E347" s="7">
        <v>38</v>
      </c>
      <c r="F347" s="7">
        <v>36</v>
      </c>
      <c r="G347" s="7">
        <v>34</v>
      </c>
      <c r="H347" s="7">
        <f>MIN(C347:G347)</f>
        <v>34.0</v>
      </c>
      <c r="I347" s="6" t="s">
        <v>26</v>
      </c>
      <c r="J347" s="8">
        <f>IF($H347=0,"",(C347-$H347)/$H347)</f>
        <v>0.14705882352941177</v>
      </c>
      <c r="K347" s="8">
        <f>IF($H347=0,"",(D347-$H347)/$H347)</f>
        <v>0.14705882352941177</v>
      </c>
      <c r="L347" s="8">
        <f>IF($H347=0,"",(E347-$H347)/$H347)</f>
        <v>0.1176470588235294</v>
      </c>
      <c r="M347" s="8">
        <f>IF($H347=0,"",(F347-$H347)/$H347)</f>
        <v>0.0588235294117647</v>
      </c>
      <c r="N347" s="8">
        <f>IF($H347=0,"",(G347-$H347)/$H347)</f>
        <v>0.0</v>
      </c>
      <c r="O347" s="9">
        <f>IF(ABS(C347-$H347)&lt;=1E-9,1,0)</f>
        <v>0</v>
      </c>
      <c r="P347" s="9">
        <f>IF(ABS(D347-$H347)&lt;=1E-9,1,0)</f>
        <v>0</v>
      </c>
      <c r="Q347" s="9">
        <f>IF(ABS(E347-$H347)&lt;=1E-9,1,0)</f>
        <v>0</v>
      </c>
      <c r="R347" s="9">
        <f>IF(ABS(F347-$H347)&lt;=1E-9,1,0)</f>
        <v>0</v>
      </c>
      <c r="S347" s="9">
        <f>IF(ABS(G347-$H347)&lt;=1E-9,1,0)</f>
        <v>1</v>
      </c>
      <c r="T347" s="6" t="s">
        <v>26</v>
      </c>
    </row>
    <row r="348" spans="1:20">
      <c r="A348" s="6" t="s">
        <v>405</v>
      </c>
      <c r="B348" s="3">
        <v>100</v>
      </c>
      <c r="C348" s="7">
        <v>581</v>
      </c>
      <c r="D348" s="7">
        <v>585</v>
      </c>
      <c r="E348" s="7">
        <v>608</v>
      </c>
      <c r="F348" s="7">
        <v>477</v>
      </c>
      <c r="G348" s="7">
        <v>417</v>
      </c>
      <c r="H348" s="7">
        <f>MIN(C348:G348)</f>
        <v>417.0</v>
      </c>
      <c r="I348" s="6" t="s">
        <v>26</v>
      </c>
      <c r="J348" s="8">
        <f>IF($H348=0,"",(C348-$H348)/$H348)</f>
        <v>0.3932853717026379</v>
      </c>
      <c r="K348" s="8">
        <f>IF($H348=0,"",(D348-$H348)/$H348)</f>
        <v>0.4028776978417266</v>
      </c>
      <c r="L348" s="8">
        <f>IF($H348=0,"",(E348-$H348)/$H348)</f>
        <v>0.4580335731414868</v>
      </c>
      <c r="M348" s="8">
        <f>IF($H348=0,"",(F348-$H348)/$H348)</f>
        <v>0.14388489208633093</v>
      </c>
      <c r="N348" s="8">
        <f>IF($H348=0,"",(G348-$H348)/$H348)</f>
        <v>0.0</v>
      </c>
      <c r="O348" s="9">
        <f>IF(ABS(C348-$H348)&lt;=1E-9,1,0)</f>
        <v>0</v>
      </c>
      <c r="P348" s="9">
        <f>IF(ABS(D348-$H348)&lt;=1E-9,1,0)</f>
        <v>0</v>
      </c>
      <c r="Q348" s="9">
        <f>IF(ABS(E348-$H348)&lt;=1E-9,1,0)</f>
        <v>0</v>
      </c>
      <c r="R348" s="9">
        <f>IF(ABS(F348-$H348)&lt;=1E-9,1,0)</f>
        <v>0</v>
      </c>
      <c r="S348" s="9">
        <f>IF(ABS(G348-$H348)&lt;=1E-9,1,0)</f>
        <v>1</v>
      </c>
      <c r="T348" s="6" t="s">
        <v>26</v>
      </c>
    </row>
    <row r="349" spans="1:20">
      <c r="A349" s="6" t="s">
        <v>406</v>
      </c>
      <c r="B349" s="3">
        <v>100</v>
      </c>
      <c r="C349" s="7">
        <v>563</v>
      </c>
      <c r="D349" s="7">
        <v>571</v>
      </c>
      <c r="E349" s="7">
        <v>575</v>
      </c>
      <c r="F349" s="7">
        <v>447</v>
      </c>
      <c r="G349" s="7">
        <v>401</v>
      </c>
      <c r="H349" s="7">
        <f>MIN(C349:G349)</f>
        <v>401.0</v>
      </c>
      <c r="I349" s="6" t="s">
        <v>26</v>
      </c>
      <c r="J349" s="8">
        <f>IF($H349=0,"",(C349-$H349)/$H349)</f>
        <v>0.40399002493765584</v>
      </c>
      <c r="K349" s="8">
        <f>IF($H349=0,"",(D349-$H349)/$H349)</f>
        <v>0.4239401496259352</v>
      </c>
      <c r="L349" s="8">
        <f>IF($H349=0,"",(E349-$H349)/$H349)</f>
        <v>0.4339152119700749</v>
      </c>
      <c r="M349" s="8">
        <f>IF($H349=0,"",(F349-$H349)/$H349)</f>
        <v>0.11471321695760599</v>
      </c>
      <c r="N349" s="8">
        <f>IF($H349=0,"",(G349-$H349)/$H349)</f>
        <v>0.0</v>
      </c>
      <c r="O349" s="9">
        <f>IF(ABS(C349-$H349)&lt;=1E-9,1,0)</f>
        <v>0</v>
      </c>
      <c r="P349" s="9">
        <f>IF(ABS(D349-$H349)&lt;=1E-9,1,0)</f>
        <v>0</v>
      </c>
      <c r="Q349" s="9">
        <f>IF(ABS(E349-$H349)&lt;=1E-9,1,0)</f>
        <v>0</v>
      </c>
      <c r="R349" s="9">
        <f>IF(ABS(F349-$H349)&lt;=1E-9,1,0)</f>
        <v>0</v>
      </c>
      <c r="S349" s="9">
        <f>IF(ABS(G349-$H349)&lt;=1E-9,1,0)</f>
        <v>1</v>
      </c>
      <c r="T349" s="6" t="s">
        <v>26</v>
      </c>
    </row>
    <row r="350" spans="1:20">
      <c r="A350" s="6" t="s">
        <v>407</v>
      </c>
      <c r="B350" s="3">
        <v>100</v>
      </c>
      <c r="C350" s="7">
        <v>29</v>
      </c>
      <c r="D350" s="7">
        <v>29</v>
      </c>
      <c r="E350" s="7">
        <v>30</v>
      </c>
      <c r="F350" s="7">
        <v>31</v>
      </c>
      <c r="G350" s="7">
        <v>28</v>
      </c>
      <c r="H350" s="7">
        <f>MIN(C350:G350)</f>
        <v>28.0</v>
      </c>
      <c r="I350" s="6" t="s">
        <v>26</v>
      </c>
      <c r="J350" s="8">
        <f>IF($H350=0,"",(C350-$H350)/$H350)</f>
        <v>0.03571428571428571</v>
      </c>
      <c r="K350" s="8">
        <f>IF($H350=0,"",(D350-$H350)/$H350)</f>
        <v>0.03571428571428571</v>
      </c>
      <c r="L350" s="8">
        <f>IF($H350=0,"",(E350-$H350)/$H350)</f>
        <v>0.07142857142857142</v>
      </c>
      <c r="M350" s="8">
        <f>IF($H350=0,"",(F350-$H350)/$H350)</f>
        <v>0.10714285714285714</v>
      </c>
      <c r="N350" s="8">
        <f>IF($H350=0,"",(G350-$H350)/$H350)</f>
        <v>0.0</v>
      </c>
      <c r="O350" s="9">
        <f>IF(ABS(C350-$H350)&lt;=1E-9,1,0)</f>
        <v>0</v>
      </c>
      <c r="P350" s="9">
        <f>IF(ABS(D350-$H350)&lt;=1E-9,1,0)</f>
        <v>0</v>
      </c>
      <c r="Q350" s="9">
        <f>IF(ABS(E350-$H350)&lt;=1E-9,1,0)</f>
        <v>0</v>
      </c>
      <c r="R350" s="9">
        <f>IF(ABS(F350-$H350)&lt;=1E-9,1,0)</f>
        <v>0</v>
      </c>
      <c r="S350" s="9">
        <f>IF(ABS(G350-$H350)&lt;=1E-9,1,0)</f>
        <v>1</v>
      </c>
      <c r="T350" s="6" t="s">
        <v>26</v>
      </c>
    </row>
    <row r="351" spans="1:20">
      <c r="A351" s="6" t="s">
        <v>408</v>
      </c>
      <c r="B351" s="3">
        <v>100</v>
      </c>
      <c r="C351" s="7">
        <v>31</v>
      </c>
      <c r="D351" s="7">
        <v>31</v>
      </c>
      <c r="E351" s="7">
        <v>32</v>
      </c>
      <c r="F351" s="7">
        <v>31</v>
      </c>
      <c r="G351" s="7">
        <v>30</v>
      </c>
      <c r="H351" s="7">
        <f>MIN(C351:G351)</f>
        <v>30.0</v>
      </c>
      <c r="I351" s="6" t="s">
        <v>26</v>
      </c>
      <c r="J351" s="8">
        <f>IF($H351=0,"",(C351-$H351)/$H351)</f>
        <v>0.03333333333333333</v>
      </c>
      <c r="K351" s="8">
        <f>IF($H351=0,"",(D351-$H351)/$H351)</f>
        <v>0.03333333333333333</v>
      </c>
      <c r="L351" s="8">
        <f>IF($H351=0,"",(E351-$H351)/$H351)</f>
        <v>0.06666666666666667</v>
      </c>
      <c r="M351" s="8">
        <f>IF($H351=0,"",(F351-$H351)/$H351)</f>
        <v>0.03333333333333333</v>
      </c>
      <c r="N351" s="8">
        <f>IF($H351=0,"",(G351-$H351)/$H351)</f>
        <v>0.0</v>
      </c>
      <c r="O351" s="9">
        <f>IF(ABS(C351-$H351)&lt;=1E-9,1,0)</f>
        <v>0</v>
      </c>
      <c r="P351" s="9">
        <f>IF(ABS(D351-$H351)&lt;=1E-9,1,0)</f>
        <v>0</v>
      </c>
      <c r="Q351" s="9">
        <f>IF(ABS(E351-$H351)&lt;=1E-9,1,0)</f>
        <v>0</v>
      </c>
      <c r="R351" s="9">
        <f>IF(ABS(F351-$H351)&lt;=1E-9,1,0)</f>
        <v>0</v>
      </c>
      <c r="S351" s="9">
        <f>IF(ABS(G351-$H351)&lt;=1E-9,1,0)</f>
        <v>1</v>
      </c>
      <c r="T351" s="6" t="s">
        <v>26</v>
      </c>
    </row>
    <row r="352" spans="1:20">
      <c r="A352" s="6" t="s">
        <v>409</v>
      </c>
      <c r="B352" s="3">
        <v>100</v>
      </c>
      <c r="C352" s="7">
        <v>538</v>
      </c>
      <c r="D352" s="7">
        <v>561</v>
      </c>
      <c r="E352" s="7">
        <v>554</v>
      </c>
      <c r="F352" s="7">
        <v>466</v>
      </c>
      <c r="G352" s="7">
        <v>388</v>
      </c>
      <c r="H352" s="7">
        <f>MIN(C352:G352)</f>
        <v>388.0</v>
      </c>
      <c r="I352" s="6" t="s">
        <v>26</v>
      </c>
      <c r="J352" s="8">
        <f>IF($H352=0,"",(C352-$H352)/$H352)</f>
        <v>0.38659793814432997</v>
      </c>
      <c r="K352" s="8">
        <f>IF($H352=0,"",(D352-$H352)/$H352)</f>
        <v>0.44587628865979384</v>
      </c>
      <c r="L352" s="8">
        <f>IF($H352=0,"",(E352-$H352)/$H352)</f>
        <v>0.42783505154639173</v>
      </c>
      <c r="M352" s="8">
        <f>IF($H352=0,"",(F352-$H352)/$H352)</f>
        <v>0.20103092783505155</v>
      </c>
      <c r="N352" s="8">
        <f>IF($H352=0,"",(G352-$H352)/$H352)</f>
        <v>0.0</v>
      </c>
      <c r="O352" s="9">
        <f>IF(ABS(C352-$H352)&lt;=1E-9,1,0)</f>
        <v>0</v>
      </c>
      <c r="P352" s="9">
        <f>IF(ABS(D352-$H352)&lt;=1E-9,1,0)</f>
        <v>0</v>
      </c>
      <c r="Q352" s="9">
        <f>IF(ABS(E352-$H352)&lt;=1E-9,1,0)</f>
        <v>0</v>
      </c>
      <c r="R352" s="9">
        <f>IF(ABS(F352-$H352)&lt;=1E-9,1,0)</f>
        <v>0</v>
      </c>
      <c r="S352" s="9">
        <f>IF(ABS(G352-$H352)&lt;=1E-9,1,0)</f>
        <v>1</v>
      </c>
      <c r="T352" s="6" t="s">
        <v>26</v>
      </c>
    </row>
    <row r="353" spans="1:20">
      <c r="A353" s="6" t="s">
        <v>410</v>
      </c>
      <c r="B353" s="3">
        <v>100</v>
      </c>
      <c r="C353" s="7">
        <v>476</v>
      </c>
      <c r="D353" s="7">
        <v>487</v>
      </c>
      <c r="E353" s="7">
        <v>474</v>
      </c>
      <c r="F353" s="7">
        <v>401</v>
      </c>
      <c r="G353" s="7">
        <v>348</v>
      </c>
      <c r="H353" s="7">
        <f>MIN(C353:G353)</f>
        <v>348.0</v>
      </c>
      <c r="I353" s="6" t="s">
        <v>26</v>
      </c>
      <c r="J353" s="8">
        <f>IF($H353=0,"",(C353-$H353)/$H353)</f>
        <v>0.367816091954023</v>
      </c>
      <c r="K353" s="8">
        <f>IF($H353=0,"",(D353-$H353)/$H353)</f>
        <v>0.3994252873563218</v>
      </c>
      <c r="L353" s="8">
        <f>IF($H353=0,"",(E353-$H353)/$H353)</f>
        <v>0.3620689655172413</v>
      </c>
      <c r="M353" s="8">
        <f>IF($H353=0,"",(F353-$H353)/$H353)</f>
        <v>0.15229885057471265</v>
      </c>
      <c r="N353" s="8">
        <f>IF($H353=0,"",(G353-$H353)/$H353)</f>
        <v>0.0</v>
      </c>
      <c r="O353" s="9">
        <f>IF(ABS(C353-$H353)&lt;=1E-9,1,0)</f>
        <v>0</v>
      </c>
      <c r="P353" s="9">
        <f>IF(ABS(D353-$H353)&lt;=1E-9,1,0)</f>
        <v>0</v>
      </c>
      <c r="Q353" s="9">
        <f>IF(ABS(E353-$H353)&lt;=1E-9,1,0)</f>
        <v>0</v>
      </c>
      <c r="R353" s="9">
        <f>IF(ABS(F353-$H353)&lt;=1E-9,1,0)</f>
        <v>0</v>
      </c>
      <c r="S353" s="9">
        <f>IF(ABS(G353-$H353)&lt;=1E-9,1,0)</f>
        <v>1</v>
      </c>
      <c r="T353" s="6" t="s">
        <v>26</v>
      </c>
    </row>
    <row r="354" spans="1:20">
      <c r="A354" s="6" t="s">
        <v>411</v>
      </c>
      <c r="B354" s="3">
        <v>200</v>
      </c>
      <c r="C354" s="7">
        <v>45</v>
      </c>
      <c r="D354" s="7">
        <v>44</v>
      </c>
      <c r="E354" s="7">
        <v>46</v>
      </c>
      <c r="F354" s="7">
        <v>49</v>
      </c>
      <c r="G354" s="7">
        <v>38</v>
      </c>
      <c r="H354" s="7">
        <f>MIN(C354:G354)</f>
        <v>38.0</v>
      </c>
      <c r="I354" s="6" t="s">
        <v>26</v>
      </c>
      <c r="J354" s="8">
        <f>IF($H354=0,"",(C354-$H354)/$H354)</f>
        <v>0.18421052631578946</v>
      </c>
      <c r="K354" s="8">
        <f>IF($H354=0,"",(D354-$H354)/$H354)</f>
        <v>0.15789473684210525</v>
      </c>
      <c r="L354" s="8">
        <f>IF($H354=0,"",(E354-$H354)/$H354)</f>
        <v>0.21052631578947367</v>
      </c>
      <c r="M354" s="8">
        <f>IF($H354=0,"",(F354-$H354)/$H354)</f>
        <v>0.2894736842105263</v>
      </c>
      <c r="N354" s="8">
        <f>IF($H354=0,"",(G354-$H354)/$H354)</f>
        <v>0.0</v>
      </c>
      <c r="O354" s="9">
        <f>IF(ABS(C354-$H354)&lt;=1E-9,1,0)</f>
        <v>0</v>
      </c>
      <c r="P354" s="9">
        <f>IF(ABS(D354-$H354)&lt;=1E-9,1,0)</f>
        <v>0</v>
      </c>
      <c r="Q354" s="9">
        <f>IF(ABS(E354-$H354)&lt;=1E-9,1,0)</f>
        <v>0</v>
      </c>
      <c r="R354" s="9">
        <f>IF(ABS(F354-$H354)&lt;=1E-9,1,0)</f>
        <v>0</v>
      </c>
      <c r="S354" s="9">
        <f>IF(ABS(G354-$H354)&lt;=1E-9,1,0)</f>
        <v>1</v>
      </c>
      <c r="T354" s="6" t="s">
        <v>26</v>
      </c>
    </row>
    <row r="355" spans="1:20">
      <c r="A355" s="6" t="s">
        <v>412</v>
      </c>
      <c r="B355" s="3">
        <v>200</v>
      </c>
      <c r="C355" s="7">
        <v>45</v>
      </c>
      <c r="D355" s="7">
        <v>47</v>
      </c>
      <c r="E355" s="7">
        <v>47</v>
      </c>
      <c r="F355" s="7">
        <v>50</v>
      </c>
      <c r="G355" s="7">
        <v>41</v>
      </c>
      <c r="H355" s="7">
        <f>MIN(C355:G355)</f>
        <v>41.0</v>
      </c>
      <c r="I355" s="6" t="s">
        <v>26</v>
      </c>
      <c r="J355" s="8">
        <f>IF($H355=0,"",(C355-$H355)/$H355)</f>
        <v>0.0975609756097561</v>
      </c>
      <c r="K355" s="8">
        <f>IF($H355=0,"",(D355-$H355)/$H355)</f>
        <v>0.14634146341463414</v>
      </c>
      <c r="L355" s="8">
        <f>IF($H355=0,"",(E355-$H355)/$H355)</f>
        <v>0.14634146341463414</v>
      </c>
      <c r="M355" s="8">
        <f>IF($H355=0,"",(F355-$H355)/$H355)</f>
        <v>0.21951219512195125</v>
      </c>
      <c r="N355" s="8">
        <f>IF($H355=0,"",(G355-$H355)/$H355)</f>
        <v>0.0</v>
      </c>
      <c r="O355" s="9">
        <f>IF(ABS(C355-$H355)&lt;=1E-9,1,0)</f>
        <v>0</v>
      </c>
      <c r="P355" s="9">
        <f>IF(ABS(D355-$H355)&lt;=1E-9,1,0)</f>
        <v>0</v>
      </c>
      <c r="Q355" s="9">
        <f>IF(ABS(E355-$H355)&lt;=1E-9,1,0)</f>
        <v>0</v>
      </c>
      <c r="R355" s="9">
        <f>IF(ABS(F355-$H355)&lt;=1E-9,1,0)</f>
        <v>0</v>
      </c>
      <c r="S355" s="9">
        <f>IF(ABS(G355-$H355)&lt;=1E-9,1,0)</f>
        <v>1</v>
      </c>
      <c r="T355" s="6" t="s">
        <v>26</v>
      </c>
    </row>
    <row r="356" spans="1:20">
      <c r="A356" s="6" t="s">
        <v>413</v>
      </c>
      <c r="B356" s="3">
        <v>200</v>
      </c>
      <c r="C356" s="7">
        <v>804</v>
      </c>
      <c r="D356" s="7">
        <v>818</v>
      </c>
      <c r="E356" s="7">
        <v>859</v>
      </c>
      <c r="F356" s="7">
        <v>692</v>
      </c>
      <c r="G356" s="7">
        <v>543</v>
      </c>
      <c r="H356" s="7">
        <f>MIN(C356:G356)</f>
        <v>543.0</v>
      </c>
      <c r="I356" s="6" t="s">
        <v>26</v>
      </c>
      <c r="J356" s="8">
        <f>IF($H356=0,"",(C356-$H356)/$H356)</f>
        <v>0.48066298342541436</v>
      </c>
      <c r="K356" s="8">
        <f>IF($H356=0,"",(D356-$H356)/$H356)</f>
        <v>0.5064456721915286</v>
      </c>
      <c r="L356" s="8">
        <f>IF($H356=0,"",(E356-$H356)/$H356)</f>
        <v>0.58195211786372</v>
      </c>
      <c r="M356" s="8">
        <f>IF($H356=0,"",(F356-$H356)/$H356)</f>
        <v>0.27440147329650094</v>
      </c>
      <c r="N356" s="8">
        <f>IF($H356=0,"",(G356-$H356)/$H356)</f>
        <v>0.0</v>
      </c>
      <c r="O356" s="9">
        <f>IF(ABS(C356-$H356)&lt;=1E-9,1,0)</f>
        <v>0</v>
      </c>
      <c r="P356" s="9">
        <f>IF(ABS(D356-$H356)&lt;=1E-9,1,0)</f>
        <v>0</v>
      </c>
      <c r="Q356" s="9">
        <f>IF(ABS(E356-$H356)&lt;=1E-9,1,0)</f>
        <v>0</v>
      </c>
      <c r="R356" s="9">
        <f>IF(ABS(F356-$H356)&lt;=1E-9,1,0)</f>
        <v>0</v>
      </c>
      <c r="S356" s="9">
        <f>IF(ABS(G356-$H356)&lt;=1E-9,1,0)</f>
        <v>1</v>
      </c>
      <c r="T356" s="6" t="s">
        <v>26</v>
      </c>
    </row>
    <row r="357" spans="1:20">
      <c r="A357" s="6" t="s">
        <v>414</v>
      </c>
      <c r="B357" s="3">
        <v>200</v>
      </c>
      <c r="C357" s="7">
        <v>746</v>
      </c>
      <c r="D357" s="7">
        <v>784</v>
      </c>
      <c r="E357" s="7">
        <v>771</v>
      </c>
      <c r="F357" s="7">
        <v>657</v>
      </c>
      <c r="G357" s="7">
        <v>510</v>
      </c>
      <c r="H357" s="7">
        <f>MIN(C357:G357)</f>
        <v>510.0</v>
      </c>
      <c r="I357" s="6" t="s">
        <v>26</v>
      </c>
      <c r="J357" s="8">
        <f>IF($H357=0,"",(C357-$H357)/$H357)</f>
        <v>0.46274509803921565</v>
      </c>
      <c r="K357" s="8">
        <f>IF($H357=0,"",(D357-$H357)/$H357)</f>
        <v>0.5372549019607843</v>
      </c>
      <c r="L357" s="8">
        <f>IF($H357=0,"",(E357-$H357)/$H357)</f>
        <v>0.5117647058823529</v>
      </c>
      <c r="M357" s="8">
        <f>IF($H357=0,"",(F357-$H357)/$H357)</f>
        <v>0.28823529411764703</v>
      </c>
      <c r="N357" s="8">
        <f>IF($H357=0,"",(G357-$H357)/$H357)</f>
        <v>0.0</v>
      </c>
      <c r="O357" s="9">
        <f>IF(ABS(C357-$H357)&lt;=1E-9,1,0)</f>
        <v>0</v>
      </c>
      <c r="P357" s="9">
        <f>IF(ABS(D357-$H357)&lt;=1E-9,1,0)</f>
        <v>0</v>
      </c>
      <c r="Q357" s="9">
        <f>IF(ABS(E357-$H357)&lt;=1E-9,1,0)</f>
        <v>0</v>
      </c>
      <c r="R357" s="9">
        <f>IF(ABS(F357-$H357)&lt;=1E-9,1,0)</f>
        <v>0</v>
      </c>
      <c r="S357" s="9">
        <f>IF(ABS(G357-$H357)&lt;=1E-9,1,0)</f>
        <v>1</v>
      </c>
      <c r="T357" s="6" t="s">
        <v>26</v>
      </c>
    </row>
    <row r="358" spans="1:20">
      <c r="A358" s="6" t="s">
        <v>415</v>
      </c>
      <c r="B358" s="3">
        <v>200</v>
      </c>
      <c r="C358" s="7">
        <v>35</v>
      </c>
      <c r="D358" s="7">
        <v>34</v>
      </c>
      <c r="E358" s="7">
        <v>37</v>
      </c>
      <c r="F358" s="7">
        <v>50</v>
      </c>
      <c r="G358" s="7">
        <v>33</v>
      </c>
      <c r="H358" s="7">
        <f>MIN(C358:G358)</f>
        <v>33.0</v>
      </c>
      <c r="I358" s="6" t="s">
        <v>26</v>
      </c>
      <c r="J358" s="8">
        <f>IF($H358=0,"",(C358-$H358)/$H358)</f>
        <v>0.06060606060606061</v>
      </c>
      <c r="K358" s="8">
        <f>IF($H358=0,"",(D358-$H358)/$H358)</f>
        <v>0.030303030303030304</v>
      </c>
      <c r="L358" s="8">
        <f>IF($H358=0,"",(E358-$H358)/$H358)</f>
        <v>0.12121212121212122</v>
      </c>
      <c r="M358" s="8">
        <f>IF($H358=0,"",(F358-$H358)/$H358)</f>
        <v>0.5151515151515151</v>
      </c>
      <c r="N358" s="8">
        <f>IF($H358=0,"",(G358-$H358)/$H358)</f>
        <v>0.0</v>
      </c>
      <c r="O358" s="9">
        <f>IF(ABS(C358-$H358)&lt;=1E-9,1,0)</f>
        <v>0</v>
      </c>
      <c r="P358" s="9">
        <f>IF(ABS(D358-$H358)&lt;=1E-9,1,0)</f>
        <v>0</v>
      </c>
      <c r="Q358" s="9">
        <f>IF(ABS(E358-$H358)&lt;=1E-9,1,0)</f>
        <v>0</v>
      </c>
      <c r="R358" s="9">
        <f>IF(ABS(F358-$H358)&lt;=1E-9,1,0)</f>
        <v>0</v>
      </c>
      <c r="S358" s="9">
        <f>IF(ABS(G358-$H358)&lt;=1E-9,1,0)</f>
        <v>1</v>
      </c>
      <c r="T358" s="6" t="s">
        <v>26</v>
      </c>
    </row>
    <row r="359" spans="1:20">
      <c r="A359" s="6" t="s">
        <v>416</v>
      </c>
      <c r="B359" s="3">
        <v>200</v>
      </c>
      <c r="C359" s="7">
        <v>35</v>
      </c>
      <c r="D359" s="7">
        <v>34</v>
      </c>
      <c r="E359" s="7">
        <v>37</v>
      </c>
      <c r="F359" s="7">
        <v>48</v>
      </c>
      <c r="G359" s="7">
        <v>33</v>
      </c>
      <c r="H359" s="7">
        <f>MIN(C359:G359)</f>
        <v>33.0</v>
      </c>
      <c r="I359" s="6" t="s">
        <v>26</v>
      </c>
      <c r="J359" s="8">
        <f>IF($H359=0,"",(C359-$H359)/$H359)</f>
        <v>0.06060606060606061</v>
      </c>
      <c r="K359" s="8">
        <f>IF($H359=0,"",(D359-$H359)/$H359)</f>
        <v>0.030303030303030304</v>
      </c>
      <c r="L359" s="8">
        <f>IF($H359=0,"",(E359-$H359)/$H359)</f>
        <v>0.12121212121212122</v>
      </c>
      <c r="M359" s="8">
        <f>IF($H359=0,"",(F359-$H359)/$H359)</f>
        <v>0.45454545454545453</v>
      </c>
      <c r="N359" s="8">
        <f>IF($H359=0,"",(G359-$H359)/$H359)</f>
        <v>0.0</v>
      </c>
      <c r="O359" s="9">
        <f>IF(ABS(C359-$H359)&lt;=1E-9,1,0)</f>
        <v>0</v>
      </c>
      <c r="P359" s="9">
        <f>IF(ABS(D359-$H359)&lt;=1E-9,1,0)</f>
        <v>0</v>
      </c>
      <c r="Q359" s="9">
        <f>IF(ABS(E359-$H359)&lt;=1E-9,1,0)</f>
        <v>0</v>
      </c>
      <c r="R359" s="9">
        <f>IF(ABS(F359-$H359)&lt;=1E-9,1,0)</f>
        <v>0</v>
      </c>
      <c r="S359" s="9">
        <f>IF(ABS(G359-$H359)&lt;=1E-9,1,0)</f>
        <v>1</v>
      </c>
      <c r="T359" s="6" t="s">
        <v>26</v>
      </c>
    </row>
    <row r="360" spans="1:20">
      <c r="A360" s="6" t="s">
        <v>417</v>
      </c>
      <c r="B360" s="3">
        <v>200</v>
      </c>
      <c r="C360" s="7">
        <v>745</v>
      </c>
      <c r="D360" s="7">
        <v>743</v>
      </c>
      <c r="E360" s="7">
        <v>780</v>
      </c>
      <c r="F360" s="7">
        <v>698</v>
      </c>
      <c r="G360" s="7">
        <v>534</v>
      </c>
      <c r="H360" s="7">
        <f>MIN(C360:G360)</f>
        <v>534.0</v>
      </c>
      <c r="I360" s="6" t="s">
        <v>26</v>
      </c>
      <c r="J360" s="8">
        <f>IF($H360=0,"",(C360-$H360)/$H360)</f>
        <v>0.39513108614232206</v>
      </c>
      <c r="K360" s="8">
        <f>IF($H360=0,"",(D360-$H360)/$H360)</f>
        <v>0.3913857677902622</v>
      </c>
      <c r="L360" s="8">
        <f>IF($H360=0,"",(E360-$H360)/$H360)</f>
        <v>0.4606741573033708</v>
      </c>
      <c r="M360" s="8">
        <f>IF($H360=0,"",(F360-$H360)/$H360)</f>
        <v>0.30711610486891383</v>
      </c>
      <c r="N360" s="8">
        <f>IF($H360=0,"",(G360-$H360)/$H360)</f>
        <v>0.0</v>
      </c>
      <c r="O360" s="9">
        <f>IF(ABS(C360-$H360)&lt;=1E-9,1,0)</f>
        <v>0</v>
      </c>
      <c r="P360" s="9">
        <f>IF(ABS(D360-$H360)&lt;=1E-9,1,0)</f>
        <v>0</v>
      </c>
      <c r="Q360" s="9">
        <f>IF(ABS(E360-$H360)&lt;=1E-9,1,0)</f>
        <v>0</v>
      </c>
      <c r="R360" s="9">
        <f>IF(ABS(F360-$H360)&lt;=1E-9,1,0)</f>
        <v>0</v>
      </c>
      <c r="S360" s="9">
        <f>IF(ABS(G360-$H360)&lt;=1E-9,1,0)</f>
        <v>1</v>
      </c>
      <c r="T360" s="6" t="s">
        <v>26</v>
      </c>
    </row>
    <row r="361" spans="1:20">
      <c r="A361" s="6" t="s">
        <v>418</v>
      </c>
      <c r="B361" s="3">
        <v>200</v>
      </c>
      <c r="C361" s="7">
        <v>678</v>
      </c>
      <c r="D361" s="7">
        <v>685</v>
      </c>
      <c r="E361" s="7">
        <v>737</v>
      </c>
      <c r="F361" s="7">
        <v>639</v>
      </c>
      <c r="G361" s="7">
        <v>489</v>
      </c>
      <c r="H361" s="7">
        <f>MIN(C361:G361)</f>
        <v>489.0</v>
      </c>
      <c r="I361" s="6" t="s">
        <v>26</v>
      </c>
      <c r="J361" s="8">
        <f>IF($H361=0,"",(C361-$H361)/$H361)</f>
        <v>0.38650306748466257</v>
      </c>
      <c r="K361" s="8">
        <f>IF($H361=0,"",(D361-$H361)/$H361)</f>
        <v>0.40081799591002043</v>
      </c>
      <c r="L361" s="8">
        <f>IF($H361=0,"",(E361-$H361)/$H361)</f>
        <v>0.5071574642126789</v>
      </c>
      <c r="M361" s="8">
        <f>IF($H361=0,"",(F361-$H361)/$H361)</f>
        <v>0.3067484662576687</v>
      </c>
      <c r="N361" s="8">
        <f>IF($H361=0,"",(G361-$H361)/$H361)</f>
        <v>0.0</v>
      </c>
      <c r="O361" s="9">
        <f>IF(ABS(C361-$H361)&lt;=1E-9,1,0)</f>
        <v>0</v>
      </c>
      <c r="P361" s="9">
        <f>IF(ABS(D361-$H361)&lt;=1E-9,1,0)</f>
        <v>0</v>
      </c>
      <c r="Q361" s="9">
        <f>IF(ABS(E361-$H361)&lt;=1E-9,1,0)</f>
        <v>0</v>
      </c>
      <c r="R361" s="9">
        <f>IF(ABS(F361-$H361)&lt;=1E-9,1,0)</f>
        <v>0</v>
      </c>
      <c r="S361" s="9">
        <f>IF(ABS(G361-$H361)&lt;=1E-9,1,0)</f>
        <v>1</v>
      </c>
      <c r="T361" s="6" t="s">
        <v>26</v>
      </c>
    </row>
    <row r="362" spans="1:20">
      <c r="A362" s="6" t="s">
        <v>419</v>
      </c>
      <c r="B362" s="3">
        <v>200</v>
      </c>
      <c r="C362" s="7">
        <v>72</v>
      </c>
      <c r="D362" s="7">
        <v>73</v>
      </c>
      <c r="E362" s="7">
        <v>74</v>
      </c>
      <c r="F362" s="7">
        <v>64</v>
      </c>
      <c r="G362" s="7">
        <v>64</v>
      </c>
      <c r="H362" s="7">
        <f>MIN(C362:G362)</f>
        <v>64.0</v>
      </c>
      <c r="I362" s="6" t="s">
        <v>50</v>
      </c>
      <c r="J362" s="8">
        <f>IF($H362=0,"",(C362-$H362)/$H362)</f>
        <v>0.125</v>
      </c>
      <c r="K362" s="8">
        <f>IF($H362=0,"",(D362-$H362)/$H362)</f>
        <v>0.140625</v>
      </c>
      <c r="L362" s="8">
        <f>IF($H362=0,"",(E362-$H362)/$H362)</f>
        <v>0.15625</v>
      </c>
      <c r="M362" s="8">
        <f>IF($H362=0,"",(F362-$H362)/$H362)</f>
        <v>0.0</v>
      </c>
      <c r="N362" s="8">
        <f>IF($H362=0,"",(G362-$H362)/$H362)</f>
        <v>0.0</v>
      </c>
      <c r="O362" s="9">
        <f>IF(ABS(C362-$H362)&lt;=1E-9,1,0)</f>
        <v>0</v>
      </c>
      <c r="P362" s="9">
        <f>IF(ABS(D362-$H362)&lt;=1E-9,1,0)</f>
        <v>0</v>
      </c>
      <c r="Q362" s="9">
        <f>IF(ABS(E362-$H362)&lt;=1E-9,1,0)</f>
        <v>0</v>
      </c>
      <c r="R362" s="9">
        <f>IF(ABS(F362-$H362)&lt;=1E-9,1,0)</f>
        <v>1</v>
      </c>
      <c r="S362" s="9">
        <f>IF(ABS(G362-$H362)&lt;=1E-9,1,0)</f>
        <v>1</v>
      </c>
      <c r="T362" s="6" t="s">
        <v>51</v>
      </c>
    </row>
    <row r="363" spans="1:20">
      <c r="A363" s="6" t="s">
        <v>420</v>
      </c>
      <c r="B363" s="3">
        <v>200</v>
      </c>
      <c r="C363" s="7">
        <v>72</v>
      </c>
      <c r="D363" s="7">
        <v>72</v>
      </c>
      <c r="E363" s="7">
        <v>72</v>
      </c>
      <c r="F363" s="7">
        <v>65</v>
      </c>
      <c r="G363" s="7">
        <v>64</v>
      </c>
      <c r="H363" s="7">
        <f>MIN(C363:G363)</f>
        <v>64.0</v>
      </c>
      <c r="I363" s="6" t="s">
        <v>26</v>
      </c>
      <c r="J363" s="8">
        <f>IF($H363=0,"",(C363-$H363)/$H363)</f>
        <v>0.125</v>
      </c>
      <c r="K363" s="8">
        <f>IF($H363=0,"",(D363-$H363)/$H363)</f>
        <v>0.125</v>
      </c>
      <c r="L363" s="8">
        <f>IF($H363=0,"",(E363-$H363)/$H363)</f>
        <v>0.125</v>
      </c>
      <c r="M363" s="8">
        <f>IF($H363=0,"",(F363-$H363)/$H363)</f>
        <v>0.015625</v>
      </c>
      <c r="N363" s="8">
        <f>IF($H363=0,"",(G363-$H363)/$H363)</f>
        <v>0.0</v>
      </c>
      <c r="O363" s="9">
        <f>IF(ABS(C363-$H363)&lt;=1E-9,1,0)</f>
        <v>0</v>
      </c>
      <c r="P363" s="9">
        <f>IF(ABS(D363-$H363)&lt;=1E-9,1,0)</f>
        <v>0</v>
      </c>
      <c r="Q363" s="9">
        <f>IF(ABS(E363-$H363)&lt;=1E-9,1,0)</f>
        <v>0</v>
      </c>
      <c r="R363" s="9">
        <f>IF(ABS(F363-$H363)&lt;=1E-9,1,0)</f>
        <v>0</v>
      </c>
      <c r="S363" s="9">
        <f>IF(ABS(G363-$H363)&lt;=1E-9,1,0)</f>
        <v>1</v>
      </c>
      <c r="T363" s="6" t="s">
        <v>26</v>
      </c>
    </row>
    <row r="364" spans="1:20">
      <c r="A364" s="6" t="s">
        <v>421</v>
      </c>
      <c r="B364" s="3">
        <v>200</v>
      </c>
      <c r="C364" s="7">
        <v>1115</v>
      </c>
      <c r="D364" s="7">
        <v>1132</v>
      </c>
      <c r="E364" s="7">
        <v>1125</v>
      </c>
      <c r="F364" s="7">
        <v>874</v>
      </c>
      <c r="G364" s="7">
        <v>782</v>
      </c>
      <c r="H364" s="7">
        <f>MIN(C364:G364)</f>
        <v>782.0</v>
      </c>
      <c r="I364" s="6" t="s">
        <v>26</v>
      </c>
      <c r="J364" s="8">
        <f>IF($H364=0,"",(C364-$H364)/$H364)</f>
        <v>0.4258312020460358</v>
      </c>
      <c r="K364" s="8">
        <f>IF($H364=0,"",(D364-$H364)/$H364)</f>
        <v>0.4475703324808184</v>
      </c>
      <c r="L364" s="8">
        <f>IF($H364=0,"",(E364-$H364)/$H364)</f>
        <v>0.43861892583120204</v>
      </c>
      <c r="M364" s="8">
        <f>IF($H364=0,"",(F364-$H364)/$H364)</f>
        <v>0.1176470588235294</v>
      </c>
      <c r="N364" s="8">
        <f>IF($H364=0,"",(G364-$H364)/$H364)</f>
        <v>0.0</v>
      </c>
      <c r="O364" s="9">
        <f>IF(ABS(C364-$H364)&lt;=1E-9,1,0)</f>
        <v>0</v>
      </c>
      <c r="P364" s="9">
        <f>IF(ABS(D364-$H364)&lt;=1E-9,1,0)</f>
        <v>0</v>
      </c>
      <c r="Q364" s="9">
        <f>IF(ABS(E364-$H364)&lt;=1E-9,1,0)</f>
        <v>0</v>
      </c>
      <c r="R364" s="9">
        <f>IF(ABS(F364-$H364)&lt;=1E-9,1,0)</f>
        <v>0</v>
      </c>
      <c r="S364" s="9">
        <f>IF(ABS(G364-$H364)&lt;=1E-9,1,0)</f>
        <v>1</v>
      </c>
      <c r="T364" s="6" t="s">
        <v>26</v>
      </c>
    </row>
    <row r="365" spans="1:20">
      <c r="A365" s="6" t="s">
        <v>422</v>
      </c>
      <c r="B365" s="3">
        <v>200</v>
      </c>
      <c r="C365" s="7">
        <v>1200</v>
      </c>
      <c r="D365" s="7">
        <v>1200</v>
      </c>
      <c r="E365" s="7">
        <v>1204</v>
      </c>
      <c r="F365" s="7">
        <v>897</v>
      </c>
      <c r="G365" s="7">
        <v>806</v>
      </c>
      <c r="H365" s="7">
        <f>MIN(C365:G365)</f>
        <v>806.0</v>
      </c>
      <c r="I365" s="6" t="s">
        <v>26</v>
      </c>
      <c r="J365" s="8">
        <f>IF($H365=0,"",(C365-$H365)/$H365)</f>
        <v>0.48883374689826303</v>
      </c>
      <c r="K365" s="8">
        <f>IF($H365=0,"",(D365-$H365)/$H365)</f>
        <v>0.48883374689826303</v>
      </c>
      <c r="L365" s="8">
        <f>IF($H365=0,"",(E365-$H365)/$H365)</f>
        <v>0.49379652605459057</v>
      </c>
      <c r="M365" s="8">
        <f>IF($H365=0,"",(F365-$H365)/$H365)</f>
        <v>0.1129032258064516</v>
      </c>
      <c r="N365" s="8">
        <f>IF($H365=0,"",(G365-$H365)/$H365)</f>
        <v>0.0</v>
      </c>
      <c r="O365" s="9">
        <f>IF(ABS(C365-$H365)&lt;=1E-9,1,0)</f>
        <v>0</v>
      </c>
      <c r="P365" s="9">
        <f>IF(ABS(D365-$H365)&lt;=1E-9,1,0)</f>
        <v>0</v>
      </c>
      <c r="Q365" s="9">
        <f>IF(ABS(E365-$H365)&lt;=1E-9,1,0)</f>
        <v>0</v>
      </c>
      <c r="R365" s="9">
        <f>IF(ABS(F365-$H365)&lt;=1E-9,1,0)</f>
        <v>0</v>
      </c>
      <c r="S365" s="9">
        <f>IF(ABS(G365-$H365)&lt;=1E-9,1,0)</f>
        <v>1</v>
      </c>
      <c r="T365" s="6" t="s">
        <v>26</v>
      </c>
    </row>
    <row r="366" spans="1:20">
      <c r="A366" s="6" t="s">
        <v>423</v>
      </c>
      <c r="B366" s="3">
        <v>200</v>
      </c>
      <c r="C366" s="7">
        <v>59</v>
      </c>
      <c r="D366" s="7">
        <v>59</v>
      </c>
      <c r="E366" s="7">
        <v>60</v>
      </c>
      <c r="F366" s="7">
        <v>62</v>
      </c>
      <c r="G366" s="7">
        <v>56</v>
      </c>
      <c r="H366" s="7">
        <f>MIN(C366:G366)</f>
        <v>56.0</v>
      </c>
      <c r="I366" s="6" t="s">
        <v>26</v>
      </c>
      <c r="J366" s="8">
        <f>IF($H366=0,"",(C366-$H366)/$H366)</f>
        <v>0.05357142857142857</v>
      </c>
      <c r="K366" s="8">
        <f>IF($H366=0,"",(D366-$H366)/$H366)</f>
        <v>0.05357142857142857</v>
      </c>
      <c r="L366" s="8">
        <f>IF($H366=0,"",(E366-$H366)/$H366)</f>
        <v>0.07142857142857142</v>
      </c>
      <c r="M366" s="8">
        <f>IF($H366=0,"",(F366-$H366)/$H366)</f>
        <v>0.10714285714285714</v>
      </c>
      <c r="N366" s="8">
        <f>IF($H366=0,"",(G366-$H366)/$H366)</f>
        <v>0.0</v>
      </c>
      <c r="O366" s="9">
        <f>IF(ABS(C366-$H366)&lt;=1E-9,1,0)</f>
        <v>0</v>
      </c>
      <c r="P366" s="9">
        <f>IF(ABS(D366-$H366)&lt;=1E-9,1,0)</f>
        <v>0</v>
      </c>
      <c r="Q366" s="9">
        <f>IF(ABS(E366-$H366)&lt;=1E-9,1,0)</f>
        <v>0</v>
      </c>
      <c r="R366" s="9">
        <f>IF(ABS(F366-$H366)&lt;=1E-9,1,0)</f>
        <v>0</v>
      </c>
      <c r="S366" s="9">
        <f>IF(ABS(G366-$H366)&lt;=1E-9,1,0)</f>
        <v>1</v>
      </c>
      <c r="T366" s="6" t="s">
        <v>26</v>
      </c>
    </row>
    <row r="367" spans="1:20">
      <c r="A367" s="6" t="s">
        <v>424</v>
      </c>
      <c r="B367" s="3">
        <v>200</v>
      </c>
      <c r="C367" s="7">
        <v>58</v>
      </c>
      <c r="D367" s="7">
        <v>59</v>
      </c>
      <c r="E367" s="7">
        <v>58</v>
      </c>
      <c r="F367" s="7">
        <v>59</v>
      </c>
      <c r="G367" s="7">
        <v>55</v>
      </c>
      <c r="H367" s="7">
        <f>MIN(C367:G367)</f>
        <v>55.0</v>
      </c>
      <c r="I367" s="6" t="s">
        <v>26</v>
      </c>
      <c r="J367" s="8">
        <f>IF($H367=0,"",(C367-$H367)/$H367)</f>
        <v>0.05454545454545454</v>
      </c>
      <c r="K367" s="8">
        <f>IF($H367=0,"",(D367-$H367)/$H367)</f>
        <v>0.07272727272727272</v>
      </c>
      <c r="L367" s="8">
        <f>IF($H367=0,"",(E367-$H367)/$H367)</f>
        <v>0.05454545454545454</v>
      </c>
      <c r="M367" s="8">
        <f>IF($H367=0,"",(F367-$H367)/$H367)</f>
        <v>0.07272727272727272</v>
      </c>
      <c r="N367" s="8">
        <f>IF($H367=0,"",(G367-$H367)/$H367)</f>
        <v>0.0</v>
      </c>
      <c r="O367" s="9">
        <f>IF(ABS(C367-$H367)&lt;=1E-9,1,0)</f>
        <v>0</v>
      </c>
      <c r="P367" s="9">
        <f>IF(ABS(D367-$H367)&lt;=1E-9,1,0)</f>
        <v>0</v>
      </c>
      <c r="Q367" s="9">
        <f>IF(ABS(E367-$H367)&lt;=1E-9,1,0)</f>
        <v>0</v>
      </c>
      <c r="R367" s="9">
        <f>IF(ABS(F367-$H367)&lt;=1E-9,1,0)</f>
        <v>0</v>
      </c>
      <c r="S367" s="9">
        <f>IF(ABS(G367-$H367)&lt;=1E-9,1,0)</f>
        <v>1</v>
      </c>
      <c r="T367" s="6" t="s">
        <v>26</v>
      </c>
    </row>
    <row r="368" spans="1:20">
      <c r="A368" s="6" t="s">
        <v>425</v>
      </c>
      <c r="B368" s="3">
        <v>200</v>
      </c>
      <c r="C368" s="7">
        <v>1022</v>
      </c>
      <c r="D368" s="7">
        <v>1008</v>
      </c>
      <c r="E368" s="7">
        <v>1013</v>
      </c>
      <c r="F368" s="7">
        <v>802</v>
      </c>
      <c r="G368" s="7">
        <v>723</v>
      </c>
      <c r="H368" s="7">
        <f>MIN(C368:G368)</f>
        <v>723.0</v>
      </c>
      <c r="I368" s="6" t="s">
        <v>26</v>
      </c>
      <c r="J368" s="8">
        <f>IF($H368=0,"",(C368-$H368)/$H368)</f>
        <v>0.4135546334716459</v>
      </c>
      <c r="K368" s="8">
        <f>IF($H368=0,"",(D368-$H368)/$H368)</f>
        <v>0.39419087136929465</v>
      </c>
      <c r="L368" s="8">
        <f>IF($H368=0,"",(E368-$H368)/$H368)</f>
        <v>0.40110650069156295</v>
      </c>
      <c r="M368" s="8">
        <f>IF($H368=0,"",(F368-$H368)/$H368)</f>
        <v>0.10926694329183956</v>
      </c>
      <c r="N368" s="8">
        <f>IF($H368=0,"",(G368-$H368)/$H368)</f>
        <v>0.0</v>
      </c>
      <c r="O368" s="9">
        <f>IF(ABS(C368-$H368)&lt;=1E-9,1,0)</f>
        <v>0</v>
      </c>
      <c r="P368" s="9">
        <f>IF(ABS(D368-$H368)&lt;=1E-9,1,0)</f>
        <v>0</v>
      </c>
      <c r="Q368" s="9">
        <f>IF(ABS(E368-$H368)&lt;=1E-9,1,0)</f>
        <v>0</v>
      </c>
      <c r="R368" s="9">
        <f>IF(ABS(F368-$H368)&lt;=1E-9,1,0)</f>
        <v>0</v>
      </c>
      <c r="S368" s="9">
        <f>IF(ABS(G368-$H368)&lt;=1E-9,1,0)</f>
        <v>1</v>
      </c>
      <c r="T368" s="6" t="s">
        <v>26</v>
      </c>
    </row>
    <row r="369" spans="1:20">
      <c r="A369" s="6" t="s">
        <v>426</v>
      </c>
      <c r="B369" s="3">
        <v>200</v>
      </c>
      <c r="C369" s="7">
        <v>1133</v>
      </c>
      <c r="D369" s="7">
        <v>1135</v>
      </c>
      <c r="E369" s="7">
        <v>1118</v>
      </c>
      <c r="F369" s="7">
        <v>855</v>
      </c>
      <c r="G369" s="7">
        <v>740</v>
      </c>
      <c r="H369" s="7">
        <f>MIN(C369:G369)</f>
        <v>740.0</v>
      </c>
      <c r="I369" s="6" t="s">
        <v>26</v>
      </c>
      <c r="J369" s="8">
        <f>IF($H369=0,"",(C369-$H369)/$H369)</f>
        <v>0.5310810810810811</v>
      </c>
      <c r="K369" s="8">
        <f>IF($H369=0,"",(D369-$H369)/$H369)</f>
        <v>0.5337837837837838</v>
      </c>
      <c r="L369" s="8">
        <f>IF($H369=0,"",(E369-$H369)/$H369)</f>
        <v>0.5108108108108108</v>
      </c>
      <c r="M369" s="8">
        <f>IF($H369=0,"",(F369-$H369)/$H369)</f>
        <v>0.1554054054054054</v>
      </c>
      <c r="N369" s="8">
        <f>IF($H369=0,"",(G369-$H369)/$H369)</f>
        <v>0.0</v>
      </c>
      <c r="O369" s="9">
        <f>IF(ABS(C369-$H369)&lt;=1E-9,1,0)</f>
        <v>0</v>
      </c>
      <c r="P369" s="9">
        <f>IF(ABS(D369-$H369)&lt;=1E-9,1,0)</f>
        <v>0</v>
      </c>
      <c r="Q369" s="9">
        <f>IF(ABS(E369-$H369)&lt;=1E-9,1,0)</f>
        <v>0</v>
      </c>
      <c r="R369" s="9">
        <f>IF(ABS(F369-$H369)&lt;=1E-9,1,0)</f>
        <v>0</v>
      </c>
      <c r="S369" s="9">
        <f>IF(ABS(G369-$H369)&lt;=1E-9,1,0)</f>
        <v>1</v>
      </c>
      <c r="T369" s="6" t="s">
        <v>26</v>
      </c>
    </row>
    <row r="370" spans="1:20">
      <c r="A370" s="6" t="s">
        <v>427</v>
      </c>
      <c r="B370" s="3">
        <v>200</v>
      </c>
      <c r="C370" s="7">
        <v>40</v>
      </c>
      <c r="D370" s="7">
        <v>42</v>
      </c>
      <c r="E370" s="7">
        <v>42</v>
      </c>
      <c r="F370" s="7">
        <v>47</v>
      </c>
      <c r="G370" s="7">
        <v>38</v>
      </c>
      <c r="H370" s="7">
        <f>MIN(C370:G370)</f>
        <v>38.0</v>
      </c>
      <c r="I370" s="6" t="s">
        <v>26</v>
      </c>
      <c r="J370" s="8">
        <f>IF($H370=0,"",(C370-$H370)/$H370)</f>
        <v>0.05263157894736842</v>
      </c>
      <c r="K370" s="8">
        <f>IF($H370=0,"",(D370-$H370)/$H370)</f>
        <v>0.10526315789473684</v>
      </c>
      <c r="L370" s="8">
        <f>IF($H370=0,"",(E370-$H370)/$H370)</f>
        <v>0.10526315789473684</v>
      </c>
      <c r="M370" s="8">
        <f>IF($H370=0,"",(F370-$H370)/$H370)</f>
        <v>0.23684210526315788</v>
      </c>
      <c r="N370" s="8">
        <f>IF($H370=0,"",(G370-$H370)/$H370)</f>
        <v>0.0</v>
      </c>
      <c r="O370" s="9">
        <f>IF(ABS(C370-$H370)&lt;=1E-9,1,0)</f>
        <v>0</v>
      </c>
      <c r="P370" s="9">
        <f>IF(ABS(D370-$H370)&lt;=1E-9,1,0)</f>
        <v>0</v>
      </c>
      <c r="Q370" s="9">
        <f>IF(ABS(E370-$H370)&lt;=1E-9,1,0)</f>
        <v>0</v>
      </c>
      <c r="R370" s="9">
        <f>IF(ABS(F370-$H370)&lt;=1E-9,1,0)</f>
        <v>0</v>
      </c>
      <c r="S370" s="9">
        <f>IF(ABS(G370-$H370)&lt;=1E-9,1,0)</f>
        <v>1</v>
      </c>
      <c r="T370" s="6" t="s">
        <v>26</v>
      </c>
    </row>
    <row r="371" spans="1:20">
      <c r="A371" s="6" t="s">
        <v>428</v>
      </c>
      <c r="B371" s="3">
        <v>200</v>
      </c>
      <c r="C371" s="7">
        <v>42</v>
      </c>
      <c r="D371" s="7">
        <v>44</v>
      </c>
      <c r="E371" s="7">
        <v>43</v>
      </c>
      <c r="F371" s="7">
        <v>49</v>
      </c>
      <c r="G371" s="7">
        <v>37</v>
      </c>
      <c r="H371" s="7">
        <f>MIN(C371:G371)</f>
        <v>37.0</v>
      </c>
      <c r="I371" s="6" t="s">
        <v>26</v>
      </c>
      <c r="J371" s="8">
        <f>IF($H371=0,"",(C371-$H371)/$H371)</f>
        <v>0.13513513513513514</v>
      </c>
      <c r="K371" s="8">
        <f>IF($H371=0,"",(D371-$H371)/$H371)</f>
        <v>0.1891891891891892</v>
      </c>
      <c r="L371" s="8">
        <f>IF($H371=0,"",(E371-$H371)/$H371)</f>
        <v>0.16216216216216217</v>
      </c>
      <c r="M371" s="8">
        <f>IF($H371=0,"",(F371-$H371)/$H371)</f>
        <v>0.32432432432432434</v>
      </c>
      <c r="N371" s="8">
        <f>IF($H371=0,"",(G371-$H371)/$H371)</f>
        <v>0.0</v>
      </c>
      <c r="O371" s="9">
        <f>IF(ABS(C371-$H371)&lt;=1E-9,1,0)</f>
        <v>0</v>
      </c>
      <c r="P371" s="9">
        <f>IF(ABS(D371-$H371)&lt;=1E-9,1,0)</f>
        <v>0</v>
      </c>
      <c r="Q371" s="9">
        <f>IF(ABS(E371-$H371)&lt;=1E-9,1,0)</f>
        <v>0</v>
      </c>
      <c r="R371" s="9">
        <f>IF(ABS(F371-$H371)&lt;=1E-9,1,0)</f>
        <v>0</v>
      </c>
      <c r="S371" s="9">
        <f>IF(ABS(G371-$H371)&lt;=1E-9,1,0)</f>
        <v>1</v>
      </c>
      <c r="T371" s="6" t="s">
        <v>26</v>
      </c>
    </row>
    <row r="372" spans="1:20">
      <c r="A372" s="6" t="s">
        <v>429</v>
      </c>
      <c r="B372" s="3">
        <v>200</v>
      </c>
      <c r="C372" s="7">
        <v>769</v>
      </c>
      <c r="D372" s="7">
        <v>827</v>
      </c>
      <c r="E372" s="7">
        <v>817</v>
      </c>
      <c r="F372" s="7">
        <v>638</v>
      </c>
      <c r="G372" s="7">
        <v>538</v>
      </c>
      <c r="H372" s="7">
        <f>MIN(C372:G372)</f>
        <v>538.0</v>
      </c>
      <c r="I372" s="6" t="s">
        <v>26</v>
      </c>
      <c r="J372" s="8">
        <f>IF($H372=0,"",(C372-$H372)/$H372)</f>
        <v>0.4293680297397769</v>
      </c>
      <c r="K372" s="8">
        <f>IF($H372=0,"",(D372-$H372)/$H372)</f>
        <v>0.5371747211895911</v>
      </c>
      <c r="L372" s="8">
        <f>IF($H372=0,"",(E372-$H372)/$H372)</f>
        <v>0.5185873605947955</v>
      </c>
      <c r="M372" s="8">
        <f>IF($H372=0,"",(F372-$H372)/$H372)</f>
        <v>0.18587360594795538</v>
      </c>
      <c r="N372" s="8">
        <f>IF($H372=0,"",(G372-$H372)/$H372)</f>
        <v>0.0</v>
      </c>
      <c r="O372" s="9">
        <f>IF(ABS(C372-$H372)&lt;=1E-9,1,0)</f>
        <v>0</v>
      </c>
      <c r="P372" s="9">
        <f>IF(ABS(D372-$H372)&lt;=1E-9,1,0)</f>
        <v>0</v>
      </c>
      <c r="Q372" s="9">
        <f>IF(ABS(E372-$H372)&lt;=1E-9,1,0)</f>
        <v>0</v>
      </c>
      <c r="R372" s="9">
        <f>IF(ABS(F372-$H372)&lt;=1E-9,1,0)</f>
        <v>0</v>
      </c>
      <c r="S372" s="9">
        <f>IF(ABS(G372-$H372)&lt;=1E-9,1,0)</f>
        <v>1</v>
      </c>
      <c r="T372" s="6" t="s">
        <v>26</v>
      </c>
    </row>
    <row r="373" spans="1:20">
      <c r="A373" s="6" t="s">
        <v>430</v>
      </c>
      <c r="B373" s="3">
        <v>200</v>
      </c>
      <c r="C373" s="7">
        <v>831</v>
      </c>
      <c r="D373" s="7">
        <v>846</v>
      </c>
      <c r="E373" s="7">
        <v>820</v>
      </c>
      <c r="F373" s="7">
        <v>635</v>
      </c>
      <c r="G373" s="7">
        <v>519</v>
      </c>
      <c r="H373" s="7">
        <f>MIN(C373:G373)</f>
        <v>519.0</v>
      </c>
      <c r="I373" s="6" t="s">
        <v>26</v>
      </c>
      <c r="J373" s="8">
        <f>IF($H373=0,"",(C373-$H373)/$H373)</f>
        <v>0.6011560693641619</v>
      </c>
      <c r="K373" s="8">
        <f>IF($H373=0,"",(D373-$H373)/$H373)</f>
        <v>0.630057803468208</v>
      </c>
      <c r="L373" s="8">
        <f>IF($H373=0,"",(E373-$H373)/$H373)</f>
        <v>0.5799614643545279</v>
      </c>
      <c r="M373" s="8">
        <f>IF($H373=0,"",(F373-$H373)/$H373)</f>
        <v>0.22350674373795762</v>
      </c>
      <c r="N373" s="8">
        <f>IF($H373=0,"",(G373-$H373)/$H373)</f>
        <v>0.0</v>
      </c>
      <c r="O373" s="9">
        <f>IF(ABS(C373-$H373)&lt;=1E-9,1,0)</f>
        <v>0</v>
      </c>
      <c r="P373" s="9">
        <f>IF(ABS(D373-$H373)&lt;=1E-9,1,0)</f>
        <v>0</v>
      </c>
      <c r="Q373" s="9">
        <f>IF(ABS(E373-$H373)&lt;=1E-9,1,0)</f>
        <v>0</v>
      </c>
      <c r="R373" s="9">
        <f>IF(ABS(F373-$H373)&lt;=1E-9,1,0)</f>
        <v>0</v>
      </c>
      <c r="S373" s="9">
        <f>IF(ABS(G373-$H373)&lt;=1E-9,1,0)</f>
        <v>1</v>
      </c>
      <c r="T373" s="6" t="s">
        <v>26</v>
      </c>
    </row>
    <row r="374" spans="1:20">
      <c r="A374" s="6" t="s">
        <v>431</v>
      </c>
      <c r="B374" s="3">
        <v>200</v>
      </c>
      <c r="C374" s="7">
        <v>33</v>
      </c>
      <c r="D374" s="7">
        <v>33</v>
      </c>
      <c r="E374" s="7">
        <v>35</v>
      </c>
      <c r="F374" s="7">
        <v>49</v>
      </c>
      <c r="G374" s="7">
        <v>32</v>
      </c>
      <c r="H374" s="7">
        <f>MIN(C374:G374)</f>
        <v>32.0</v>
      </c>
      <c r="I374" s="6" t="s">
        <v>26</v>
      </c>
      <c r="J374" s="8">
        <f>IF($H374=0,"",(C374-$H374)/$H374)</f>
        <v>0.03125</v>
      </c>
      <c r="K374" s="8">
        <f>IF($H374=0,"",(D374-$H374)/$H374)</f>
        <v>0.03125</v>
      </c>
      <c r="L374" s="8">
        <f>IF($H374=0,"",(E374-$H374)/$H374)</f>
        <v>0.09375</v>
      </c>
      <c r="M374" s="8">
        <f>IF($H374=0,"",(F374-$H374)/$H374)</f>
        <v>0.53125</v>
      </c>
      <c r="N374" s="8">
        <f>IF($H374=0,"",(G374-$H374)/$H374)</f>
        <v>0.0</v>
      </c>
      <c r="O374" s="9">
        <f>IF(ABS(C374-$H374)&lt;=1E-9,1,0)</f>
        <v>0</v>
      </c>
      <c r="P374" s="9">
        <f>IF(ABS(D374-$H374)&lt;=1E-9,1,0)</f>
        <v>0</v>
      </c>
      <c r="Q374" s="9">
        <f>IF(ABS(E374-$H374)&lt;=1E-9,1,0)</f>
        <v>0</v>
      </c>
      <c r="R374" s="9">
        <f>IF(ABS(F374-$H374)&lt;=1E-9,1,0)</f>
        <v>0</v>
      </c>
      <c r="S374" s="9">
        <f>IF(ABS(G374-$H374)&lt;=1E-9,1,0)</f>
        <v>1</v>
      </c>
      <c r="T374" s="6" t="s">
        <v>26</v>
      </c>
    </row>
    <row r="375" spans="1:20">
      <c r="A375" s="6" t="s">
        <v>432</v>
      </c>
      <c r="B375" s="3">
        <v>200</v>
      </c>
      <c r="C375" s="7">
        <v>34</v>
      </c>
      <c r="D375" s="7">
        <v>34</v>
      </c>
      <c r="E375" s="7">
        <v>37</v>
      </c>
      <c r="F375" s="7">
        <v>47</v>
      </c>
      <c r="G375" s="7">
        <v>33</v>
      </c>
      <c r="H375" s="7">
        <f>MIN(C375:G375)</f>
        <v>33.0</v>
      </c>
      <c r="I375" s="6" t="s">
        <v>26</v>
      </c>
      <c r="J375" s="8">
        <f>IF($H375=0,"",(C375-$H375)/$H375)</f>
        <v>0.030303030303030304</v>
      </c>
      <c r="K375" s="8">
        <f>IF($H375=0,"",(D375-$H375)/$H375)</f>
        <v>0.030303030303030304</v>
      </c>
      <c r="L375" s="8">
        <f>IF($H375=0,"",(E375-$H375)/$H375)</f>
        <v>0.12121212121212122</v>
      </c>
      <c r="M375" s="8">
        <f>IF($H375=0,"",(F375-$H375)/$H375)</f>
        <v>0.4242424242424242</v>
      </c>
      <c r="N375" s="8">
        <f>IF($H375=0,"",(G375-$H375)/$H375)</f>
        <v>0.0</v>
      </c>
      <c r="O375" s="9">
        <f>IF(ABS(C375-$H375)&lt;=1E-9,1,0)</f>
        <v>0</v>
      </c>
      <c r="P375" s="9">
        <f>IF(ABS(D375-$H375)&lt;=1E-9,1,0)</f>
        <v>0</v>
      </c>
      <c r="Q375" s="9">
        <f>IF(ABS(E375-$H375)&lt;=1E-9,1,0)</f>
        <v>0</v>
      </c>
      <c r="R375" s="9">
        <f>IF(ABS(F375-$H375)&lt;=1E-9,1,0)</f>
        <v>0</v>
      </c>
      <c r="S375" s="9">
        <f>IF(ABS(G375-$H375)&lt;=1E-9,1,0)</f>
        <v>1</v>
      </c>
      <c r="T375" s="6" t="s">
        <v>26</v>
      </c>
    </row>
    <row r="376" spans="1:20">
      <c r="A376" s="6" t="s">
        <v>433</v>
      </c>
      <c r="B376" s="3">
        <v>200</v>
      </c>
      <c r="C376" s="7">
        <v>721</v>
      </c>
      <c r="D376" s="7">
        <v>731</v>
      </c>
      <c r="E376" s="7">
        <v>750</v>
      </c>
      <c r="F376" s="7">
        <v>627</v>
      </c>
      <c r="G376" s="7">
        <v>503</v>
      </c>
      <c r="H376" s="7">
        <f>MIN(C376:G376)</f>
        <v>503.0</v>
      </c>
      <c r="I376" s="6" t="s">
        <v>26</v>
      </c>
      <c r="J376" s="8">
        <f>IF($H376=0,"",(C376-$H376)/$H376)</f>
        <v>0.43339960238568587</v>
      </c>
      <c r="K376" s="8">
        <f>IF($H376=0,"",(D376-$H376)/$H376)</f>
        <v>0.4532803180914513</v>
      </c>
      <c r="L376" s="8">
        <f>IF($H376=0,"",(E376-$H376)/$H376)</f>
        <v>0.4910536779324055</v>
      </c>
      <c r="M376" s="8">
        <f>IF($H376=0,"",(F376-$H376)/$H376)</f>
        <v>0.24652087475149106</v>
      </c>
      <c r="N376" s="8">
        <f>IF($H376=0,"",(G376-$H376)/$H376)</f>
        <v>0.0</v>
      </c>
      <c r="O376" s="9">
        <f>IF(ABS(C376-$H376)&lt;=1E-9,1,0)</f>
        <v>0</v>
      </c>
      <c r="P376" s="9">
        <f>IF(ABS(D376-$H376)&lt;=1E-9,1,0)</f>
        <v>0</v>
      </c>
      <c r="Q376" s="9">
        <f>IF(ABS(E376-$H376)&lt;=1E-9,1,0)</f>
        <v>0</v>
      </c>
      <c r="R376" s="9">
        <f>IF(ABS(F376-$H376)&lt;=1E-9,1,0)</f>
        <v>0</v>
      </c>
      <c r="S376" s="9">
        <f>IF(ABS(G376-$H376)&lt;=1E-9,1,0)</f>
        <v>1</v>
      </c>
      <c r="T376" s="6" t="s">
        <v>26</v>
      </c>
    </row>
    <row r="377" spans="1:20">
      <c r="A377" s="6" t="s">
        <v>434</v>
      </c>
      <c r="B377" s="3">
        <v>200</v>
      </c>
      <c r="C377" s="7">
        <v>758</v>
      </c>
      <c r="D377" s="7">
        <v>773</v>
      </c>
      <c r="E377" s="7">
        <v>804</v>
      </c>
      <c r="F377" s="7">
        <v>672</v>
      </c>
      <c r="G377" s="7">
        <v>515</v>
      </c>
      <c r="H377" s="7">
        <f>MIN(C377:G377)</f>
        <v>515.0</v>
      </c>
      <c r="I377" s="6" t="s">
        <v>26</v>
      </c>
      <c r="J377" s="8">
        <f>IF($H377=0,"",(C377-$H377)/$H377)</f>
        <v>0.47184466019417476</v>
      </c>
      <c r="K377" s="8">
        <f>IF($H377=0,"",(D377-$H377)/$H377)</f>
        <v>0.5009708737864078</v>
      </c>
      <c r="L377" s="8">
        <f>IF($H377=0,"",(E377-$H377)/$H377)</f>
        <v>0.5611650485436893</v>
      </c>
      <c r="M377" s="8">
        <f>IF($H377=0,"",(F377-$H377)/$H377)</f>
        <v>0.3048543689320388</v>
      </c>
      <c r="N377" s="8">
        <f>IF($H377=0,"",(G377-$H377)/$H377)</f>
        <v>0.0</v>
      </c>
      <c r="O377" s="9">
        <f>IF(ABS(C377-$H377)&lt;=1E-9,1,0)</f>
        <v>0</v>
      </c>
      <c r="P377" s="9">
        <f>IF(ABS(D377-$H377)&lt;=1E-9,1,0)</f>
        <v>0</v>
      </c>
      <c r="Q377" s="9">
        <f>IF(ABS(E377-$H377)&lt;=1E-9,1,0)</f>
        <v>0</v>
      </c>
      <c r="R377" s="9">
        <f>IF(ABS(F377-$H377)&lt;=1E-9,1,0)</f>
        <v>0</v>
      </c>
      <c r="S377" s="9">
        <f>IF(ABS(G377-$H377)&lt;=1E-9,1,0)</f>
        <v>1</v>
      </c>
      <c r="T377" s="6" t="s">
        <v>26</v>
      </c>
    </row>
    <row r="378" spans="1:20">
      <c r="A378" s="6" t="s">
        <v>435</v>
      </c>
      <c r="B378" s="3">
        <v>200</v>
      </c>
      <c r="C378" s="7">
        <v>73</v>
      </c>
      <c r="D378" s="7">
        <v>73</v>
      </c>
      <c r="E378" s="7">
        <v>74</v>
      </c>
      <c r="F378" s="7">
        <v>64</v>
      </c>
      <c r="G378" s="7">
        <v>62</v>
      </c>
      <c r="H378" s="7">
        <f>MIN(C378:G378)</f>
        <v>62.0</v>
      </c>
      <c r="I378" s="6" t="s">
        <v>26</v>
      </c>
      <c r="J378" s="8">
        <f>IF($H378=0,"",(C378-$H378)/$H378)</f>
        <v>0.1774193548387097</v>
      </c>
      <c r="K378" s="8">
        <f>IF($H378=0,"",(D378-$H378)/$H378)</f>
        <v>0.1774193548387097</v>
      </c>
      <c r="L378" s="8">
        <f>IF($H378=0,"",(E378-$H378)/$H378)</f>
        <v>0.1935483870967742</v>
      </c>
      <c r="M378" s="8">
        <f>IF($H378=0,"",(F378-$H378)/$H378)</f>
        <v>0.03225806451612903</v>
      </c>
      <c r="N378" s="8">
        <f>IF($H378=0,"",(G378-$H378)/$H378)</f>
        <v>0.0</v>
      </c>
      <c r="O378" s="9">
        <f>IF(ABS(C378-$H378)&lt;=1E-9,1,0)</f>
        <v>0</v>
      </c>
      <c r="P378" s="9">
        <f>IF(ABS(D378-$H378)&lt;=1E-9,1,0)</f>
        <v>0</v>
      </c>
      <c r="Q378" s="9">
        <f>IF(ABS(E378-$H378)&lt;=1E-9,1,0)</f>
        <v>0</v>
      </c>
      <c r="R378" s="9">
        <f>IF(ABS(F378-$H378)&lt;=1E-9,1,0)</f>
        <v>0</v>
      </c>
      <c r="S378" s="9">
        <f>IF(ABS(G378-$H378)&lt;=1E-9,1,0)</f>
        <v>1</v>
      </c>
      <c r="T378" s="6" t="s">
        <v>26</v>
      </c>
    </row>
    <row r="379" spans="1:20">
      <c r="A379" s="6" t="s">
        <v>436</v>
      </c>
      <c r="B379" s="3">
        <v>200</v>
      </c>
      <c r="C379" s="7">
        <v>72</v>
      </c>
      <c r="D379" s="7">
        <v>72</v>
      </c>
      <c r="E379" s="7">
        <v>72</v>
      </c>
      <c r="F379" s="7">
        <v>64</v>
      </c>
      <c r="G379" s="7">
        <v>62</v>
      </c>
      <c r="H379" s="7">
        <f>MIN(C379:G379)</f>
        <v>62.0</v>
      </c>
      <c r="I379" s="6" t="s">
        <v>26</v>
      </c>
      <c r="J379" s="8">
        <f>IF($H379=0,"",(C379-$H379)/$H379)</f>
        <v>0.16129032258064516</v>
      </c>
      <c r="K379" s="8">
        <f>IF($H379=0,"",(D379-$H379)/$H379)</f>
        <v>0.16129032258064516</v>
      </c>
      <c r="L379" s="8">
        <f>IF($H379=0,"",(E379-$H379)/$H379)</f>
        <v>0.16129032258064516</v>
      </c>
      <c r="M379" s="8">
        <f>IF($H379=0,"",(F379-$H379)/$H379)</f>
        <v>0.03225806451612903</v>
      </c>
      <c r="N379" s="8">
        <f>IF($H379=0,"",(G379-$H379)/$H379)</f>
        <v>0.0</v>
      </c>
      <c r="O379" s="9">
        <f>IF(ABS(C379-$H379)&lt;=1E-9,1,0)</f>
        <v>0</v>
      </c>
      <c r="P379" s="9">
        <f>IF(ABS(D379-$H379)&lt;=1E-9,1,0)</f>
        <v>0</v>
      </c>
      <c r="Q379" s="9">
        <f>IF(ABS(E379-$H379)&lt;=1E-9,1,0)</f>
        <v>0</v>
      </c>
      <c r="R379" s="9">
        <f>IF(ABS(F379-$H379)&lt;=1E-9,1,0)</f>
        <v>0</v>
      </c>
      <c r="S379" s="9">
        <f>IF(ABS(G379-$H379)&lt;=1E-9,1,0)</f>
        <v>1</v>
      </c>
      <c r="T379" s="6" t="s">
        <v>26</v>
      </c>
    </row>
    <row r="380" spans="1:20">
      <c r="A380" s="6" t="s">
        <v>437</v>
      </c>
      <c r="B380" s="3">
        <v>200</v>
      </c>
      <c r="C380" s="7">
        <v>1067</v>
      </c>
      <c r="D380" s="7">
        <v>1109</v>
      </c>
      <c r="E380" s="7">
        <v>1089</v>
      </c>
      <c r="F380" s="7">
        <v>832</v>
      </c>
      <c r="G380" s="7">
        <v>751</v>
      </c>
      <c r="H380" s="7">
        <f>MIN(C380:G380)</f>
        <v>751.0</v>
      </c>
      <c r="I380" s="6" t="s">
        <v>26</v>
      </c>
      <c r="J380" s="8">
        <f>IF($H380=0,"",(C380-$H380)/$H380)</f>
        <v>0.4207723035952064</v>
      </c>
      <c r="K380" s="8">
        <f>IF($H380=0,"",(D380-$H380)/$H380)</f>
        <v>0.4766977363515313</v>
      </c>
      <c r="L380" s="8">
        <f>IF($H380=0,"",(E380-$H380)/$H380)</f>
        <v>0.45006657789613846</v>
      </c>
      <c r="M380" s="8">
        <f>IF($H380=0,"",(F380-$H380)/$H380)</f>
        <v>0.10785619174434088</v>
      </c>
      <c r="N380" s="8">
        <f>IF($H380=0,"",(G380-$H380)/$H380)</f>
        <v>0.0</v>
      </c>
      <c r="O380" s="9">
        <f>IF(ABS(C380-$H380)&lt;=1E-9,1,0)</f>
        <v>0</v>
      </c>
      <c r="P380" s="9">
        <f>IF(ABS(D380-$H380)&lt;=1E-9,1,0)</f>
        <v>0</v>
      </c>
      <c r="Q380" s="9">
        <f>IF(ABS(E380-$H380)&lt;=1E-9,1,0)</f>
        <v>0</v>
      </c>
      <c r="R380" s="9">
        <f>IF(ABS(F380-$H380)&lt;=1E-9,1,0)</f>
        <v>0</v>
      </c>
      <c r="S380" s="9">
        <f>IF(ABS(G380-$H380)&lt;=1E-9,1,0)</f>
        <v>1</v>
      </c>
      <c r="T380" s="6" t="s">
        <v>26</v>
      </c>
    </row>
    <row r="381" spans="1:20">
      <c r="A381" s="6" t="s">
        <v>438</v>
      </c>
      <c r="B381" s="3">
        <v>200</v>
      </c>
      <c r="C381" s="7">
        <v>999</v>
      </c>
      <c r="D381" s="7">
        <v>1034</v>
      </c>
      <c r="E381" s="7">
        <v>1002</v>
      </c>
      <c r="F381" s="7">
        <v>796</v>
      </c>
      <c r="G381" s="7">
        <v>716</v>
      </c>
      <c r="H381" s="7">
        <f>MIN(C381:G381)</f>
        <v>716.0</v>
      </c>
      <c r="I381" s="6" t="s">
        <v>26</v>
      </c>
      <c r="J381" s="8">
        <f>IF($H381=0,"",(C381-$H381)/$H381)</f>
        <v>0.3952513966480447</v>
      </c>
      <c r="K381" s="8">
        <f>IF($H381=0,"",(D381-$H381)/$H381)</f>
        <v>0.4441340782122905</v>
      </c>
      <c r="L381" s="8">
        <f>IF($H381=0,"",(E381-$H381)/$H381)</f>
        <v>0.39944134078212284</v>
      </c>
      <c r="M381" s="8">
        <f>IF($H381=0,"",(F381-$H381)/$H381)</f>
        <v>0.11173184357541899</v>
      </c>
      <c r="N381" s="8">
        <f>IF($H381=0,"",(G381-$H381)/$H381)</f>
        <v>0.0</v>
      </c>
      <c r="O381" s="9">
        <f>IF(ABS(C381-$H381)&lt;=1E-9,1,0)</f>
        <v>0</v>
      </c>
      <c r="P381" s="9">
        <f>IF(ABS(D381-$H381)&lt;=1E-9,1,0)</f>
        <v>0</v>
      </c>
      <c r="Q381" s="9">
        <f>IF(ABS(E381-$H381)&lt;=1E-9,1,0)</f>
        <v>0</v>
      </c>
      <c r="R381" s="9">
        <f>IF(ABS(F381-$H381)&lt;=1E-9,1,0)</f>
        <v>0</v>
      </c>
      <c r="S381" s="9">
        <f>IF(ABS(G381-$H381)&lt;=1E-9,1,0)</f>
        <v>1</v>
      </c>
      <c r="T381" s="6" t="s">
        <v>26</v>
      </c>
    </row>
    <row r="382" spans="1:20">
      <c r="A382" s="6" t="s">
        <v>439</v>
      </c>
      <c r="B382" s="3">
        <v>200</v>
      </c>
      <c r="C382" s="7">
        <v>59</v>
      </c>
      <c r="D382" s="7">
        <v>59</v>
      </c>
      <c r="E382" s="7">
        <v>61</v>
      </c>
      <c r="F382" s="7">
        <v>61</v>
      </c>
      <c r="G382" s="7">
        <v>56</v>
      </c>
      <c r="H382" s="7">
        <f>MIN(C382:G382)</f>
        <v>56.0</v>
      </c>
      <c r="I382" s="6" t="s">
        <v>26</v>
      </c>
      <c r="J382" s="8">
        <f>IF($H382=0,"",(C382-$H382)/$H382)</f>
        <v>0.05357142857142857</v>
      </c>
      <c r="K382" s="8">
        <f>IF($H382=0,"",(D382-$H382)/$H382)</f>
        <v>0.05357142857142857</v>
      </c>
      <c r="L382" s="8">
        <f>IF($H382=0,"",(E382-$H382)/$H382)</f>
        <v>0.08928571428571429</v>
      </c>
      <c r="M382" s="8">
        <f>IF($H382=0,"",(F382-$H382)/$H382)</f>
        <v>0.08928571428571429</v>
      </c>
      <c r="N382" s="8">
        <f>IF($H382=0,"",(G382-$H382)/$H382)</f>
        <v>0.0</v>
      </c>
      <c r="O382" s="9">
        <f>IF(ABS(C382-$H382)&lt;=1E-9,1,0)</f>
        <v>0</v>
      </c>
      <c r="P382" s="9">
        <f>IF(ABS(D382-$H382)&lt;=1E-9,1,0)</f>
        <v>0</v>
      </c>
      <c r="Q382" s="9">
        <f>IF(ABS(E382-$H382)&lt;=1E-9,1,0)</f>
        <v>0</v>
      </c>
      <c r="R382" s="9">
        <f>IF(ABS(F382-$H382)&lt;=1E-9,1,0)</f>
        <v>0</v>
      </c>
      <c r="S382" s="9">
        <f>IF(ABS(G382-$H382)&lt;=1E-9,1,0)</f>
        <v>1</v>
      </c>
      <c r="T382" s="6" t="s">
        <v>26</v>
      </c>
    </row>
    <row r="383" spans="1:20">
      <c r="A383" s="6" t="s">
        <v>440</v>
      </c>
      <c r="B383" s="3">
        <v>200</v>
      </c>
      <c r="C383" s="7">
        <v>59</v>
      </c>
      <c r="D383" s="7">
        <v>60</v>
      </c>
      <c r="E383" s="7">
        <v>59</v>
      </c>
      <c r="F383" s="7">
        <v>60</v>
      </c>
      <c r="G383" s="7">
        <v>55</v>
      </c>
      <c r="H383" s="7">
        <f>MIN(C383:G383)</f>
        <v>55.0</v>
      </c>
      <c r="I383" s="6" t="s">
        <v>26</v>
      </c>
      <c r="J383" s="8">
        <f>IF($H383=0,"",(C383-$H383)/$H383)</f>
        <v>0.07272727272727272</v>
      </c>
      <c r="K383" s="8">
        <f>IF($H383=0,"",(D383-$H383)/$H383)</f>
        <v>0.09090909090909091</v>
      </c>
      <c r="L383" s="8">
        <f>IF($H383=0,"",(E383-$H383)/$H383)</f>
        <v>0.07272727272727272</v>
      </c>
      <c r="M383" s="8">
        <f>IF($H383=0,"",(F383-$H383)/$H383)</f>
        <v>0.09090909090909091</v>
      </c>
      <c r="N383" s="8">
        <f>IF($H383=0,"",(G383-$H383)/$H383)</f>
        <v>0.0</v>
      </c>
      <c r="O383" s="9">
        <f>IF(ABS(C383-$H383)&lt;=1E-9,1,0)</f>
        <v>0</v>
      </c>
      <c r="P383" s="9">
        <f>IF(ABS(D383-$H383)&lt;=1E-9,1,0)</f>
        <v>0</v>
      </c>
      <c r="Q383" s="9">
        <f>IF(ABS(E383-$H383)&lt;=1E-9,1,0)</f>
        <v>0</v>
      </c>
      <c r="R383" s="9">
        <f>IF(ABS(F383-$H383)&lt;=1E-9,1,0)</f>
        <v>0</v>
      </c>
      <c r="S383" s="9">
        <f>IF(ABS(G383-$H383)&lt;=1E-9,1,0)</f>
        <v>1</v>
      </c>
      <c r="T383" s="6" t="s">
        <v>26</v>
      </c>
    </row>
    <row r="384" spans="1:20">
      <c r="A384" s="6" t="s">
        <v>441</v>
      </c>
      <c r="B384" s="3">
        <v>200</v>
      </c>
      <c r="C384" s="7">
        <v>965</v>
      </c>
      <c r="D384" s="7">
        <v>971</v>
      </c>
      <c r="E384" s="7">
        <v>963</v>
      </c>
      <c r="F384" s="7">
        <v>802</v>
      </c>
      <c r="G384" s="7">
        <v>698</v>
      </c>
      <c r="H384" s="7">
        <f>MIN(C384:G384)</f>
        <v>698.0</v>
      </c>
      <c r="I384" s="6" t="s">
        <v>26</v>
      </c>
      <c r="J384" s="8">
        <f>IF($H384=0,"",(C384-$H384)/$H384)</f>
        <v>0.38252148997134666</v>
      </c>
      <c r="K384" s="8">
        <f>IF($H384=0,"",(D384-$H384)/$H384)</f>
        <v>0.39111747851002865</v>
      </c>
      <c r="L384" s="8">
        <f>IF($H384=0,"",(E384-$H384)/$H384)</f>
        <v>0.37965616045845274</v>
      </c>
      <c r="M384" s="8">
        <f>IF($H384=0,"",(F384-$H384)/$H384)</f>
        <v>0.1489971346704871</v>
      </c>
      <c r="N384" s="8">
        <f>IF($H384=0,"",(G384-$H384)/$H384)</f>
        <v>0.0</v>
      </c>
      <c r="O384" s="9">
        <f>IF(ABS(C384-$H384)&lt;=1E-9,1,0)</f>
        <v>0</v>
      </c>
      <c r="P384" s="9">
        <f>IF(ABS(D384-$H384)&lt;=1E-9,1,0)</f>
        <v>0</v>
      </c>
      <c r="Q384" s="9">
        <f>IF(ABS(E384-$H384)&lt;=1E-9,1,0)</f>
        <v>0</v>
      </c>
      <c r="R384" s="9">
        <f>IF(ABS(F384-$H384)&lt;=1E-9,1,0)</f>
        <v>0</v>
      </c>
      <c r="S384" s="9">
        <f>IF(ABS(G384-$H384)&lt;=1E-9,1,0)</f>
        <v>1</v>
      </c>
      <c r="T384" s="6" t="s">
        <v>26</v>
      </c>
    </row>
    <row r="385" spans="1:20">
      <c r="A385" s="6" t="s">
        <v>442</v>
      </c>
      <c r="B385" s="3">
        <v>200</v>
      </c>
      <c r="C385" s="7">
        <v>907</v>
      </c>
      <c r="D385" s="7">
        <v>908</v>
      </c>
      <c r="E385" s="7">
        <v>927</v>
      </c>
      <c r="F385" s="7">
        <v>760</v>
      </c>
      <c r="G385" s="7">
        <v>655</v>
      </c>
      <c r="H385" s="7">
        <f>MIN(C385:G385)</f>
        <v>655.0</v>
      </c>
      <c r="I385" s="6" t="s">
        <v>26</v>
      </c>
      <c r="J385" s="8">
        <f>IF($H385=0,"",(C385-$H385)/$H385)</f>
        <v>0.3847328244274809</v>
      </c>
      <c r="K385" s="8">
        <f>IF($H385=0,"",(D385-$H385)/$H385)</f>
        <v>0.3862595419847328</v>
      </c>
      <c r="L385" s="8">
        <f>IF($H385=0,"",(E385-$H385)/$H385)</f>
        <v>0.4152671755725191</v>
      </c>
      <c r="M385" s="8">
        <f>IF($H385=0,"",(F385-$H385)/$H385)</f>
        <v>0.16030534351145037</v>
      </c>
      <c r="N385" s="8">
        <f>IF($H385=0,"",(G385-$H385)/$H385)</f>
        <v>0.0</v>
      </c>
      <c r="O385" s="9">
        <f>IF(ABS(C385-$H385)&lt;=1E-9,1,0)</f>
        <v>0</v>
      </c>
      <c r="P385" s="9">
        <f>IF(ABS(D385-$H385)&lt;=1E-9,1,0)</f>
        <v>0</v>
      </c>
      <c r="Q385" s="9">
        <f>IF(ABS(E385-$H385)&lt;=1E-9,1,0)</f>
        <v>0</v>
      </c>
      <c r="R385" s="9">
        <f>IF(ABS(F385-$H385)&lt;=1E-9,1,0)</f>
        <v>0</v>
      </c>
      <c r="S385" s="9">
        <f>IF(ABS(G385-$H385)&lt;=1E-9,1,0)</f>
        <v>1</v>
      </c>
      <c r="T385" s="6" t="s">
        <v>26</v>
      </c>
    </row>
    <row r="386" spans="1:20">
      <c r="A386" s="6" t="s">
        <v>443</v>
      </c>
      <c r="B386" s="3">
        <v>25</v>
      </c>
      <c r="C386" s="7">
        <v>7</v>
      </c>
      <c r="D386" s="7">
        <v>8</v>
      </c>
      <c r="E386" s="7">
        <v>7</v>
      </c>
      <c r="F386" s="7">
        <v>9</v>
      </c>
      <c r="G386" s="7">
        <v>7</v>
      </c>
      <c r="H386" s="7">
        <f>MIN(C386:G386)</f>
        <v>7.0</v>
      </c>
      <c r="I386" s="6" t="s">
        <v>127</v>
      </c>
      <c r="J386" s="8">
        <f>IF($H386=0,"",(C386-$H386)/$H386)</f>
        <v>0.0</v>
      </c>
      <c r="K386" s="8">
        <f>IF($H386=0,"",(D386-$H386)/$H386)</f>
        <v>0.14285714285714285</v>
      </c>
      <c r="L386" s="8">
        <f>IF($H386=0,"",(E386-$H386)/$H386)</f>
        <v>0.0</v>
      </c>
      <c r="M386" s="8">
        <f>IF($H386=0,"",(F386-$H386)/$H386)</f>
        <v>0.2857142857142857</v>
      </c>
      <c r="N386" s="8">
        <f>IF($H386=0,"",(G386-$H386)/$H386)</f>
        <v>0.0</v>
      </c>
      <c r="O386" s="9">
        <f>IF(ABS(C386-$H386)&lt;=1E-9,1,0)</f>
        <v>1</v>
      </c>
      <c r="P386" s="9">
        <f>IF(ABS(D386-$H386)&lt;=1E-9,1,0)</f>
        <v>0</v>
      </c>
      <c r="Q386" s="9">
        <f>IF(ABS(E386-$H386)&lt;=1E-9,1,0)</f>
        <v>1</v>
      </c>
      <c r="R386" s="9">
        <f>IF(ABS(F386-$H386)&lt;=1E-9,1,0)</f>
        <v>0</v>
      </c>
      <c r="S386" s="9">
        <f>IF(ABS(G386-$H386)&lt;=1E-9,1,0)</f>
        <v>1</v>
      </c>
      <c r="T386" s="6" t="s">
        <v>51</v>
      </c>
    </row>
    <row r="387" spans="1:20">
      <c r="A387" s="6" t="s">
        <v>444</v>
      </c>
      <c r="B387" s="3">
        <v>25</v>
      </c>
      <c r="C387" s="7">
        <v>8</v>
      </c>
      <c r="D387" s="7">
        <v>8</v>
      </c>
      <c r="E387" s="7">
        <v>8</v>
      </c>
      <c r="F387" s="7">
        <v>9</v>
      </c>
      <c r="G387" s="7">
        <v>7</v>
      </c>
      <c r="H387" s="7">
        <f>MIN(C387:G387)</f>
        <v>7.0</v>
      </c>
      <c r="I387" s="6" t="s">
        <v>26</v>
      </c>
      <c r="J387" s="8">
        <f>IF($H387=0,"",(C387-$H387)/$H387)</f>
        <v>0.14285714285714285</v>
      </c>
      <c r="K387" s="8">
        <f>IF($H387=0,"",(D387-$H387)/$H387)</f>
        <v>0.14285714285714285</v>
      </c>
      <c r="L387" s="8">
        <f>IF($H387=0,"",(E387-$H387)/$H387)</f>
        <v>0.14285714285714285</v>
      </c>
      <c r="M387" s="8">
        <f>IF($H387=0,"",(F387-$H387)/$H387)</f>
        <v>0.2857142857142857</v>
      </c>
      <c r="N387" s="8">
        <f>IF($H387=0,"",(G387-$H387)/$H387)</f>
        <v>0.0</v>
      </c>
      <c r="O387" s="9">
        <f>IF(ABS(C387-$H387)&lt;=1E-9,1,0)</f>
        <v>0</v>
      </c>
      <c r="P387" s="9">
        <f>IF(ABS(D387-$H387)&lt;=1E-9,1,0)</f>
        <v>0</v>
      </c>
      <c r="Q387" s="9">
        <f>IF(ABS(E387-$H387)&lt;=1E-9,1,0)</f>
        <v>0</v>
      </c>
      <c r="R387" s="9">
        <f>IF(ABS(F387-$H387)&lt;=1E-9,1,0)</f>
        <v>0</v>
      </c>
      <c r="S387" s="9">
        <f>IF(ABS(G387-$H387)&lt;=1E-9,1,0)</f>
        <v>1</v>
      </c>
      <c r="T387" s="6" t="s">
        <v>26</v>
      </c>
    </row>
    <row r="388" spans="1:20">
      <c r="A388" s="6" t="s">
        <v>445</v>
      </c>
      <c r="B388" s="3">
        <v>25</v>
      </c>
      <c r="C388" s="7">
        <v>138</v>
      </c>
      <c r="D388" s="7">
        <v>142</v>
      </c>
      <c r="E388" s="7">
        <v>133</v>
      </c>
      <c r="F388" s="7">
        <v>126</v>
      </c>
      <c r="G388" s="7">
        <v>126</v>
      </c>
      <c r="H388" s="7">
        <f>MIN(C388:G388)</f>
        <v>126.0</v>
      </c>
      <c r="I388" s="6" t="s">
        <v>50</v>
      </c>
      <c r="J388" s="8">
        <f>IF($H388=0,"",(C388-$H388)/$H388)</f>
        <v>0.09523809523809523</v>
      </c>
      <c r="K388" s="8">
        <f>IF($H388=0,"",(D388-$H388)/$H388)</f>
        <v>0.12698412698412698</v>
      </c>
      <c r="L388" s="8">
        <f>IF($H388=0,"",(E388-$H388)/$H388)</f>
        <v>0.05555555555555555</v>
      </c>
      <c r="M388" s="8">
        <f>IF($H388=0,"",(F388-$H388)/$H388)</f>
        <v>0.0</v>
      </c>
      <c r="N388" s="8">
        <f>IF($H388=0,"",(G388-$H388)/$H388)</f>
        <v>0.0</v>
      </c>
      <c r="O388" s="9">
        <f>IF(ABS(C388-$H388)&lt;=1E-9,1,0)</f>
        <v>0</v>
      </c>
      <c r="P388" s="9">
        <f>IF(ABS(D388-$H388)&lt;=1E-9,1,0)</f>
        <v>0</v>
      </c>
      <c r="Q388" s="9">
        <f>IF(ABS(E388-$H388)&lt;=1E-9,1,0)</f>
        <v>0</v>
      </c>
      <c r="R388" s="9">
        <f>IF(ABS(F388-$H388)&lt;=1E-9,1,0)</f>
        <v>1</v>
      </c>
      <c r="S388" s="9">
        <f>IF(ABS(G388-$H388)&lt;=1E-9,1,0)</f>
        <v>1</v>
      </c>
      <c r="T388" s="6" t="s">
        <v>51</v>
      </c>
    </row>
    <row r="389" spans="1:20">
      <c r="A389" s="6" t="s">
        <v>446</v>
      </c>
      <c r="B389" s="3">
        <v>25</v>
      </c>
      <c r="C389" s="7">
        <v>154</v>
      </c>
      <c r="D389" s="7">
        <v>154</v>
      </c>
      <c r="E389" s="7">
        <v>154</v>
      </c>
      <c r="F389" s="7">
        <v>149</v>
      </c>
      <c r="G389" s="7">
        <v>144</v>
      </c>
      <c r="H389" s="7">
        <f>MIN(C389:G389)</f>
        <v>144.0</v>
      </c>
      <c r="I389" s="6" t="s">
        <v>26</v>
      </c>
      <c r="J389" s="8">
        <f>IF($H389=0,"",(C389-$H389)/$H389)</f>
        <v>0.06944444444444445</v>
      </c>
      <c r="K389" s="8">
        <f>IF($H389=0,"",(D389-$H389)/$H389)</f>
        <v>0.06944444444444445</v>
      </c>
      <c r="L389" s="8">
        <f>IF($H389=0,"",(E389-$H389)/$H389)</f>
        <v>0.06944444444444445</v>
      </c>
      <c r="M389" s="8">
        <f>IF($H389=0,"",(F389-$H389)/$H389)</f>
        <v>0.034722222222222224</v>
      </c>
      <c r="N389" s="8">
        <f>IF($H389=0,"",(G389-$H389)/$H389)</f>
        <v>0.0</v>
      </c>
      <c r="O389" s="9">
        <f>IF(ABS(C389-$H389)&lt;=1E-9,1,0)</f>
        <v>0</v>
      </c>
      <c r="P389" s="9">
        <f>IF(ABS(D389-$H389)&lt;=1E-9,1,0)</f>
        <v>0</v>
      </c>
      <c r="Q389" s="9">
        <f>IF(ABS(E389-$H389)&lt;=1E-9,1,0)</f>
        <v>0</v>
      </c>
      <c r="R389" s="9">
        <f>IF(ABS(F389-$H389)&lt;=1E-9,1,0)</f>
        <v>0</v>
      </c>
      <c r="S389" s="9">
        <f>IF(ABS(G389-$H389)&lt;=1E-9,1,0)</f>
        <v>1</v>
      </c>
      <c r="T389" s="6" t="s">
        <v>26</v>
      </c>
    </row>
    <row r="390" spans="1:20">
      <c r="A390" s="6" t="s">
        <v>447</v>
      </c>
      <c r="B390" s="3">
        <v>25</v>
      </c>
      <c r="C390" s="7">
        <v>7</v>
      </c>
      <c r="D390" s="7">
        <v>7</v>
      </c>
      <c r="E390" s="7">
        <v>8</v>
      </c>
      <c r="F390" s="7">
        <v>8</v>
      </c>
      <c r="G390" s="7">
        <v>7</v>
      </c>
      <c r="H390" s="7">
        <f>MIN(C390:G390)</f>
        <v>7.0</v>
      </c>
      <c r="I390" s="6" t="s">
        <v>65</v>
      </c>
      <c r="J390" s="8">
        <f>IF($H390=0,"",(C390-$H390)/$H390)</f>
        <v>0.0</v>
      </c>
      <c r="K390" s="8">
        <f>IF($H390=0,"",(D390-$H390)/$H390)</f>
        <v>0.0</v>
      </c>
      <c r="L390" s="8">
        <f>IF($H390=0,"",(E390-$H390)/$H390)</f>
        <v>0.14285714285714285</v>
      </c>
      <c r="M390" s="8">
        <f>IF($H390=0,"",(F390-$H390)/$H390)</f>
        <v>0.14285714285714285</v>
      </c>
      <c r="N390" s="8">
        <f>IF($H390=0,"",(G390-$H390)/$H390)</f>
        <v>0.0</v>
      </c>
      <c r="O390" s="9">
        <f>IF(ABS(C390-$H390)&lt;=1E-9,1,0)</f>
        <v>1</v>
      </c>
      <c r="P390" s="9">
        <f>IF(ABS(D390-$H390)&lt;=1E-9,1,0)</f>
        <v>1</v>
      </c>
      <c r="Q390" s="9">
        <f>IF(ABS(E390-$H390)&lt;=1E-9,1,0)</f>
        <v>0</v>
      </c>
      <c r="R390" s="9">
        <f>IF(ABS(F390-$H390)&lt;=1E-9,1,0)</f>
        <v>0</v>
      </c>
      <c r="S390" s="9">
        <f>IF(ABS(G390-$H390)&lt;=1E-9,1,0)</f>
        <v>1</v>
      </c>
      <c r="T390" s="6" t="s">
        <v>51</v>
      </c>
    </row>
    <row r="391" spans="1:20">
      <c r="A391" s="6" t="s">
        <v>448</v>
      </c>
      <c r="B391" s="3">
        <v>25</v>
      </c>
      <c r="C391" s="7">
        <v>7</v>
      </c>
      <c r="D391" s="7">
        <v>7</v>
      </c>
      <c r="E391" s="7">
        <v>7</v>
      </c>
      <c r="F391" s="7">
        <v>7</v>
      </c>
      <c r="G391" s="7">
        <v>7</v>
      </c>
      <c r="H391" s="7">
        <f>MIN(C391:G391)</f>
        <v>7.0</v>
      </c>
      <c r="I391" s="6" t="s">
        <v>324</v>
      </c>
      <c r="J391" s="8">
        <f>IF($H391=0,"",(C391-$H391)/$H391)</f>
        <v>0.0</v>
      </c>
      <c r="K391" s="8">
        <f>IF($H391=0,"",(D391-$H391)/$H391)</f>
        <v>0.0</v>
      </c>
      <c r="L391" s="8">
        <f>IF($H391=0,"",(E391-$H391)/$H391)</f>
        <v>0.0</v>
      </c>
      <c r="M391" s="8">
        <f>IF($H391=0,"",(F391-$H391)/$H391)</f>
        <v>0.0</v>
      </c>
      <c r="N391" s="8">
        <f>IF($H391=0,"",(G391-$H391)/$H391)</f>
        <v>0.0</v>
      </c>
      <c r="O391" s="9">
        <f>IF(ABS(C391-$H391)&lt;=1E-9,1,0)</f>
        <v>1</v>
      </c>
      <c r="P391" s="9">
        <f>IF(ABS(D391-$H391)&lt;=1E-9,1,0)</f>
        <v>1</v>
      </c>
      <c r="Q391" s="9">
        <f>IF(ABS(E391-$H391)&lt;=1E-9,1,0)</f>
        <v>1</v>
      </c>
      <c r="R391" s="9">
        <f>IF(ABS(F391-$H391)&lt;=1E-9,1,0)</f>
        <v>1</v>
      </c>
      <c r="S391" s="9">
        <f>IF(ABS(G391-$H391)&lt;=1E-9,1,0)</f>
        <v>1</v>
      </c>
      <c r="T391" s="6" t="s">
        <v>51</v>
      </c>
    </row>
    <row r="392" spans="1:20">
      <c r="A392" s="6" t="s">
        <v>449</v>
      </c>
      <c r="B392" s="3">
        <v>25</v>
      </c>
      <c r="C392" s="7">
        <v>132</v>
      </c>
      <c r="D392" s="7">
        <v>136</v>
      </c>
      <c r="E392" s="7">
        <v>141</v>
      </c>
      <c r="F392" s="7">
        <v>136</v>
      </c>
      <c r="G392" s="7">
        <v>127</v>
      </c>
      <c r="H392" s="7">
        <f>MIN(C392:G392)</f>
        <v>127.0</v>
      </c>
      <c r="I392" s="6" t="s">
        <v>26</v>
      </c>
      <c r="J392" s="8">
        <f>IF($H392=0,"",(C392-$H392)/$H392)</f>
        <v>0.03937007874015748</v>
      </c>
      <c r="K392" s="8">
        <f>IF($H392=0,"",(D392-$H392)/$H392)</f>
        <v>0.07086614173228346</v>
      </c>
      <c r="L392" s="8">
        <f>IF($H392=0,"",(E392-$H392)/$H392)</f>
        <v>0.11023622047244094</v>
      </c>
      <c r="M392" s="8">
        <f>IF($H392=0,"",(F392-$H392)/$H392)</f>
        <v>0.07086614173228346</v>
      </c>
      <c r="N392" s="8">
        <f>IF($H392=0,"",(G392-$H392)/$H392)</f>
        <v>0.0</v>
      </c>
      <c r="O392" s="9">
        <f>IF(ABS(C392-$H392)&lt;=1E-9,1,0)</f>
        <v>0</v>
      </c>
      <c r="P392" s="9">
        <f>IF(ABS(D392-$H392)&lt;=1E-9,1,0)</f>
        <v>0</v>
      </c>
      <c r="Q392" s="9">
        <f>IF(ABS(E392-$H392)&lt;=1E-9,1,0)</f>
        <v>0</v>
      </c>
      <c r="R392" s="9">
        <f>IF(ABS(F392-$H392)&lt;=1E-9,1,0)</f>
        <v>0</v>
      </c>
      <c r="S392" s="9">
        <f>IF(ABS(G392-$H392)&lt;=1E-9,1,0)</f>
        <v>1</v>
      </c>
      <c r="T392" s="6" t="s">
        <v>26</v>
      </c>
    </row>
    <row r="393" spans="1:20">
      <c r="A393" s="6" t="s">
        <v>450</v>
      </c>
      <c r="B393" s="3">
        <v>25</v>
      </c>
      <c r="C393" s="7">
        <v>136</v>
      </c>
      <c r="D393" s="7">
        <v>135</v>
      </c>
      <c r="E393" s="7">
        <v>144</v>
      </c>
      <c r="F393" s="7">
        <v>149</v>
      </c>
      <c r="G393" s="7">
        <v>135</v>
      </c>
      <c r="H393" s="7">
        <f>MIN(C393:G393)</f>
        <v>135.0</v>
      </c>
      <c r="I393" s="6" t="s">
        <v>97</v>
      </c>
      <c r="J393" s="8">
        <f>IF($H393=0,"",(C393-$H393)/$H393)</f>
        <v>0.007407407407407408</v>
      </c>
      <c r="K393" s="8">
        <f>IF($H393=0,"",(D393-$H393)/$H393)</f>
        <v>0.0</v>
      </c>
      <c r="L393" s="8">
        <f>IF($H393=0,"",(E393-$H393)/$H393)</f>
        <v>0.06666666666666667</v>
      </c>
      <c r="M393" s="8">
        <f>IF($H393=0,"",(F393-$H393)/$H393)</f>
        <v>0.1037037037037037</v>
      </c>
      <c r="N393" s="8">
        <f>IF($H393=0,"",(G393-$H393)/$H393)</f>
        <v>0.0</v>
      </c>
      <c r="O393" s="9">
        <f>IF(ABS(C393-$H393)&lt;=1E-9,1,0)</f>
        <v>0</v>
      </c>
      <c r="P393" s="9">
        <f>IF(ABS(D393-$H393)&lt;=1E-9,1,0)</f>
        <v>1</v>
      </c>
      <c r="Q393" s="9">
        <f>IF(ABS(E393-$H393)&lt;=1E-9,1,0)</f>
        <v>0</v>
      </c>
      <c r="R393" s="9">
        <f>IF(ABS(F393-$H393)&lt;=1E-9,1,0)</f>
        <v>0</v>
      </c>
      <c r="S393" s="9">
        <f>IF(ABS(G393-$H393)&lt;=1E-9,1,0)</f>
        <v>1</v>
      </c>
      <c r="T393" s="6" t="s">
        <v>51</v>
      </c>
    </row>
    <row r="394" spans="1:20">
      <c r="A394" s="6" t="s">
        <v>451</v>
      </c>
      <c r="B394" s="3">
        <v>25</v>
      </c>
      <c r="C394" s="7">
        <v>10</v>
      </c>
      <c r="D394" s="7">
        <v>10</v>
      </c>
      <c r="E394" s="7">
        <v>11</v>
      </c>
      <c r="F394" s="7">
        <v>10</v>
      </c>
      <c r="G394" s="7">
        <v>9</v>
      </c>
      <c r="H394" s="7">
        <f>MIN(C394:G394)</f>
        <v>9.0</v>
      </c>
      <c r="I394" s="6" t="s">
        <v>26</v>
      </c>
      <c r="J394" s="8">
        <f>IF($H394=0,"",(C394-$H394)/$H394)</f>
        <v>0.1111111111111111</v>
      </c>
      <c r="K394" s="8">
        <f>IF($H394=0,"",(D394-$H394)/$H394)</f>
        <v>0.1111111111111111</v>
      </c>
      <c r="L394" s="8">
        <f>IF($H394=0,"",(E394-$H394)/$H394)</f>
        <v>0.2222222222222222</v>
      </c>
      <c r="M394" s="8">
        <f>IF($H394=0,"",(F394-$H394)/$H394)</f>
        <v>0.1111111111111111</v>
      </c>
      <c r="N394" s="8">
        <f>IF($H394=0,"",(G394-$H394)/$H394)</f>
        <v>0.0</v>
      </c>
      <c r="O394" s="9">
        <f>IF(ABS(C394-$H394)&lt;=1E-9,1,0)</f>
        <v>0</v>
      </c>
      <c r="P394" s="9">
        <f>IF(ABS(D394-$H394)&lt;=1E-9,1,0)</f>
        <v>0</v>
      </c>
      <c r="Q394" s="9">
        <f>IF(ABS(E394-$H394)&lt;=1E-9,1,0)</f>
        <v>0</v>
      </c>
      <c r="R394" s="9">
        <f>IF(ABS(F394-$H394)&lt;=1E-9,1,0)</f>
        <v>0</v>
      </c>
      <c r="S394" s="9">
        <f>IF(ABS(G394-$H394)&lt;=1E-9,1,0)</f>
        <v>1</v>
      </c>
      <c r="T394" s="6" t="s">
        <v>26</v>
      </c>
    </row>
    <row r="395" spans="1:20">
      <c r="A395" s="6" t="s">
        <v>452</v>
      </c>
      <c r="B395" s="3">
        <v>25</v>
      </c>
      <c r="C395" s="7">
        <v>10</v>
      </c>
      <c r="D395" s="7">
        <v>10</v>
      </c>
      <c r="E395" s="7">
        <v>11</v>
      </c>
      <c r="F395" s="7">
        <v>12</v>
      </c>
      <c r="G395" s="7">
        <v>10</v>
      </c>
      <c r="H395" s="7">
        <f>MIN(C395:G395)</f>
        <v>10.0</v>
      </c>
      <c r="I395" s="6" t="s">
        <v>65</v>
      </c>
      <c r="J395" s="8">
        <f>IF($H395=0,"",(C395-$H395)/$H395)</f>
        <v>0.0</v>
      </c>
      <c r="K395" s="8">
        <f>IF($H395=0,"",(D395-$H395)/$H395)</f>
        <v>0.0</v>
      </c>
      <c r="L395" s="8">
        <f>IF($H395=0,"",(E395-$H395)/$H395)</f>
        <v>0.1</v>
      </c>
      <c r="M395" s="8">
        <f>IF($H395=0,"",(F395-$H395)/$H395)</f>
        <v>0.2</v>
      </c>
      <c r="N395" s="8">
        <f>IF($H395=0,"",(G395-$H395)/$H395)</f>
        <v>0.0</v>
      </c>
      <c r="O395" s="9">
        <f>IF(ABS(C395-$H395)&lt;=1E-9,1,0)</f>
        <v>1</v>
      </c>
      <c r="P395" s="9">
        <f>IF(ABS(D395-$H395)&lt;=1E-9,1,0)</f>
        <v>1</v>
      </c>
      <c r="Q395" s="9">
        <f>IF(ABS(E395-$H395)&lt;=1E-9,1,0)</f>
        <v>0</v>
      </c>
      <c r="R395" s="9">
        <f>IF(ABS(F395-$H395)&lt;=1E-9,1,0)</f>
        <v>0</v>
      </c>
      <c r="S395" s="9">
        <f>IF(ABS(G395-$H395)&lt;=1E-9,1,0)</f>
        <v>1</v>
      </c>
      <c r="T395" s="6" t="s">
        <v>51</v>
      </c>
    </row>
    <row r="396" spans="1:20">
      <c r="A396" s="6" t="s">
        <v>453</v>
      </c>
      <c r="B396" s="3">
        <v>25</v>
      </c>
      <c r="C396" s="7">
        <v>159</v>
      </c>
      <c r="D396" s="7">
        <v>167</v>
      </c>
      <c r="E396" s="7">
        <v>167</v>
      </c>
      <c r="F396" s="7">
        <v>146</v>
      </c>
      <c r="G396" s="7">
        <v>139</v>
      </c>
      <c r="H396" s="7">
        <f>MIN(C396:G396)</f>
        <v>139.0</v>
      </c>
      <c r="I396" s="6" t="s">
        <v>26</v>
      </c>
      <c r="J396" s="8">
        <f>IF($H396=0,"",(C396-$H396)/$H396)</f>
        <v>0.14388489208633093</v>
      </c>
      <c r="K396" s="8">
        <f>IF($H396=0,"",(D396-$H396)/$H396)</f>
        <v>0.2014388489208633</v>
      </c>
      <c r="L396" s="8">
        <f>IF($H396=0,"",(E396-$H396)/$H396)</f>
        <v>0.2014388489208633</v>
      </c>
      <c r="M396" s="8">
        <f>IF($H396=0,"",(F396-$H396)/$H396)</f>
        <v>0.050359712230215826</v>
      </c>
      <c r="N396" s="8">
        <f>IF($H396=0,"",(G396-$H396)/$H396)</f>
        <v>0.0</v>
      </c>
      <c r="O396" s="9">
        <f>IF(ABS(C396-$H396)&lt;=1E-9,1,0)</f>
        <v>0</v>
      </c>
      <c r="P396" s="9">
        <f>IF(ABS(D396-$H396)&lt;=1E-9,1,0)</f>
        <v>0</v>
      </c>
      <c r="Q396" s="9">
        <f>IF(ABS(E396-$H396)&lt;=1E-9,1,0)</f>
        <v>0</v>
      </c>
      <c r="R396" s="9">
        <f>IF(ABS(F396-$H396)&lt;=1E-9,1,0)</f>
        <v>0</v>
      </c>
      <c r="S396" s="9">
        <f>IF(ABS(G396-$H396)&lt;=1E-9,1,0)</f>
        <v>1</v>
      </c>
      <c r="T396" s="6" t="s">
        <v>26</v>
      </c>
    </row>
    <row r="397" spans="1:20">
      <c r="A397" s="6" t="s">
        <v>454</v>
      </c>
      <c r="B397" s="3">
        <v>25</v>
      </c>
      <c r="C397" s="7">
        <v>181</v>
      </c>
      <c r="D397" s="7">
        <v>181</v>
      </c>
      <c r="E397" s="7">
        <v>182</v>
      </c>
      <c r="F397" s="7">
        <v>157</v>
      </c>
      <c r="G397" s="7">
        <v>149</v>
      </c>
      <c r="H397" s="7">
        <f>MIN(C397:G397)</f>
        <v>149.0</v>
      </c>
      <c r="I397" s="6" t="s">
        <v>26</v>
      </c>
      <c r="J397" s="8">
        <f>IF($H397=0,"",(C397-$H397)/$H397)</f>
        <v>0.21476510067114096</v>
      </c>
      <c r="K397" s="8">
        <f>IF($H397=0,"",(D397-$H397)/$H397)</f>
        <v>0.21476510067114096</v>
      </c>
      <c r="L397" s="8">
        <f>IF($H397=0,"",(E397-$H397)/$H397)</f>
        <v>0.2214765100671141</v>
      </c>
      <c r="M397" s="8">
        <f>IF($H397=0,"",(F397-$H397)/$H397)</f>
        <v>0.05369127516778524</v>
      </c>
      <c r="N397" s="8">
        <f>IF($H397=0,"",(G397-$H397)/$H397)</f>
        <v>0.0</v>
      </c>
      <c r="O397" s="9">
        <f>IF(ABS(C397-$H397)&lt;=1E-9,1,0)</f>
        <v>0</v>
      </c>
      <c r="P397" s="9">
        <f>IF(ABS(D397-$H397)&lt;=1E-9,1,0)</f>
        <v>0</v>
      </c>
      <c r="Q397" s="9">
        <f>IF(ABS(E397-$H397)&lt;=1E-9,1,0)</f>
        <v>0</v>
      </c>
      <c r="R397" s="9">
        <f>IF(ABS(F397-$H397)&lt;=1E-9,1,0)</f>
        <v>0</v>
      </c>
      <c r="S397" s="9">
        <f>IF(ABS(G397-$H397)&lt;=1E-9,1,0)</f>
        <v>1</v>
      </c>
      <c r="T397" s="6" t="s">
        <v>26</v>
      </c>
    </row>
    <row r="398" spans="1:20">
      <c r="A398" s="6" t="s">
        <v>455</v>
      </c>
      <c r="B398" s="3">
        <v>25</v>
      </c>
      <c r="C398" s="7">
        <v>8</v>
      </c>
      <c r="D398" s="7">
        <v>8</v>
      </c>
      <c r="E398" s="7">
        <v>8</v>
      </c>
      <c r="F398" s="7">
        <v>9</v>
      </c>
      <c r="G398" s="7">
        <v>8</v>
      </c>
      <c r="H398" s="7">
        <f>MIN(C398:G398)</f>
        <v>8.0</v>
      </c>
      <c r="I398" s="6" t="s">
        <v>133</v>
      </c>
      <c r="J398" s="8">
        <f>IF($H398=0,"",(C398-$H398)/$H398)</f>
        <v>0.0</v>
      </c>
      <c r="K398" s="8">
        <f>IF($H398=0,"",(D398-$H398)/$H398)</f>
        <v>0.0</v>
      </c>
      <c r="L398" s="8">
        <f>IF($H398=0,"",(E398-$H398)/$H398)</f>
        <v>0.0</v>
      </c>
      <c r="M398" s="8">
        <f>IF($H398=0,"",(F398-$H398)/$H398)</f>
        <v>0.125</v>
      </c>
      <c r="N398" s="8">
        <f>IF($H398=0,"",(G398-$H398)/$H398)</f>
        <v>0.0</v>
      </c>
      <c r="O398" s="9">
        <f>IF(ABS(C398-$H398)&lt;=1E-9,1,0)</f>
        <v>1</v>
      </c>
      <c r="P398" s="9">
        <f>IF(ABS(D398-$H398)&lt;=1E-9,1,0)</f>
        <v>1</v>
      </c>
      <c r="Q398" s="9">
        <f>IF(ABS(E398-$H398)&lt;=1E-9,1,0)</f>
        <v>1</v>
      </c>
      <c r="R398" s="9">
        <f>IF(ABS(F398-$H398)&lt;=1E-9,1,0)</f>
        <v>0</v>
      </c>
      <c r="S398" s="9">
        <f>IF(ABS(G398-$H398)&lt;=1E-9,1,0)</f>
        <v>1</v>
      </c>
      <c r="T398" s="6" t="s">
        <v>51</v>
      </c>
    </row>
    <row r="399" spans="1:20">
      <c r="A399" s="6" t="s">
        <v>456</v>
      </c>
      <c r="B399" s="3">
        <v>25</v>
      </c>
      <c r="C399" s="7">
        <v>9</v>
      </c>
      <c r="D399" s="7">
        <v>9</v>
      </c>
      <c r="E399" s="7">
        <v>9</v>
      </c>
      <c r="F399" s="7">
        <v>9</v>
      </c>
      <c r="G399" s="7">
        <v>8</v>
      </c>
      <c r="H399" s="7">
        <f>MIN(C399:G399)</f>
        <v>8.0</v>
      </c>
      <c r="I399" s="6" t="s">
        <v>26</v>
      </c>
      <c r="J399" s="8">
        <f>IF($H399=0,"",(C399-$H399)/$H399)</f>
        <v>0.125</v>
      </c>
      <c r="K399" s="8">
        <f>IF($H399=0,"",(D399-$H399)/$H399)</f>
        <v>0.125</v>
      </c>
      <c r="L399" s="8">
        <f>IF($H399=0,"",(E399-$H399)/$H399)</f>
        <v>0.125</v>
      </c>
      <c r="M399" s="8">
        <f>IF($H399=0,"",(F399-$H399)/$H399)</f>
        <v>0.125</v>
      </c>
      <c r="N399" s="8">
        <f>IF($H399=0,"",(G399-$H399)/$H399)</f>
        <v>0.0</v>
      </c>
      <c r="O399" s="9">
        <f>IF(ABS(C399-$H399)&lt;=1E-9,1,0)</f>
        <v>0</v>
      </c>
      <c r="P399" s="9">
        <f>IF(ABS(D399-$H399)&lt;=1E-9,1,0)</f>
        <v>0</v>
      </c>
      <c r="Q399" s="9">
        <f>IF(ABS(E399-$H399)&lt;=1E-9,1,0)</f>
        <v>0</v>
      </c>
      <c r="R399" s="9">
        <f>IF(ABS(F399-$H399)&lt;=1E-9,1,0)</f>
        <v>0</v>
      </c>
      <c r="S399" s="9">
        <f>IF(ABS(G399-$H399)&lt;=1E-9,1,0)</f>
        <v>1</v>
      </c>
      <c r="T399" s="6" t="s">
        <v>26</v>
      </c>
    </row>
    <row r="400" spans="1:20">
      <c r="A400" s="6" t="s">
        <v>457</v>
      </c>
      <c r="B400" s="3">
        <v>25</v>
      </c>
      <c r="C400" s="7">
        <v>144</v>
      </c>
      <c r="D400" s="7">
        <v>143</v>
      </c>
      <c r="E400" s="7">
        <v>145</v>
      </c>
      <c r="F400" s="7">
        <v>152</v>
      </c>
      <c r="G400" s="7">
        <v>132</v>
      </c>
      <c r="H400" s="7">
        <f>MIN(C400:G400)</f>
        <v>132.0</v>
      </c>
      <c r="I400" s="6" t="s">
        <v>26</v>
      </c>
      <c r="J400" s="8">
        <f>IF($H400=0,"",(C400-$H400)/$H400)</f>
        <v>0.09090909090909091</v>
      </c>
      <c r="K400" s="8">
        <f>IF($H400=0,"",(D400-$H400)/$H400)</f>
        <v>0.08333333333333331</v>
      </c>
      <c r="L400" s="8">
        <f>IF($H400=0,"",(E400-$H400)/$H400)</f>
        <v>0.09848484848484848</v>
      </c>
      <c r="M400" s="8">
        <f>IF($H400=0,"",(F400-$H400)/$H400)</f>
        <v>0.15151515151515152</v>
      </c>
      <c r="N400" s="8">
        <f>IF($H400=0,"",(G400-$H400)/$H400)</f>
        <v>0.0</v>
      </c>
      <c r="O400" s="9">
        <f>IF(ABS(C400-$H400)&lt;=1E-9,1,0)</f>
        <v>0</v>
      </c>
      <c r="P400" s="9">
        <f>IF(ABS(D400-$H400)&lt;=1E-9,1,0)</f>
        <v>0</v>
      </c>
      <c r="Q400" s="9">
        <f>IF(ABS(E400-$H400)&lt;=1E-9,1,0)</f>
        <v>0</v>
      </c>
      <c r="R400" s="9">
        <f>IF(ABS(F400-$H400)&lt;=1E-9,1,0)</f>
        <v>0</v>
      </c>
      <c r="S400" s="9">
        <f>IF(ABS(G400-$H400)&lt;=1E-9,1,0)</f>
        <v>1</v>
      </c>
      <c r="T400" s="6" t="s">
        <v>26</v>
      </c>
    </row>
    <row r="401" spans="1:20">
      <c r="A401" s="6" t="s">
        <v>458</v>
      </c>
      <c r="B401" s="3">
        <v>25</v>
      </c>
      <c r="C401" s="7">
        <v>146</v>
      </c>
      <c r="D401" s="7">
        <v>157</v>
      </c>
      <c r="E401" s="7">
        <v>148</v>
      </c>
      <c r="F401" s="7">
        <v>146</v>
      </c>
      <c r="G401" s="7">
        <v>133</v>
      </c>
      <c r="H401" s="7">
        <f>MIN(C401:G401)</f>
        <v>133.0</v>
      </c>
      <c r="I401" s="6" t="s">
        <v>26</v>
      </c>
      <c r="J401" s="8">
        <f>IF($H401=0,"",(C401-$H401)/$H401)</f>
        <v>0.09774436090225563</v>
      </c>
      <c r="K401" s="8">
        <f>IF($H401=0,"",(D401-$H401)/$H401)</f>
        <v>0.18045112781954883</v>
      </c>
      <c r="L401" s="8">
        <f>IF($H401=0,"",(E401-$H401)/$H401)</f>
        <v>0.11278195488721804</v>
      </c>
      <c r="M401" s="8">
        <f>IF($H401=0,"",(F401-$H401)/$H401)</f>
        <v>0.09774436090225563</v>
      </c>
      <c r="N401" s="8">
        <f>IF($H401=0,"",(G401-$H401)/$H401)</f>
        <v>0.0</v>
      </c>
      <c r="O401" s="9">
        <f>IF(ABS(C401-$H401)&lt;=1E-9,1,0)</f>
        <v>0</v>
      </c>
      <c r="P401" s="9">
        <f>IF(ABS(D401-$H401)&lt;=1E-9,1,0)</f>
        <v>0</v>
      </c>
      <c r="Q401" s="9">
        <f>IF(ABS(E401-$H401)&lt;=1E-9,1,0)</f>
        <v>0</v>
      </c>
      <c r="R401" s="9">
        <f>IF(ABS(F401-$H401)&lt;=1E-9,1,0)</f>
        <v>0</v>
      </c>
      <c r="S401" s="9">
        <f>IF(ABS(G401-$H401)&lt;=1E-9,1,0)</f>
        <v>1</v>
      </c>
      <c r="T401" s="6" t="s">
        <v>26</v>
      </c>
    </row>
    <row r="402" spans="1:20">
      <c r="A402" s="6" t="s">
        <v>459</v>
      </c>
      <c r="B402" s="3">
        <v>25</v>
      </c>
      <c r="C402" s="7">
        <v>7</v>
      </c>
      <c r="D402" s="7">
        <v>7</v>
      </c>
      <c r="E402" s="7">
        <v>8</v>
      </c>
      <c r="F402" s="7">
        <v>9</v>
      </c>
      <c r="G402" s="7">
        <v>7</v>
      </c>
      <c r="H402" s="7">
        <f>MIN(C402:G402)</f>
        <v>7.0</v>
      </c>
      <c r="I402" s="6" t="s">
        <v>65</v>
      </c>
      <c r="J402" s="8">
        <f>IF($H402=0,"",(C402-$H402)/$H402)</f>
        <v>0.0</v>
      </c>
      <c r="K402" s="8">
        <f>IF($H402=0,"",(D402-$H402)/$H402)</f>
        <v>0.0</v>
      </c>
      <c r="L402" s="8">
        <f>IF($H402=0,"",(E402-$H402)/$H402)</f>
        <v>0.14285714285714285</v>
      </c>
      <c r="M402" s="8">
        <f>IF($H402=0,"",(F402-$H402)/$H402)</f>
        <v>0.2857142857142857</v>
      </c>
      <c r="N402" s="8">
        <f>IF($H402=0,"",(G402-$H402)/$H402)</f>
        <v>0.0</v>
      </c>
      <c r="O402" s="9">
        <f>IF(ABS(C402-$H402)&lt;=1E-9,1,0)</f>
        <v>1</v>
      </c>
      <c r="P402" s="9">
        <f>IF(ABS(D402-$H402)&lt;=1E-9,1,0)</f>
        <v>1</v>
      </c>
      <c r="Q402" s="9">
        <f>IF(ABS(E402-$H402)&lt;=1E-9,1,0)</f>
        <v>0</v>
      </c>
      <c r="R402" s="9">
        <f>IF(ABS(F402-$H402)&lt;=1E-9,1,0)</f>
        <v>0</v>
      </c>
      <c r="S402" s="9">
        <f>IF(ABS(G402-$H402)&lt;=1E-9,1,0)</f>
        <v>1</v>
      </c>
      <c r="T402" s="6" t="s">
        <v>51</v>
      </c>
    </row>
    <row r="403" spans="1:20">
      <c r="A403" s="6" t="s">
        <v>460</v>
      </c>
      <c r="B403" s="3">
        <v>25</v>
      </c>
      <c r="C403" s="7">
        <v>7</v>
      </c>
      <c r="D403" s="7">
        <v>7</v>
      </c>
      <c r="E403" s="7">
        <v>7</v>
      </c>
      <c r="F403" s="7">
        <v>11</v>
      </c>
      <c r="G403" s="7">
        <v>7</v>
      </c>
      <c r="H403" s="7">
        <f>MIN(C403:G403)</f>
        <v>7.0</v>
      </c>
      <c r="I403" s="6" t="s">
        <v>133</v>
      </c>
      <c r="J403" s="8">
        <f>IF($H403=0,"",(C403-$H403)/$H403)</f>
        <v>0.0</v>
      </c>
      <c r="K403" s="8">
        <f>IF($H403=0,"",(D403-$H403)/$H403)</f>
        <v>0.0</v>
      </c>
      <c r="L403" s="8">
        <f>IF($H403=0,"",(E403-$H403)/$H403)</f>
        <v>0.0</v>
      </c>
      <c r="M403" s="8">
        <f>IF($H403=0,"",(F403-$H403)/$H403)</f>
        <v>0.5714285714285714</v>
      </c>
      <c r="N403" s="8">
        <f>IF($H403=0,"",(G403-$H403)/$H403)</f>
        <v>0.0</v>
      </c>
      <c r="O403" s="9">
        <f>IF(ABS(C403-$H403)&lt;=1E-9,1,0)</f>
        <v>1</v>
      </c>
      <c r="P403" s="9">
        <f>IF(ABS(D403-$H403)&lt;=1E-9,1,0)</f>
        <v>1</v>
      </c>
      <c r="Q403" s="9">
        <f>IF(ABS(E403-$H403)&lt;=1E-9,1,0)</f>
        <v>1</v>
      </c>
      <c r="R403" s="9">
        <f>IF(ABS(F403-$H403)&lt;=1E-9,1,0)</f>
        <v>0</v>
      </c>
      <c r="S403" s="9">
        <f>IF(ABS(G403-$H403)&lt;=1E-9,1,0)</f>
        <v>1</v>
      </c>
      <c r="T403" s="6" t="s">
        <v>51</v>
      </c>
    </row>
    <row r="404" spans="1:20">
      <c r="A404" s="6" t="s">
        <v>461</v>
      </c>
      <c r="B404" s="3">
        <v>25</v>
      </c>
      <c r="C404" s="7">
        <v>124</v>
      </c>
      <c r="D404" s="7">
        <v>136</v>
      </c>
      <c r="E404" s="7">
        <v>122</v>
      </c>
      <c r="F404" s="7">
        <v>131</v>
      </c>
      <c r="G404" s="7">
        <v>115</v>
      </c>
      <c r="H404" s="7">
        <f>MIN(C404:G404)</f>
        <v>115.0</v>
      </c>
      <c r="I404" s="6" t="s">
        <v>26</v>
      </c>
      <c r="J404" s="8">
        <f>IF($H404=0,"",(C404-$H404)/$H404)</f>
        <v>0.0782608695652174</v>
      </c>
      <c r="K404" s="8">
        <f>IF($H404=0,"",(D404-$H404)/$H404)</f>
        <v>0.1826086956521739</v>
      </c>
      <c r="L404" s="8">
        <f>IF($H404=0,"",(E404-$H404)/$H404)</f>
        <v>0.06086956521739131</v>
      </c>
      <c r="M404" s="8">
        <f>IF($H404=0,"",(F404-$H404)/$H404)</f>
        <v>0.1391304347826087</v>
      </c>
      <c r="N404" s="8">
        <f>IF($H404=0,"",(G404-$H404)/$H404)</f>
        <v>0.0</v>
      </c>
      <c r="O404" s="9">
        <f>IF(ABS(C404-$H404)&lt;=1E-9,1,0)</f>
        <v>0</v>
      </c>
      <c r="P404" s="9">
        <f>IF(ABS(D404-$H404)&lt;=1E-9,1,0)</f>
        <v>0</v>
      </c>
      <c r="Q404" s="9">
        <f>IF(ABS(E404-$H404)&lt;=1E-9,1,0)</f>
        <v>0</v>
      </c>
      <c r="R404" s="9">
        <f>IF(ABS(F404-$H404)&lt;=1E-9,1,0)</f>
        <v>0</v>
      </c>
      <c r="S404" s="9">
        <f>IF(ABS(G404-$H404)&lt;=1E-9,1,0)</f>
        <v>1</v>
      </c>
      <c r="T404" s="6" t="s">
        <v>26</v>
      </c>
    </row>
    <row r="405" spans="1:20">
      <c r="A405" s="6" t="s">
        <v>462</v>
      </c>
      <c r="B405" s="3">
        <v>25</v>
      </c>
      <c r="C405" s="7">
        <v>128</v>
      </c>
      <c r="D405" s="7">
        <v>132</v>
      </c>
      <c r="E405" s="7">
        <v>126</v>
      </c>
      <c r="F405" s="7">
        <v>130</v>
      </c>
      <c r="G405" s="7">
        <v>113</v>
      </c>
      <c r="H405" s="7">
        <f>MIN(C405:G405)</f>
        <v>113.0</v>
      </c>
      <c r="I405" s="6" t="s">
        <v>26</v>
      </c>
      <c r="J405" s="8">
        <f>IF($H405=0,"",(C405-$H405)/$H405)</f>
        <v>0.13274336283185842</v>
      </c>
      <c r="K405" s="8">
        <f>IF($H405=0,"",(D405-$H405)/$H405)</f>
        <v>0.168141592920354</v>
      </c>
      <c r="L405" s="8">
        <f>IF($H405=0,"",(E405-$H405)/$H405)</f>
        <v>0.11504424778761062</v>
      </c>
      <c r="M405" s="8">
        <f>IF($H405=0,"",(F405-$H405)/$H405)</f>
        <v>0.1504424778761062</v>
      </c>
      <c r="N405" s="8">
        <f>IF($H405=0,"",(G405-$H405)/$H405)</f>
        <v>0.0</v>
      </c>
      <c r="O405" s="9">
        <f>IF(ABS(C405-$H405)&lt;=1E-9,1,0)</f>
        <v>0</v>
      </c>
      <c r="P405" s="9">
        <f>IF(ABS(D405-$H405)&lt;=1E-9,1,0)</f>
        <v>0</v>
      </c>
      <c r="Q405" s="9">
        <f>IF(ABS(E405-$H405)&lt;=1E-9,1,0)</f>
        <v>0</v>
      </c>
      <c r="R405" s="9">
        <f>IF(ABS(F405-$H405)&lt;=1E-9,1,0)</f>
        <v>0</v>
      </c>
      <c r="S405" s="9">
        <f>IF(ABS(G405-$H405)&lt;=1E-9,1,0)</f>
        <v>1</v>
      </c>
      <c r="T405" s="6" t="s">
        <v>26</v>
      </c>
    </row>
    <row r="406" spans="1:20">
      <c r="A406" s="6" t="s">
        <v>463</v>
      </c>
      <c r="B406" s="3">
        <v>25</v>
      </c>
      <c r="C406" s="7">
        <v>8</v>
      </c>
      <c r="D406" s="7">
        <v>8</v>
      </c>
      <c r="E406" s="7">
        <v>7</v>
      </c>
      <c r="F406" s="7">
        <v>10</v>
      </c>
      <c r="G406" s="7">
        <v>7</v>
      </c>
      <c r="H406" s="7">
        <f>MIN(C406:G406)</f>
        <v>7.0</v>
      </c>
      <c r="I406" s="6" t="s">
        <v>319</v>
      </c>
      <c r="J406" s="8">
        <f>IF($H406=0,"",(C406-$H406)/$H406)</f>
        <v>0.14285714285714285</v>
      </c>
      <c r="K406" s="8">
        <f>IF($H406=0,"",(D406-$H406)/$H406)</f>
        <v>0.14285714285714285</v>
      </c>
      <c r="L406" s="8">
        <f>IF($H406=0,"",(E406-$H406)/$H406)</f>
        <v>0.0</v>
      </c>
      <c r="M406" s="8">
        <f>IF($H406=0,"",(F406-$H406)/$H406)</f>
        <v>0.42857142857142855</v>
      </c>
      <c r="N406" s="8">
        <f>IF($H406=0,"",(G406-$H406)/$H406)</f>
        <v>0.0</v>
      </c>
      <c r="O406" s="9">
        <f>IF(ABS(C406-$H406)&lt;=1E-9,1,0)</f>
        <v>0</v>
      </c>
      <c r="P406" s="9">
        <f>IF(ABS(D406-$H406)&lt;=1E-9,1,0)</f>
        <v>0</v>
      </c>
      <c r="Q406" s="9">
        <f>IF(ABS(E406-$H406)&lt;=1E-9,1,0)</f>
        <v>1</v>
      </c>
      <c r="R406" s="9">
        <f>IF(ABS(F406-$H406)&lt;=1E-9,1,0)</f>
        <v>0</v>
      </c>
      <c r="S406" s="9">
        <f>IF(ABS(G406-$H406)&lt;=1E-9,1,0)</f>
        <v>1</v>
      </c>
      <c r="T406" s="6" t="s">
        <v>51</v>
      </c>
    </row>
    <row r="407" spans="1:20">
      <c r="A407" s="6" t="s">
        <v>464</v>
      </c>
      <c r="B407" s="3">
        <v>25</v>
      </c>
      <c r="C407" s="7">
        <v>6</v>
      </c>
      <c r="D407" s="7">
        <v>7</v>
      </c>
      <c r="E407" s="7">
        <v>7</v>
      </c>
      <c r="F407" s="7">
        <v>7</v>
      </c>
      <c r="G407" s="7">
        <v>7</v>
      </c>
      <c r="H407" s="7">
        <f>MIN(C407:G407)</f>
        <v>6.0</v>
      </c>
      <c r="I407" s="6" t="s">
        <v>16</v>
      </c>
      <c r="J407" s="8">
        <f>IF($H407=0,"",(C407-$H407)/$H407)</f>
        <v>0.0</v>
      </c>
      <c r="K407" s="8">
        <f>IF($H407=0,"",(D407-$H407)/$H407)</f>
        <v>0.16666666666666663</v>
      </c>
      <c r="L407" s="8">
        <f>IF($H407=0,"",(E407-$H407)/$H407)</f>
        <v>0.16666666666666663</v>
      </c>
      <c r="M407" s="8">
        <f>IF($H407=0,"",(F407-$H407)/$H407)</f>
        <v>0.16666666666666663</v>
      </c>
      <c r="N407" s="8">
        <f>IF($H407=0,"",(G407-$H407)/$H407)</f>
        <v>0.16666666666666663</v>
      </c>
      <c r="O407" s="9">
        <f>IF(ABS(C407-$H407)&lt;=1E-9,1,0)</f>
        <v>1</v>
      </c>
      <c r="P407" s="9">
        <f>IF(ABS(D407-$H407)&lt;=1E-9,1,0)</f>
        <v>0</v>
      </c>
      <c r="Q407" s="9">
        <f>IF(ABS(E407-$H407)&lt;=1E-9,1,0)</f>
        <v>0</v>
      </c>
      <c r="R407" s="9">
        <f>IF(ABS(F407-$H407)&lt;=1E-9,1,0)</f>
        <v>0</v>
      </c>
      <c r="S407" s="9">
        <f>IF(ABS(G407-$H407)&lt;=1E-9,1,0)</f>
        <v>0</v>
      </c>
      <c r="T407" s="6" t="s">
        <v>16</v>
      </c>
    </row>
    <row r="408" spans="1:20">
      <c r="A408" s="6" t="s">
        <v>465</v>
      </c>
      <c r="B408" s="3">
        <v>25</v>
      </c>
      <c r="C408" s="7">
        <v>134</v>
      </c>
      <c r="D408" s="7">
        <v>134</v>
      </c>
      <c r="E408" s="7">
        <v>143</v>
      </c>
      <c r="F408" s="7">
        <v>144</v>
      </c>
      <c r="G408" s="7">
        <v>118</v>
      </c>
      <c r="H408" s="7">
        <f>MIN(C408:G408)</f>
        <v>118.0</v>
      </c>
      <c r="I408" s="6" t="s">
        <v>26</v>
      </c>
      <c r="J408" s="8">
        <f>IF($H408=0,"",(C408-$H408)/$H408)</f>
        <v>0.13559322033898305</v>
      </c>
      <c r="K408" s="8">
        <f>IF($H408=0,"",(D408-$H408)/$H408)</f>
        <v>0.13559322033898305</v>
      </c>
      <c r="L408" s="8">
        <f>IF($H408=0,"",(E408-$H408)/$H408)</f>
        <v>0.211864406779661</v>
      </c>
      <c r="M408" s="8">
        <f>IF($H408=0,"",(F408-$H408)/$H408)</f>
        <v>0.22033898305084743</v>
      </c>
      <c r="N408" s="8">
        <f>IF($H408=0,"",(G408-$H408)/$H408)</f>
        <v>0.0</v>
      </c>
      <c r="O408" s="9">
        <f>IF(ABS(C408-$H408)&lt;=1E-9,1,0)</f>
        <v>0</v>
      </c>
      <c r="P408" s="9">
        <f>IF(ABS(D408-$H408)&lt;=1E-9,1,0)</f>
        <v>0</v>
      </c>
      <c r="Q408" s="9">
        <f>IF(ABS(E408-$H408)&lt;=1E-9,1,0)</f>
        <v>0</v>
      </c>
      <c r="R408" s="9">
        <f>IF(ABS(F408-$H408)&lt;=1E-9,1,0)</f>
        <v>0</v>
      </c>
      <c r="S408" s="9">
        <f>IF(ABS(G408-$H408)&lt;=1E-9,1,0)</f>
        <v>1</v>
      </c>
      <c r="T408" s="6" t="s">
        <v>26</v>
      </c>
    </row>
    <row r="409" spans="1:20">
      <c r="A409" s="6" t="s">
        <v>466</v>
      </c>
      <c r="B409" s="3">
        <v>25</v>
      </c>
      <c r="C409" s="7">
        <v>134</v>
      </c>
      <c r="D409" s="7">
        <v>134</v>
      </c>
      <c r="E409" s="7">
        <v>136</v>
      </c>
      <c r="F409" s="7">
        <v>130</v>
      </c>
      <c r="G409" s="7">
        <v>115</v>
      </c>
      <c r="H409" s="7">
        <f>MIN(C409:G409)</f>
        <v>115.0</v>
      </c>
      <c r="I409" s="6" t="s">
        <v>26</v>
      </c>
      <c r="J409" s="8">
        <f>IF($H409=0,"",(C409-$H409)/$H409)</f>
        <v>0.16521739130434782</v>
      </c>
      <c r="K409" s="8">
        <f>IF($H409=0,"",(D409-$H409)/$H409)</f>
        <v>0.16521739130434782</v>
      </c>
      <c r="L409" s="8">
        <f>IF($H409=0,"",(E409-$H409)/$H409)</f>
        <v>0.1826086956521739</v>
      </c>
      <c r="M409" s="8">
        <f>IF($H409=0,"",(F409-$H409)/$H409)</f>
        <v>0.13043478260869565</v>
      </c>
      <c r="N409" s="8">
        <f>IF($H409=0,"",(G409-$H409)/$H409)</f>
        <v>0.0</v>
      </c>
      <c r="O409" s="9">
        <f>IF(ABS(C409-$H409)&lt;=1E-9,1,0)</f>
        <v>0</v>
      </c>
      <c r="P409" s="9">
        <f>IF(ABS(D409-$H409)&lt;=1E-9,1,0)</f>
        <v>0</v>
      </c>
      <c r="Q409" s="9">
        <f>IF(ABS(E409-$H409)&lt;=1E-9,1,0)</f>
        <v>0</v>
      </c>
      <c r="R409" s="9">
        <f>IF(ABS(F409-$H409)&lt;=1E-9,1,0)</f>
        <v>0</v>
      </c>
      <c r="S409" s="9">
        <f>IF(ABS(G409-$H409)&lt;=1E-9,1,0)</f>
        <v>1</v>
      </c>
      <c r="T409" s="6" t="s">
        <v>26</v>
      </c>
    </row>
    <row r="410" spans="1:20">
      <c r="A410" s="6" t="s">
        <v>467</v>
      </c>
      <c r="B410" s="3">
        <v>25</v>
      </c>
      <c r="C410" s="7">
        <v>10</v>
      </c>
      <c r="D410" s="7">
        <v>11</v>
      </c>
      <c r="E410" s="7">
        <v>11</v>
      </c>
      <c r="F410" s="7">
        <v>11</v>
      </c>
      <c r="G410" s="7">
        <v>10</v>
      </c>
      <c r="H410" s="7">
        <f>MIN(C410:G410)</f>
        <v>10.0</v>
      </c>
      <c r="I410" s="6" t="s">
        <v>119</v>
      </c>
      <c r="J410" s="8">
        <f>IF($H410=0,"",(C410-$H410)/$H410)</f>
        <v>0.0</v>
      </c>
      <c r="K410" s="8">
        <f>IF($H410=0,"",(D410-$H410)/$H410)</f>
        <v>0.1</v>
      </c>
      <c r="L410" s="8">
        <f>IF($H410=0,"",(E410-$H410)/$H410)</f>
        <v>0.1</v>
      </c>
      <c r="M410" s="8">
        <f>IF($H410=0,"",(F410-$H410)/$H410)</f>
        <v>0.1</v>
      </c>
      <c r="N410" s="8">
        <f>IF($H410=0,"",(G410-$H410)/$H410)</f>
        <v>0.0</v>
      </c>
      <c r="O410" s="9">
        <f>IF(ABS(C410-$H410)&lt;=1E-9,1,0)</f>
        <v>1</v>
      </c>
      <c r="P410" s="9">
        <f>IF(ABS(D410-$H410)&lt;=1E-9,1,0)</f>
        <v>0</v>
      </c>
      <c r="Q410" s="9">
        <f>IF(ABS(E410-$H410)&lt;=1E-9,1,0)</f>
        <v>0</v>
      </c>
      <c r="R410" s="9">
        <f>IF(ABS(F410-$H410)&lt;=1E-9,1,0)</f>
        <v>0</v>
      </c>
      <c r="S410" s="9">
        <f>IF(ABS(G410-$H410)&lt;=1E-9,1,0)</f>
        <v>1</v>
      </c>
      <c r="T410" s="6" t="s">
        <v>51</v>
      </c>
    </row>
    <row r="411" spans="1:20">
      <c r="A411" s="6" t="s">
        <v>468</v>
      </c>
      <c r="B411" s="3">
        <v>25</v>
      </c>
      <c r="C411" s="7">
        <v>10</v>
      </c>
      <c r="D411" s="7">
        <v>10</v>
      </c>
      <c r="E411" s="7">
        <v>10</v>
      </c>
      <c r="F411" s="7">
        <v>10</v>
      </c>
      <c r="G411" s="7">
        <v>9</v>
      </c>
      <c r="H411" s="7">
        <f>MIN(C411:G411)</f>
        <v>9.0</v>
      </c>
      <c r="I411" s="6" t="s">
        <v>26</v>
      </c>
      <c r="J411" s="8">
        <f>IF($H411=0,"",(C411-$H411)/$H411)</f>
        <v>0.1111111111111111</v>
      </c>
      <c r="K411" s="8">
        <f>IF($H411=0,"",(D411-$H411)/$H411)</f>
        <v>0.1111111111111111</v>
      </c>
      <c r="L411" s="8">
        <f>IF($H411=0,"",(E411-$H411)/$H411)</f>
        <v>0.1111111111111111</v>
      </c>
      <c r="M411" s="8">
        <f>IF($H411=0,"",(F411-$H411)/$H411)</f>
        <v>0.1111111111111111</v>
      </c>
      <c r="N411" s="8">
        <f>IF($H411=0,"",(G411-$H411)/$H411)</f>
        <v>0.0</v>
      </c>
      <c r="O411" s="9">
        <f>IF(ABS(C411-$H411)&lt;=1E-9,1,0)</f>
        <v>0</v>
      </c>
      <c r="P411" s="9">
        <f>IF(ABS(D411-$H411)&lt;=1E-9,1,0)</f>
        <v>0</v>
      </c>
      <c r="Q411" s="9">
        <f>IF(ABS(E411-$H411)&lt;=1E-9,1,0)</f>
        <v>0</v>
      </c>
      <c r="R411" s="9">
        <f>IF(ABS(F411-$H411)&lt;=1E-9,1,0)</f>
        <v>0</v>
      </c>
      <c r="S411" s="9">
        <f>IF(ABS(G411-$H411)&lt;=1E-9,1,0)</f>
        <v>1</v>
      </c>
      <c r="T411" s="6" t="s">
        <v>26</v>
      </c>
    </row>
    <row r="412" spans="1:20">
      <c r="A412" s="6" t="s">
        <v>469</v>
      </c>
      <c r="B412" s="3">
        <v>25</v>
      </c>
      <c r="C412" s="7">
        <v>198</v>
      </c>
      <c r="D412" s="7">
        <v>198</v>
      </c>
      <c r="E412" s="7">
        <v>179</v>
      </c>
      <c r="F412" s="7">
        <v>168</v>
      </c>
      <c r="G412" s="7">
        <v>149</v>
      </c>
      <c r="H412" s="7">
        <f>MIN(C412:G412)</f>
        <v>149.0</v>
      </c>
      <c r="I412" s="6" t="s">
        <v>26</v>
      </c>
      <c r="J412" s="8">
        <f>IF($H412=0,"",(C412-$H412)/$H412)</f>
        <v>0.3288590604026846</v>
      </c>
      <c r="K412" s="8">
        <f>IF($H412=0,"",(D412-$H412)/$H412)</f>
        <v>0.3288590604026846</v>
      </c>
      <c r="L412" s="8">
        <f>IF($H412=0,"",(E412-$H412)/$H412)</f>
        <v>0.20134228187919462</v>
      </c>
      <c r="M412" s="8">
        <f>IF($H412=0,"",(F412-$H412)/$H412)</f>
        <v>0.12751677852348994</v>
      </c>
      <c r="N412" s="8">
        <f>IF($H412=0,"",(G412-$H412)/$H412)</f>
        <v>0.0</v>
      </c>
      <c r="O412" s="9">
        <f>IF(ABS(C412-$H412)&lt;=1E-9,1,0)</f>
        <v>0</v>
      </c>
      <c r="P412" s="9">
        <f>IF(ABS(D412-$H412)&lt;=1E-9,1,0)</f>
        <v>0</v>
      </c>
      <c r="Q412" s="9">
        <f>IF(ABS(E412-$H412)&lt;=1E-9,1,0)</f>
        <v>0</v>
      </c>
      <c r="R412" s="9">
        <f>IF(ABS(F412-$H412)&lt;=1E-9,1,0)</f>
        <v>0</v>
      </c>
      <c r="S412" s="9">
        <f>IF(ABS(G412-$H412)&lt;=1E-9,1,0)</f>
        <v>1</v>
      </c>
      <c r="T412" s="6" t="s">
        <v>26</v>
      </c>
    </row>
    <row r="413" spans="1:20">
      <c r="A413" s="6" t="s">
        <v>470</v>
      </c>
      <c r="B413" s="3">
        <v>25</v>
      </c>
      <c r="C413" s="7">
        <v>135</v>
      </c>
      <c r="D413" s="7">
        <v>135</v>
      </c>
      <c r="E413" s="7">
        <v>135</v>
      </c>
      <c r="F413" s="7">
        <v>152</v>
      </c>
      <c r="G413" s="7">
        <v>131</v>
      </c>
      <c r="H413" s="7">
        <f>MIN(C413:G413)</f>
        <v>131.0</v>
      </c>
      <c r="I413" s="6" t="s">
        <v>26</v>
      </c>
      <c r="J413" s="8">
        <f>IF($H413=0,"",(C413-$H413)/$H413)</f>
        <v>0.030534351145038167</v>
      </c>
      <c r="K413" s="8">
        <f>IF($H413=0,"",(D413-$H413)/$H413)</f>
        <v>0.030534351145038167</v>
      </c>
      <c r="L413" s="8">
        <f>IF($H413=0,"",(E413-$H413)/$H413)</f>
        <v>0.030534351145038167</v>
      </c>
      <c r="M413" s="8">
        <f>IF($H413=0,"",(F413-$H413)/$H413)</f>
        <v>0.16030534351145037</v>
      </c>
      <c r="N413" s="8">
        <f>IF($H413=0,"",(G413-$H413)/$H413)</f>
        <v>0.0</v>
      </c>
      <c r="O413" s="9">
        <f>IF(ABS(C413-$H413)&lt;=1E-9,1,0)</f>
        <v>0</v>
      </c>
      <c r="P413" s="9">
        <f>IF(ABS(D413-$H413)&lt;=1E-9,1,0)</f>
        <v>0</v>
      </c>
      <c r="Q413" s="9">
        <f>IF(ABS(E413-$H413)&lt;=1E-9,1,0)</f>
        <v>0</v>
      </c>
      <c r="R413" s="9">
        <f>IF(ABS(F413-$H413)&lt;=1E-9,1,0)</f>
        <v>0</v>
      </c>
      <c r="S413" s="9">
        <f>IF(ABS(G413-$H413)&lt;=1E-9,1,0)</f>
        <v>1</v>
      </c>
      <c r="T413" s="6" t="s">
        <v>26</v>
      </c>
    </row>
    <row r="414" spans="1:20">
      <c r="A414" s="6" t="s">
        <v>471</v>
      </c>
      <c r="B414" s="3">
        <v>25</v>
      </c>
      <c r="C414" s="7">
        <v>8</v>
      </c>
      <c r="D414" s="7">
        <v>9</v>
      </c>
      <c r="E414" s="7">
        <v>8</v>
      </c>
      <c r="F414" s="7">
        <v>10</v>
      </c>
      <c r="G414" s="7">
        <v>8</v>
      </c>
      <c r="H414" s="7">
        <f>MIN(C414:G414)</f>
        <v>8.0</v>
      </c>
      <c r="I414" s="6" t="s">
        <v>127</v>
      </c>
      <c r="J414" s="8">
        <f>IF($H414=0,"",(C414-$H414)/$H414)</f>
        <v>0.0</v>
      </c>
      <c r="K414" s="8">
        <f>IF($H414=0,"",(D414-$H414)/$H414)</f>
        <v>0.125</v>
      </c>
      <c r="L414" s="8">
        <f>IF($H414=0,"",(E414-$H414)/$H414)</f>
        <v>0.0</v>
      </c>
      <c r="M414" s="8">
        <f>IF($H414=0,"",(F414-$H414)/$H414)</f>
        <v>0.25</v>
      </c>
      <c r="N414" s="8">
        <f>IF($H414=0,"",(G414-$H414)/$H414)</f>
        <v>0.0</v>
      </c>
      <c r="O414" s="9">
        <f>IF(ABS(C414-$H414)&lt;=1E-9,1,0)</f>
        <v>1</v>
      </c>
      <c r="P414" s="9">
        <f>IF(ABS(D414-$H414)&lt;=1E-9,1,0)</f>
        <v>0</v>
      </c>
      <c r="Q414" s="9">
        <f>IF(ABS(E414-$H414)&lt;=1E-9,1,0)</f>
        <v>1</v>
      </c>
      <c r="R414" s="9">
        <f>IF(ABS(F414-$H414)&lt;=1E-9,1,0)</f>
        <v>0</v>
      </c>
      <c r="S414" s="9">
        <f>IF(ABS(G414-$H414)&lt;=1E-9,1,0)</f>
        <v>1</v>
      </c>
      <c r="T414" s="6" t="s">
        <v>51</v>
      </c>
    </row>
    <row r="415" spans="1:20">
      <c r="A415" s="6" t="s">
        <v>472</v>
      </c>
      <c r="B415" s="3">
        <v>25</v>
      </c>
      <c r="C415" s="7">
        <v>8</v>
      </c>
      <c r="D415" s="7">
        <v>8</v>
      </c>
      <c r="E415" s="7">
        <v>8</v>
      </c>
      <c r="F415" s="7">
        <v>10</v>
      </c>
      <c r="G415" s="7">
        <v>7</v>
      </c>
      <c r="H415" s="7">
        <f>MIN(C415:G415)</f>
        <v>7.0</v>
      </c>
      <c r="I415" s="6" t="s">
        <v>26</v>
      </c>
      <c r="J415" s="8">
        <f>IF($H415=0,"",(C415-$H415)/$H415)</f>
        <v>0.14285714285714285</v>
      </c>
      <c r="K415" s="8">
        <f>IF($H415=0,"",(D415-$H415)/$H415)</f>
        <v>0.14285714285714285</v>
      </c>
      <c r="L415" s="8">
        <f>IF($H415=0,"",(E415-$H415)/$H415)</f>
        <v>0.14285714285714285</v>
      </c>
      <c r="M415" s="8">
        <f>IF($H415=0,"",(F415-$H415)/$H415)</f>
        <v>0.42857142857142855</v>
      </c>
      <c r="N415" s="8">
        <f>IF($H415=0,"",(G415-$H415)/$H415)</f>
        <v>0.0</v>
      </c>
      <c r="O415" s="9">
        <f>IF(ABS(C415-$H415)&lt;=1E-9,1,0)</f>
        <v>0</v>
      </c>
      <c r="P415" s="9">
        <f>IF(ABS(D415-$H415)&lt;=1E-9,1,0)</f>
        <v>0</v>
      </c>
      <c r="Q415" s="9">
        <f>IF(ABS(E415-$H415)&lt;=1E-9,1,0)</f>
        <v>0</v>
      </c>
      <c r="R415" s="9">
        <f>IF(ABS(F415-$H415)&lt;=1E-9,1,0)</f>
        <v>0</v>
      </c>
      <c r="S415" s="9">
        <f>IF(ABS(G415-$H415)&lt;=1E-9,1,0)</f>
        <v>1</v>
      </c>
      <c r="T415" s="6" t="s">
        <v>26</v>
      </c>
    </row>
    <row r="416" spans="1:20">
      <c r="A416" s="6" t="s">
        <v>473</v>
      </c>
      <c r="B416" s="3">
        <v>25</v>
      </c>
      <c r="C416" s="7">
        <v>154</v>
      </c>
      <c r="D416" s="7">
        <v>164</v>
      </c>
      <c r="E416" s="7">
        <v>160</v>
      </c>
      <c r="F416" s="7">
        <v>142</v>
      </c>
      <c r="G416" s="7">
        <v>135</v>
      </c>
      <c r="H416" s="7">
        <f>MIN(C416:G416)</f>
        <v>135.0</v>
      </c>
      <c r="I416" s="6" t="s">
        <v>26</v>
      </c>
      <c r="J416" s="8">
        <f>IF($H416=0,"",(C416-$H416)/$H416)</f>
        <v>0.14074074074074075</v>
      </c>
      <c r="K416" s="8">
        <f>IF($H416=0,"",(D416-$H416)/$H416)</f>
        <v>0.21481481481481482</v>
      </c>
      <c r="L416" s="8">
        <f>IF($H416=0,"",(E416-$H416)/$H416)</f>
        <v>0.1851851851851852</v>
      </c>
      <c r="M416" s="8">
        <f>IF($H416=0,"",(F416-$H416)/$H416)</f>
        <v>0.05185185185185185</v>
      </c>
      <c r="N416" s="8">
        <f>IF($H416=0,"",(G416-$H416)/$H416)</f>
        <v>0.0</v>
      </c>
      <c r="O416" s="9">
        <f>IF(ABS(C416-$H416)&lt;=1E-9,1,0)</f>
        <v>0</v>
      </c>
      <c r="P416" s="9">
        <f>IF(ABS(D416-$H416)&lt;=1E-9,1,0)</f>
        <v>0</v>
      </c>
      <c r="Q416" s="9">
        <f>IF(ABS(E416-$H416)&lt;=1E-9,1,0)</f>
        <v>0</v>
      </c>
      <c r="R416" s="9">
        <f>IF(ABS(F416-$H416)&lt;=1E-9,1,0)</f>
        <v>0</v>
      </c>
      <c r="S416" s="9">
        <f>IF(ABS(G416-$H416)&lt;=1E-9,1,0)</f>
        <v>1</v>
      </c>
      <c r="T416" s="6" t="s">
        <v>26</v>
      </c>
    </row>
    <row r="417" spans="1:20">
      <c r="A417" s="6" t="s">
        <v>474</v>
      </c>
      <c r="B417" s="3">
        <v>25</v>
      </c>
      <c r="C417" s="7">
        <v>141</v>
      </c>
      <c r="D417" s="7">
        <v>144</v>
      </c>
      <c r="E417" s="7">
        <v>142</v>
      </c>
      <c r="F417" s="7">
        <v>130</v>
      </c>
      <c r="G417" s="7">
        <v>122</v>
      </c>
      <c r="H417" s="7">
        <f>MIN(C417:G417)</f>
        <v>122.0</v>
      </c>
      <c r="I417" s="6" t="s">
        <v>26</v>
      </c>
      <c r="J417" s="8">
        <f>IF($H417=0,"",(C417-$H417)/$H417)</f>
        <v>0.1557377049180328</v>
      </c>
      <c r="K417" s="8">
        <f>IF($H417=0,"",(D417-$H417)/$H417)</f>
        <v>0.18032786885245902</v>
      </c>
      <c r="L417" s="8">
        <f>IF($H417=0,"",(E417-$H417)/$H417)</f>
        <v>0.16393442622950818</v>
      </c>
      <c r="M417" s="8">
        <f>IF($H417=0,"",(F417-$H417)/$H417)</f>
        <v>0.06557377049180328</v>
      </c>
      <c r="N417" s="8">
        <f>IF($H417=0,"",(G417-$H417)/$H417)</f>
        <v>0.0</v>
      </c>
      <c r="O417" s="9">
        <f>IF(ABS(C417-$H417)&lt;=1E-9,1,0)</f>
        <v>0</v>
      </c>
      <c r="P417" s="9">
        <f>IF(ABS(D417-$H417)&lt;=1E-9,1,0)</f>
        <v>0</v>
      </c>
      <c r="Q417" s="9">
        <f>IF(ABS(E417-$H417)&lt;=1E-9,1,0)</f>
        <v>0</v>
      </c>
      <c r="R417" s="9">
        <f>IF(ABS(F417-$H417)&lt;=1E-9,1,0)</f>
        <v>0</v>
      </c>
      <c r="S417" s="9">
        <f>IF(ABS(G417-$H417)&lt;=1E-9,1,0)</f>
        <v>1</v>
      </c>
      <c r="T417" s="6" t="s">
        <v>26</v>
      </c>
    </row>
    <row r="418" spans="1:20">
      <c r="A418" s="6" t="s">
        <v>475</v>
      </c>
      <c r="B418" s="3">
        <v>50</v>
      </c>
      <c r="C418" s="7">
        <v>13</v>
      </c>
      <c r="D418" s="7">
        <v>13</v>
      </c>
      <c r="E418" s="7">
        <v>13</v>
      </c>
      <c r="F418" s="7">
        <v>15</v>
      </c>
      <c r="G418" s="7">
        <v>12</v>
      </c>
      <c r="H418" s="7">
        <f>MIN(C418:G418)</f>
        <v>12.0</v>
      </c>
      <c r="I418" s="6" t="s">
        <v>26</v>
      </c>
      <c r="J418" s="8">
        <f>IF($H418=0,"",(C418-$H418)/$H418)</f>
        <v>0.08333333333333331</v>
      </c>
      <c r="K418" s="8">
        <f>IF($H418=0,"",(D418-$H418)/$H418)</f>
        <v>0.08333333333333331</v>
      </c>
      <c r="L418" s="8">
        <f>IF($H418=0,"",(E418-$H418)/$H418)</f>
        <v>0.08333333333333331</v>
      </c>
      <c r="M418" s="8">
        <f>IF($H418=0,"",(F418-$H418)/$H418)</f>
        <v>0.25</v>
      </c>
      <c r="N418" s="8">
        <f>IF($H418=0,"",(G418-$H418)/$H418)</f>
        <v>0.0</v>
      </c>
      <c r="O418" s="9">
        <f>IF(ABS(C418-$H418)&lt;=1E-9,1,0)</f>
        <v>0</v>
      </c>
      <c r="P418" s="9">
        <f>IF(ABS(D418-$H418)&lt;=1E-9,1,0)</f>
        <v>0</v>
      </c>
      <c r="Q418" s="9">
        <f>IF(ABS(E418-$H418)&lt;=1E-9,1,0)</f>
        <v>0</v>
      </c>
      <c r="R418" s="9">
        <f>IF(ABS(F418-$H418)&lt;=1E-9,1,0)</f>
        <v>0</v>
      </c>
      <c r="S418" s="9">
        <f>IF(ABS(G418-$H418)&lt;=1E-9,1,0)</f>
        <v>1</v>
      </c>
      <c r="T418" s="6" t="s">
        <v>26</v>
      </c>
    </row>
    <row r="419" spans="1:20">
      <c r="A419" s="6" t="s">
        <v>476</v>
      </c>
      <c r="B419" s="3">
        <v>50</v>
      </c>
      <c r="C419" s="7">
        <v>14</v>
      </c>
      <c r="D419" s="7">
        <v>14</v>
      </c>
      <c r="E419" s="7">
        <v>14</v>
      </c>
      <c r="F419" s="7">
        <v>14</v>
      </c>
      <c r="G419" s="7">
        <v>13</v>
      </c>
      <c r="H419" s="7">
        <f>MIN(C419:G419)</f>
        <v>13.0</v>
      </c>
      <c r="I419" s="6" t="s">
        <v>26</v>
      </c>
      <c r="J419" s="8">
        <f>IF($H419=0,"",(C419-$H419)/$H419)</f>
        <v>0.07692307692307693</v>
      </c>
      <c r="K419" s="8">
        <f>IF($H419=0,"",(D419-$H419)/$H419)</f>
        <v>0.07692307692307693</v>
      </c>
      <c r="L419" s="8">
        <f>IF($H419=0,"",(E419-$H419)/$H419)</f>
        <v>0.07692307692307693</v>
      </c>
      <c r="M419" s="8">
        <f>IF($H419=0,"",(F419-$H419)/$H419)</f>
        <v>0.07692307692307693</v>
      </c>
      <c r="N419" s="8">
        <f>IF($H419=0,"",(G419-$H419)/$H419)</f>
        <v>0.0</v>
      </c>
      <c r="O419" s="9">
        <f>IF(ABS(C419-$H419)&lt;=1E-9,1,0)</f>
        <v>0</v>
      </c>
      <c r="P419" s="9">
        <f>IF(ABS(D419-$H419)&lt;=1E-9,1,0)</f>
        <v>0</v>
      </c>
      <c r="Q419" s="9">
        <f>IF(ABS(E419-$H419)&lt;=1E-9,1,0)</f>
        <v>0</v>
      </c>
      <c r="R419" s="9">
        <f>IF(ABS(F419-$H419)&lt;=1E-9,1,0)</f>
        <v>0</v>
      </c>
      <c r="S419" s="9">
        <f>IF(ABS(G419-$H419)&lt;=1E-9,1,0)</f>
        <v>1</v>
      </c>
      <c r="T419" s="6" t="s">
        <v>26</v>
      </c>
    </row>
    <row r="420" spans="1:20">
      <c r="A420" s="6" t="s">
        <v>477</v>
      </c>
      <c r="B420" s="3">
        <v>50</v>
      </c>
      <c r="C420" s="7">
        <v>255</v>
      </c>
      <c r="D420" s="7">
        <v>251</v>
      </c>
      <c r="E420" s="7">
        <v>252</v>
      </c>
      <c r="F420" s="7">
        <v>240</v>
      </c>
      <c r="G420" s="7">
        <v>195</v>
      </c>
      <c r="H420" s="7">
        <f>MIN(C420:G420)</f>
        <v>195.0</v>
      </c>
      <c r="I420" s="6" t="s">
        <v>26</v>
      </c>
      <c r="J420" s="8">
        <f>IF($H420=0,"",(C420-$H420)/$H420)</f>
        <v>0.3076923076923077</v>
      </c>
      <c r="K420" s="8">
        <f>IF($H420=0,"",(D420-$H420)/$H420)</f>
        <v>0.28717948717948716</v>
      </c>
      <c r="L420" s="8">
        <f>IF($H420=0,"",(E420-$H420)/$H420)</f>
        <v>0.2923076923076923</v>
      </c>
      <c r="M420" s="8">
        <f>IF($H420=0,"",(F420-$H420)/$H420)</f>
        <v>0.23076923076923075</v>
      </c>
      <c r="N420" s="8">
        <f>IF($H420=0,"",(G420-$H420)/$H420)</f>
        <v>0.0</v>
      </c>
      <c r="O420" s="9">
        <f>IF(ABS(C420-$H420)&lt;=1E-9,1,0)</f>
        <v>0</v>
      </c>
      <c r="P420" s="9">
        <f>IF(ABS(D420-$H420)&lt;=1E-9,1,0)</f>
        <v>0</v>
      </c>
      <c r="Q420" s="9">
        <f>IF(ABS(E420-$H420)&lt;=1E-9,1,0)</f>
        <v>0</v>
      </c>
      <c r="R420" s="9">
        <f>IF(ABS(F420-$H420)&lt;=1E-9,1,0)</f>
        <v>0</v>
      </c>
      <c r="S420" s="9">
        <f>IF(ABS(G420-$H420)&lt;=1E-9,1,0)</f>
        <v>1</v>
      </c>
      <c r="T420" s="6" t="s">
        <v>26</v>
      </c>
    </row>
    <row r="421" spans="1:20">
      <c r="A421" s="6" t="s">
        <v>478</v>
      </c>
      <c r="B421" s="3">
        <v>50</v>
      </c>
      <c r="C421" s="7">
        <v>256</v>
      </c>
      <c r="D421" s="7">
        <v>268</v>
      </c>
      <c r="E421" s="7">
        <v>271</v>
      </c>
      <c r="F421" s="7">
        <v>238</v>
      </c>
      <c r="G421" s="7">
        <v>208</v>
      </c>
      <c r="H421" s="7">
        <f>MIN(C421:G421)</f>
        <v>208.0</v>
      </c>
      <c r="I421" s="6" t="s">
        <v>26</v>
      </c>
      <c r="J421" s="8">
        <f>IF($H421=0,"",(C421-$H421)/$H421)</f>
        <v>0.23076923076923075</v>
      </c>
      <c r="K421" s="8">
        <f>IF($H421=0,"",(D421-$H421)/$H421)</f>
        <v>0.28846153846153844</v>
      </c>
      <c r="L421" s="8">
        <f>IF($H421=0,"",(E421-$H421)/$H421)</f>
        <v>0.30288461538461536</v>
      </c>
      <c r="M421" s="8">
        <f>IF($H421=0,"",(F421-$H421)/$H421)</f>
        <v>0.14423076923076922</v>
      </c>
      <c r="N421" s="8">
        <f>IF($H421=0,"",(G421-$H421)/$H421)</f>
        <v>0.0</v>
      </c>
      <c r="O421" s="9">
        <f>IF(ABS(C421-$H421)&lt;=1E-9,1,0)</f>
        <v>0</v>
      </c>
      <c r="P421" s="9">
        <f>IF(ABS(D421-$H421)&lt;=1E-9,1,0)</f>
        <v>0</v>
      </c>
      <c r="Q421" s="9">
        <f>IF(ABS(E421-$H421)&lt;=1E-9,1,0)</f>
        <v>0</v>
      </c>
      <c r="R421" s="9">
        <f>IF(ABS(F421-$H421)&lt;=1E-9,1,0)</f>
        <v>0</v>
      </c>
      <c r="S421" s="9">
        <f>IF(ABS(G421-$H421)&lt;=1E-9,1,0)</f>
        <v>1</v>
      </c>
      <c r="T421" s="6" t="s">
        <v>26</v>
      </c>
    </row>
    <row r="422" spans="1:20">
      <c r="A422" s="6" t="s">
        <v>479</v>
      </c>
      <c r="B422" s="3">
        <v>50</v>
      </c>
      <c r="C422" s="7">
        <v>12</v>
      </c>
      <c r="D422" s="7">
        <v>12</v>
      </c>
      <c r="E422" s="7">
        <v>12</v>
      </c>
      <c r="F422" s="7">
        <v>13</v>
      </c>
      <c r="G422" s="7">
        <v>11</v>
      </c>
      <c r="H422" s="7">
        <f>MIN(C422:G422)</f>
        <v>11.0</v>
      </c>
      <c r="I422" s="6" t="s">
        <v>26</v>
      </c>
      <c r="J422" s="8">
        <f>IF($H422=0,"",(C422-$H422)/$H422)</f>
        <v>0.09090909090909091</v>
      </c>
      <c r="K422" s="8">
        <f>IF($H422=0,"",(D422-$H422)/$H422)</f>
        <v>0.09090909090909091</v>
      </c>
      <c r="L422" s="8">
        <f>IF($H422=0,"",(E422-$H422)/$H422)</f>
        <v>0.09090909090909091</v>
      </c>
      <c r="M422" s="8">
        <f>IF($H422=0,"",(F422-$H422)/$H422)</f>
        <v>0.18181818181818182</v>
      </c>
      <c r="N422" s="8">
        <f>IF($H422=0,"",(G422-$H422)/$H422)</f>
        <v>0.0</v>
      </c>
      <c r="O422" s="9">
        <f>IF(ABS(C422-$H422)&lt;=1E-9,1,0)</f>
        <v>0</v>
      </c>
      <c r="P422" s="9">
        <f>IF(ABS(D422-$H422)&lt;=1E-9,1,0)</f>
        <v>0</v>
      </c>
      <c r="Q422" s="9">
        <f>IF(ABS(E422-$H422)&lt;=1E-9,1,0)</f>
        <v>0</v>
      </c>
      <c r="R422" s="9">
        <f>IF(ABS(F422-$H422)&lt;=1E-9,1,0)</f>
        <v>0</v>
      </c>
      <c r="S422" s="9">
        <f>IF(ABS(G422-$H422)&lt;=1E-9,1,0)</f>
        <v>1</v>
      </c>
      <c r="T422" s="6" t="s">
        <v>26</v>
      </c>
    </row>
    <row r="423" spans="1:20">
      <c r="A423" s="6" t="s">
        <v>480</v>
      </c>
      <c r="B423" s="3">
        <v>50</v>
      </c>
      <c r="C423" s="7">
        <v>11</v>
      </c>
      <c r="D423" s="7">
        <v>11</v>
      </c>
      <c r="E423" s="7">
        <v>12</v>
      </c>
      <c r="F423" s="7">
        <v>14</v>
      </c>
      <c r="G423" s="7">
        <v>10</v>
      </c>
      <c r="H423" s="7">
        <f>MIN(C423:G423)</f>
        <v>10.0</v>
      </c>
      <c r="I423" s="6" t="s">
        <v>26</v>
      </c>
      <c r="J423" s="8">
        <f>IF($H423=0,"",(C423-$H423)/$H423)</f>
        <v>0.1</v>
      </c>
      <c r="K423" s="8">
        <f>IF($H423=0,"",(D423-$H423)/$H423)</f>
        <v>0.1</v>
      </c>
      <c r="L423" s="8">
        <f>IF($H423=0,"",(E423-$H423)/$H423)</f>
        <v>0.2</v>
      </c>
      <c r="M423" s="8">
        <f>IF($H423=0,"",(F423-$H423)/$H423)</f>
        <v>0.4</v>
      </c>
      <c r="N423" s="8">
        <f>IF($H423=0,"",(G423-$H423)/$H423)</f>
        <v>0.0</v>
      </c>
      <c r="O423" s="9">
        <f>IF(ABS(C423-$H423)&lt;=1E-9,1,0)</f>
        <v>0</v>
      </c>
      <c r="P423" s="9">
        <f>IF(ABS(D423-$H423)&lt;=1E-9,1,0)</f>
        <v>0</v>
      </c>
      <c r="Q423" s="9">
        <f>IF(ABS(E423-$H423)&lt;=1E-9,1,0)</f>
        <v>0</v>
      </c>
      <c r="R423" s="9">
        <f>IF(ABS(F423-$H423)&lt;=1E-9,1,0)</f>
        <v>0</v>
      </c>
      <c r="S423" s="9">
        <f>IF(ABS(G423-$H423)&lt;=1E-9,1,0)</f>
        <v>1</v>
      </c>
      <c r="T423" s="6" t="s">
        <v>26</v>
      </c>
    </row>
    <row r="424" spans="1:20">
      <c r="A424" s="6" t="s">
        <v>481</v>
      </c>
      <c r="B424" s="3">
        <v>50</v>
      </c>
      <c r="C424" s="7">
        <v>226</v>
      </c>
      <c r="D424" s="7">
        <v>223</v>
      </c>
      <c r="E424" s="7">
        <v>238</v>
      </c>
      <c r="F424" s="7">
        <v>216</v>
      </c>
      <c r="G424" s="7">
        <v>188</v>
      </c>
      <c r="H424" s="7">
        <f>MIN(C424:G424)</f>
        <v>188.0</v>
      </c>
      <c r="I424" s="6" t="s">
        <v>26</v>
      </c>
      <c r="J424" s="8">
        <f>IF($H424=0,"",(C424-$H424)/$H424)</f>
        <v>0.20212765957446804</v>
      </c>
      <c r="K424" s="8">
        <f>IF($H424=0,"",(D424-$H424)/$H424)</f>
        <v>0.18617021276595744</v>
      </c>
      <c r="L424" s="8">
        <f>IF($H424=0,"",(E424-$H424)/$H424)</f>
        <v>0.26595744680851063</v>
      </c>
      <c r="M424" s="8">
        <f>IF($H424=0,"",(F424-$H424)/$H424)</f>
        <v>0.14893617021276595</v>
      </c>
      <c r="N424" s="8">
        <f>IF($H424=0,"",(G424-$H424)/$H424)</f>
        <v>0.0</v>
      </c>
      <c r="O424" s="9">
        <f>IF(ABS(C424-$H424)&lt;=1E-9,1,0)</f>
        <v>0</v>
      </c>
      <c r="P424" s="9">
        <f>IF(ABS(D424-$H424)&lt;=1E-9,1,0)</f>
        <v>0</v>
      </c>
      <c r="Q424" s="9">
        <f>IF(ABS(E424-$H424)&lt;=1E-9,1,0)</f>
        <v>0</v>
      </c>
      <c r="R424" s="9">
        <f>IF(ABS(F424-$H424)&lt;=1E-9,1,0)</f>
        <v>0</v>
      </c>
      <c r="S424" s="9">
        <f>IF(ABS(G424-$H424)&lt;=1E-9,1,0)</f>
        <v>1</v>
      </c>
      <c r="T424" s="6" t="s">
        <v>26</v>
      </c>
    </row>
    <row r="425" spans="1:20">
      <c r="A425" s="6" t="s">
        <v>482</v>
      </c>
      <c r="B425" s="3">
        <v>50</v>
      </c>
      <c r="C425" s="7">
        <v>268</v>
      </c>
      <c r="D425" s="7">
        <v>254</v>
      </c>
      <c r="E425" s="7">
        <v>292</v>
      </c>
      <c r="F425" s="7">
        <v>241</v>
      </c>
      <c r="G425" s="7">
        <v>229</v>
      </c>
      <c r="H425" s="7">
        <f>MIN(C425:G425)</f>
        <v>229.0</v>
      </c>
      <c r="I425" s="6" t="s">
        <v>26</v>
      </c>
      <c r="J425" s="8">
        <f>IF($H425=0,"",(C425-$H425)/$H425)</f>
        <v>0.1703056768558952</v>
      </c>
      <c r="K425" s="8">
        <f>IF($H425=0,"",(D425-$H425)/$H425)</f>
        <v>0.1091703056768559</v>
      </c>
      <c r="L425" s="8">
        <f>IF($H425=0,"",(E425-$H425)/$H425)</f>
        <v>0.27510917030567683</v>
      </c>
      <c r="M425" s="8">
        <f>IF($H425=0,"",(F425-$H425)/$H425)</f>
        <v>0.05240174672489083</v>
      </c>
      <c r="N425" s="8">
        <f>IF($H425=0,"",(G425-$H425)/$H425)</f>
        <v>0.0</v>
      </c>
      <c r="O425" s="9">
        <f>IF(ABS(C425-$H425)&lt;=1E-9,1,0)</f>
        <v>0</v>
      </c>
      <c r="P425" s="9">
        <f>IF(ABS(D425-$H425)&lt;=1E-9,1,0)</f>
        <v>0</v>
      </c>
      <c r="Q425" s="9">
        <f>IF(ABS(E425-$H425)&lt;=1E-9,1,0)</f>
        <v>0</v>
      </c>
      <c r="R425" s="9">
        <f>IF(ABS(F425-$H425)&lt;=1E-9,1,0)</f>
        <v>0</v>
      </c>
      <c r="S425" s="9">
        <f>IF(ABS(G425-$H425)&lt;=1E-9,1,0)</f>
        <v>1</v>
      </c>
      <c r="T425" s="6" t="s">
        <v>26</v>
      </c>
    </row>
    <row r="426" spans="1:20">
      <c r="A426" s="6" t="s">
        <v>483</v>
      </c>
      <c r="B426" s="3">
        <v>50</v>
      </c>
      <c r="C426" s="7">
        <v>22</v>
      </c>
      <c r="D426" s="7">
        <v>22</v>
      </c>
      <c r="E426" s="7">
        <v>22</v>
      </c>
      <c r="F426" s="7">
        <v>22</v>
      </c>
      <c r="G426" s="7">
        <v>20</v>
      </c>
      <c r="H426" s="7">
        <f>MIN(C426:G426)</f>
        <v>20.0</v>
      </c>
      <c r="I426" s="6" t="s">
        <v>26</v>
      </c>
      <c r="J426" s="8">
        <f>IF($H426=0,"",(C426-$H426)/$H426)</f>
        <v>0.1</v>
      </c>
      <c r="K426" s="8">
        <f>IF($H426=0,"",(D426-$H426)/$H426)</f>
        <v>0.1</v>
      </c>
      <c r="L426" s="8">
        <f>IF($H426=0,"",(E426-$H426)/$H426)</f>
        <v>0.1</v>
      </c>
      <c r="M426" s="8">
        <f>IF($H426=0,"",(F426-$H426)/$H426)</f>
        <v>0.1</v>
      </c>
      <c r="N426" s="8">
        <f>IF($H426=0,"",(G426-$H426)/$H426)</f>
        <v>0.0</v>
      </c>
      <c r="O426" s="9">
        <f>IF(ABS(C426-$H426)&lt;=1E-9,1,0)</f>
        <v>0</v>
      </c>
      <c r="P426" s="9">
        <f>IF(ABS(D426-$H426)&lt;=1E-9,1,0)</f>
        <v>0</v>
      </c>
      <c r="Q426" s="9">
        <f>IF(ABS(E426-$H426)&lt;=1E-9,1,0)</f>
        <v>0</v>
      </c>
      <c r="R426" s="9">
        <f>IF(ABS(F426-$H426)&lt;=1E-9,1,0)</f>
        <v>0</v>
      </c>
      <c r="S426" s="9">
        <f>IF(ABS(G426-$H426)&lt;=1E-9,1,0)</f>
        <v>1</v>
      </c>
      <c r="T426" s="6" t="s">
        <v>26</v>
      </c>
    </row>
    <row r="427" spans="1:20">
      <c r="A427" s="6" t="s">
        <v>484</v>
      </c>
      <c r="B427" s="3">
        <v>50</v>
      </c>
      <c r="C427" s="7">
        <v>19</v>
      </c>
      <c r="D427" s="7">
        <v>20</v>
      </c>
      <c r="E427" s="7">
        <v>20</v>
      </c>
      <c r="F427" s="7">
        <v>20</v>
      </c>
      <c r="G427" s="7">
        <v>19</v>
      </c>
      <c r="H427" s="7">
        <f>MIN(C427:G427)</f>
        <v>19.0</v>
      </c>
      <c r="I427" s="6" t="s">
        <v>119</v>
      </c>
      <c r="J427" s="8">
        <f>IF($H427=0,"",(C427-$H427)/$H427)</f>
        <v>0.0</v>
      </c>
      <c r="K427" s="8">
        <f>IF($H427=0,"",(D427-$H427)/$H427)</f>
        <v>0.05263157894736842</v>
      </c>
      <c r="L427" s="8">
        <f>IF($H427=0,"",(E427-$H427)/$H427)</f>
        <v>0.05263157894736842</v>
      </c>
      <c r="M427" s="8">
        <f>IF($H427=0,"",(F427-$H427)/$H427)</f>
        <v>0.05263157894736842</v>
      </c>
      <c r="N427" s="8">
        <f>IF($H427=0,"",(G427-$H427)/$H427)</f>
        <v>0.0</v>
      </c>
      <c r="O427" s="9">
        <f>IF(ABS(C427-$H427)&lt;=1E-9,1,0)</f>
        <v>1</v>
      </c>
      <c r="P427" s="9">
        <f>IF(ABS(D427-$H427)&lt;=1E-9,1,0)</f>
        <v>0</v>
      </c>
      <c r="Q427" s="9">
        <f>IF(ABS(E427-$H427)&lt;=1E-9,1,0)</f>
        <v>0</v>
      </c>
      <c r="R427" s="9">
        <f>IF(ABS(F427-$H427)&lt;=1E-9,1,0)</f>
        <v>0</v>
      </c>
      <c r="S427" s="9">
        <f>IF(ABS(G427-$H427)&lt;=1E-9,1,0)</f>
        <v>1</v>
      </c>
      <c r="T427" s="6" t="s">
        <v>51</v>
      </c>
    </row>
    <row r="428" spans="1:20">
      <c r="A428" s="6" t="s">
        <v>485</v>
      </c>
      <c r="B428" s="3">
        <v>50</v>
      </c>
      <c r="C428" s="7">
        <v>294</v>
      </c>
      <c r="D428" s="7">
        <v>297</v>
      </c>
      <c r="E428" s="7">
        <v>314</v>
      </c>
      <c r="F428" s="7">
        <v>284</v>
      </c>
      <c r="G428" s="7">
        <v>240</v>
      </c>
      <c r="H428" s="7">
        <f>MIN(C428:G428)</f>
        <v>240.0</v>
      </c>
      <c r="I428" s="6" t="s">
        <v>26</v>
      </c>
      <c r="J428" s="8">
        <f>IF($H428=0,"",(C428-$H428)/$H428)</f>
        <v>0.225</v>
      </c>
      <c r="K428" s="8">
        <f>IF($H428=0,"",(D428-$H428)/$H428)</f>
        <v>0.2375</v>
      </c>
      <c r="L428" s="8">
        <f>IF($H428=0,"",(E428-$H428)/$H428)</f>
        <v>0.30833333333333335</v>
      </c>
      <c r="M428" s="8">
        <f>IF($H428=0,"",(F428-$H428)/$H428)</f>
        <v>0.18333333333333332</v>
      </c>
      <c r="N428" s="8">
        <f>IF($H428=0,"",(G428-$H428)/$H428)</f>
        <v>0.0</v>
      </c>
      <c r="O428" s="9">
        <f>IF(ABS(C428-$H428)&lt;=1E-9,1,0)</f>
        <v>0</v>
      </c>
      <c r="P428" s="9">
        <f>IF(ABS(D428-$H428)&lt;=1E-9,1,0)</f>
        <v>0</v>
      </c>
      <c r="Q428" s="9">
        <f>IF(ABS(E428-$H428)&lt;=1E-9,1,0)</f>
        <v>0</v>
      </c>
      <c r="R428" s="9">
        <f>IF(ABS(F428-$H428)&lt;=1E-9,1,0)</f>
        <v>0</v>
      </c>
      <c r="S428" s="9">
        <f>IF(ABS(G428-$H428)&lt;=1E-9,1,0)</f>
        <v>1</v>
      </c>
      <c r="T428" s="6" t="s">
        <v>26</v>
      </c>
    </row>
    <row r="429" spans="1:20">
      <c r="A429" s="6" t="s">
        <v>486</v>
      </c>
      <c r="B429" s="3">
        <v>50</v>
      </c>
      <c r="C429" s="7">
        <v>328</v>
      </c>
      <c r="D429" s="7">
        <v>326</v>
      </c>
      <c r="E429" s="7">
        <v>333</v>
      </c>
      <c r="F429" s="7">
        <v>271</v>
      </c>
      <c r="G429" s="7">
        <v>253</v>
      </c>
      <c r="H429" s="7">
        <f>MIN(C429:G429)</f>
        <v>253.0</v>
      </c>
      <c r="I429" s="6" t="s">
        <v>26</v>
      </c>
      <c r="J429" s="8">
        <f>IF($H429=0,"",(C429-$H429)/$H429)</f>
        <v>0.2964426877470356</v>
      </c>
      <c r="K429" s="8">
        <f>IF($H429=0,"",(D429-$H429)/$H429)</f>
        <v>0.2885375494071146</v>
      </c>
      <c r="L429" s="8">
        <f>IF($H429=0,"",(E429-$H429)/$H429)</f>
        <v>0.31620553359683795</v>
      </c>
      <c r="M429" s="8">
        <f>IF($H429=0,"",(F429-$H429)/$H429)</f>
        <v>0.07114624505928854</v>
      </c>
      <c r="N429" s="8">
        <f>IF($H429=0,"",(G429-$H429)/$H429)</f>
        <v>0.0</v>
      </c>
      <c r="O429" s="9">
        <f>IF(ABS(C429-$H429)&lt;=1E-9,1,0)</f>
        <v>0</v>
      </c>
      <c r="P429" s="9">
        <f>IF(ABS(D429-$H429)&lt;=1E-9,1,0)</f>
        <v>0</v>
      </c>
      <c r="Q429" s="9">
        <f>IF(ABS(E429-$H429)&lt;=1E-9,1,0)</f>
        <v>0</v>
      </c>
      <c r="R429" s="9">
        <f>IF(ABS(F429-$H429)&lt;=1E-9,1,0)</f>
        <v>0</v>
      </c>
      <c r="S429" s="9">
        <f>IF(ABS(G429-$H429)&lt;=1E-9,1,0)</f>
        <v>1</v>
      </c>
      <c r="T429" s="6" t="s">
        <v>26</v>
      </c>
    </row>
    <row r="430" spans="1:20">
      <c r="A430" s="6" t="s">
        <v>487</v>
      </c>
      <c r="B430" s="3">
        <v>50</v>
      </c>
      <c r="C430" s="7">
        <v>17</v>
      </c>
      <c r="D430" s="7">
        <v>16</v>
      </c>
      <c r="E430" s="7">
        <v>17</v>
      </c>
      <c r="F430" s="7">
        <v>19</v>
      </c>
      <c r="G430" s="7">
        <v>16</v>
      </c>
      <c r="H430" s="7">
        <f>MIN(C430:G430)</f>
        <v>16.0</v>
      </c>
      <c r="I430" s="6" t="s">
        <v>97</v>
      </c>
      <c r="J430" s="8">
        <f>IF($H430=0,"",(C430-$H430)/$H430)</f>
        <v>0.0625</v>
      </c>
      <c r="K430" s="8">
        <f>IF($H430=0,"",(D430-$H430)/$H430)</f>
        <v>0.0</v>
      </c>
      <c r="L430" s="8">
        <f>IF($H430=0,"",(E430-$H430)/$H430)</f>
        <v>0.0625</v>
      </c>
      <c r="M430" s="8">
        <f>IF($H430=0,"",(F430-$H430)/$H430)</f>
        <v>0.1875</v>
      </c>
      <c r="N430" s="8">
        <f>IF($H430=0,"",(G430-$H430)/$H430)</f>
        <v>0.0</v>
      </c>
      <c r="O430" s="9">
        <f>IF(ABS(C430-$H430)&lt;=1E-9,1,0)</f>
        <v>0</v>
      </c>
      <c r="P430" s="9">
        <f>IF(ABS(D430-$H430)&lt;=1E-9,1,0)</f>
        <v>1</v>
      </c>
      <c r="Q430" s="9">
        <f>IF(ABS(E430-$H430)&lt;=1E-9,1,0)</f>
        <v>0</v>
      </c>
      <c r="R430" s="9">
        <f>IF(ABS(F430-$H430)&lt;=1E-9,1,0)</f>
        <v>0</v>
      </c>
      <c r="S430" s="9">
        <f>IF(ABS(G430-$H430)&lt;=1E-9,1,0)</f>
        <v>1</v>
      </c>
      <c r="T430" s="6" t="s">
        <v>51</v>
      </c>
    </row>
    <row r="431" spans="1:20">
      <c r="A431" s="6" t="s">
        <v>488</v>
      </c>
      <c r="B431" s="3">
        <v>50</v>
      </c>
      <c r="C431" s="7">
        <v>15</v>
      </c>
      <c r="D431" s="7">
        <v>16</v>
      </c>
      <c r="E431" s="7">
        <v>16</v>
      </c>
      <c r="F431" s="7">
        <v>16</v>
      </c>
      <c r="G431" s="7">
        <v>15</v>
      </c>
      <c r="H431" s="7">
        <f>MIN(C431:G431)</f>
        <v>15.0</v>
      </c>
      <c r="I431" s="6" t="s">
        <v>119</v>
      </c>
      <c r="J431" s="8">
        <f>IF($H431=0,"",(C431-$H431)/$H431)</f>
        <v>0.0</v>
      </c>
      <c r="K431" s="8">
        <f>IF($H431=0,"",(D431-$H431)/$H431)</f>
        <v>0.06666666666666667</v>
      </c>
      <c r="L431" s="8">
        <f>IF($H431=0,"",(E431-$H431)/$H431)</f>
        <v>0.06666666666666667</v>
      </c>
      <c r="M431" s="8">
        <f>IF($H431=0,"",(F431-$H431)/$H431)</f>
        <v>0.06666666666666667</v>
      </c>
      <c r="N431" s="8">
        <f>IF($H431=0,"",(G431-$H431)/$H431)</f>
        <v>0.0</v>
      </c>
      <c r="O431" s="9">
        <f>IF(ABS(C431-$H431)&lt;=1E-9,1,0)</f>
        <v>1</v>
      </c>
      <c r="P431" s="9">
        <f>IF(ABS(D431-$H431)&lt;=1E-9,1,0)</f>
        <v>0</v>
      </c>
      <c r="Q431" s="9">
        <f>IF(ABS(E431-$H431)&lt;=1E-9,1,0)</f>
        <v>0</v>
      </c>
      <c r="R431" s="9">
        <f>IF(ABS(F431-$H431)&lt;=1E-9,1,0)</f>
        <v>0</v>
      </c>
      <c r="S431" s="9">
        <f>IF(ABS(G431-$H431)&lt;=1E-9,1,0)</f>
        <v>1</v>
      </c>
      <c r="T431" s="6" t="s">
        <v>51</v>
      </c>
    </row>
    <row r="432" spans="1:20">
      <c r="A432" s="6" t="s">
        <v>489</v>
      </c>
      <c r="B432" s="3">
        <v>50</v>
      </c>
      <c r="C432" s="7">
        <v>246</v>
      </c>
      <c r="D432" s="7">
        <v>245</v>
      </c>
      <c r="E432" s="7">
        <v>253</v>
      </c>
      <c r="F432" s="7">
        <v>235</v>
      </c>
      <c r="G432" s="7">
        <v>213</v>
      </c>
      <c r="H432" s="7">
        <f>MIN(C432:G432)</f>
        <v>213.0</v>
      </c>
      <c r="I432" s="6" t="s">
        <v>26</v>
      </c>
      <c r="J432" s="8">
        <f>IF($H432=0,"",(C432-$H432)/$H432)</f>
        <v>0.15492957746478872</v>
      </c>
      <c r="K432" s="8">
        <f>IF($H432=0,"",(D432-$H432)/$H432)</f>
        <v>0.15023474178403756</v>
      </c>
      <c r="L432" s="8">
        <f>IF($H432=0,"",(E432-$H432)/$H432)</f>
        <v>0.1877934272300469</v>
      </c>
      <c r="M432" s="8">
        <f>IF($H432=0,"",(F432-$H432)/$H432)</f>
        <v>0.10328638497652581</v>
      </c>
      <c r="N432" s="8">
        <f>IF($H432=0,"",(G432-$H432)/$H432)</f>
        <v>0.0</v>
      </c>
      <c r="O432" s="9">
        <f>IF(ABS(C432-$H432)&lt;=1E-9,1,0)</f>
        <v>0</v>
      </c>
      <c r="P432" s="9">
        <f>IF(ABS(D432-$H432)&lt;=1E-9,1,0)</f>
        <v>0</v>
      </c>
      <c r="Q432" s="9">
        <f>IF(ABS(E432-$H432)&lt;=1E-9,1,0)</f>
        <v>0</v>
      </c>
      <c r="R432" s="9">
        <f>IF(ABS(F432-$H432)&lt;=1E-9,1,0)</f>
        <v>0</v>
      </c>
      <c r="S432" s="9">
        <f>IF(ABS(G432-$H432)&lt;=1E-9,1,0)</f>
        <v>1</v>
      </c>
      <c r="T432" s="6" t="s">
        <v>26</v>
      </c>
    </row>
    <row r="433" spans="1:20">
      <c r="A433" s="6" t="s">
        <v>490</v>
      </c>
      <c r="B433" s="3">
        <v>50</v>
      </c>
      <c r="C433" s="7">
        <v>297</v>
      </c>
      <c r="D433" s="7">
        <v>297</v>
      </c>
      <c r="E433" s="7">
        <v>324</v>
      </c>
      <c r="F433" s="7">
        <v>278</v>
      </c>
      <c r="G433" s="7">
        <v>253</v>
      </c>
      <c r="H433" s="7">
        <f>MIN(C433:G433)</f>
        <v>253.0</v>
      </c>
      <c r="I433" s="6" t="s">
        <v>26</v>
      </c>
      <c r="J433" s="8">
        <f>IF($H433=0,"",(C433-$H433)/$H433)</f>
        <v>0.17391304347826086</v>
      </c>
      <c r="K433" s="8">
        <f>IF($H433=0,"",(D433-$H433)/$H433)</f>
        <v>0.17391304347826086</v>
      </c>
      <c r="L433" s="8">
        <f>IF($H433=0,"",(E433-$H433)/$H433)</f>
        <v>0.28063241106719367</v>
      </c>
      <c r="M433" s="8">
        <f>IF($H433=0,"",(F433-$H433)/$H433)</f>
        <v>0.09881422924901186</v>
      </c>
      <c r="N433" s="8">
        <f>IF($H433=0,"",(G433-$H433)/$H433)</f>
        <v>0.0</v>
      </c>
      <c r="O433" s="9">
        <f>IF(ABS(C433-$H433)&lt;=1E-9,1,0)</f>
        <v>0</v>
      </c>
      <c r="P433" s="9">
        <f>IF(ABS(D433-$H433)&lt;=1E-9,1,0)</f>
        <v>0</v>
      </c>
      <c r="Q433" s="9">
        <f>IF(ABS(E433-$H433)&lt;=1E-9,1,0)</f>
        <v>0</v>
      </c>
      <c r="R433" s="9">
        <f>IF(ABS(F433-$H433)&lt;=1E-9,1,0)</f>
        <v>0</v>
      </c>
      <c r="S433" s="9">
        <f>IF(ABS(G433-$H433)&lt;=1E-9,1,0)</f>
        <v>1</v>
      </c>
      <c r="T433" s="6" t="s">
        <v>26</v>
      </c>
    </row>
    <row r="434" spans="1:20">
      <c r="A434" s="6" t="s">
        <v>491</v>
      </c>
      <c r="B434" s="3">
        <v>50</v>
      </c>
      <c r="C434" s="7">
        <v>12</v>
      </c>
      <c r="D434" s="7">
        <v>13</v>
      </c>
      <c r="E434" s="7">
        <v>13</v>
      </c>
      <c r="F434" s="7">
        <v>17</v>
      </c>
      <c r="G434" s="7">
        <v>11</v>
      </c>
      <c r="H434" s="7">
        <f>MIN(C434:G434)</f>
        <v>11.0</v>
      </c>
      <c r="I434" s="6" t="s">
        <v>26</v>
      </c>
      <c r="J434" s="8">
        <f>IF($H434=0,"",(C434-$H434)/$H434)</f>
        <v>0.09090909090909091</v>
      </c>
      <c r="K434" s="8">
        <f>IF($H434=0,"",(D434-$H434)/$H434)</f>
        <v>0.18181818181818182</v>
      </c>
      <c r="L434" s="8">
        <f>IF($H434=0,"",(E434-$H434)/$H434)</f>
        <v>0.18181818181818182</v>
      </c>
      <c r="M434" s="8">
        <f>IF($H434=0,"",(F434-$H434)/$H434)</f>
        <v>0.5454545454545454</v>
      </c>
      <c r="N434" s="8">
        <f>IF($H434=0,"",(G434-$H434)/$H434)</f>
        <v>0.0</v>
      </c>
      <c r="O434" s="9">
        <f>IF(ABS(C434-$H434)&lt;=1E-9,1,0)</f>
        <v>0</v>
      </c>
      <c r="P434" s="9">
        <f>IF(ABS(D434-$H434)&lt;=1E-9,1,0)</f>
        <v>0</v>
      </c>
      <c r="Q434" s="9">
        <f>IF(ABS(E434-$H434)&lt;=1E-9,1,0)</f>
        <v>0</v>
      </c>
      <c r="R434" s="9">
        <f>IF(ABS(F434-$H434)&lt;=1E-9,1,0)</f>
        <v>0</v>
      </c>
      <c r="S434" s="9">
        <f>IF(ABS(G434-$H434)&lt;=1E-9,1,0)</f>
        <v>1</v>
      </c>
      <c r="T434" s="6" t="s">
        <v>26</v>
      </c>
    </row>
    <row r="435" spans="1:20">
      <c r="A435" s="6" t="s">
        <v>492</v>
      </c>
      <c r="B435" s="3">
        <v>50</v>
      </c>
      <c r="C435" s="7">
        <v>13</v>
      </c>
      <c r="D435" s="7">
        <v>13</v>
      </c>
      <c r="E435" s="7">
        <v>14</v>
      </c>
      <c r="F435" s="7">
        <v>16</v>
      </c>
      <c r="G435" s="7">
        <v>12</v>
      </c>
      <c r="H435" s="7">
        <f>MIN(C435:G435)</f>
        <v>12.0</v>
      </c>
      <c r="I435" s="6" t="s">
        <v>26</v>
      </c>
      <c r="J435" s="8">
        <f>IF($H435=0,"",(C435-$H435)/$H435)</f>
        <v>0.08333333333333331</v>
      </c>
      <c r="K435" s="8">
        <f>IF($H435=0,"",(D435-$H435)/$H435)</f>
        <v>0.08333333333333331</v>
      </c>
      <c r="L435" s="8">
        <f>IF($H435=0,"",(E435-$H435)/$H435)</f>
        <v>0.16666666666666663</v>
      </c>
      <c r="M435" s="8">
        <f>IF($H435=0,"",(F435-$H435)/$H435)</f>
        <v>0.33333333333333326</v>
      </c>
      <c r="N435" s="8">
        <f>IF($H435=0,"",(G435-$H435)/$H435)</f>
        <v>0.0</v>
      </c>
      <c r="O435" s="9">
        <f>IF(ABS(C435-$H435)&lt;=1E-9,1,0)</f>
        <v>0</v>
      </c>
      <c r="P435" s="9">
        <f>IF(ABS(D435-$H435)&lt;=1E-9,1,0)</f>
        <v>0</v>
      </c>
      <c r="Q435" s="9">
        <f>IF(ABS(E435-$H435)&lt;=1E-9,1,0)</f>
        <v>0</v>
      </c>
      <c r="R435" s="9">
        <f>IF(ABS(F435-$H435)&lt;=1E-9,1,0)</f>
        <v>0</v>
      </c>
      <c r="S435" s="9">
        <f>IF(ABS(G435-$H435)&lt;=1E-9,1,0)</f>
        <v>1</v>
      </c>
      <c r="T435" s="6" t="s">
        <v>26</v>
      </c>
    </row>
    <row r="436" spans="1:20">
      <c r="A436" s="6" t="s">
        <v>493</v>
      </c>
      <c r="B436" s="3">
        <v>50</v>
      </c>
      <c r="C436" s="7">
        <v>250</v>
      </c>
      <c r="D436" s="7">
        <v>236</v>
      </c>
      <c r="E436" s="7">
        <v>262</v>
      </c>
      <c r="F436" s="7">
        <v>243</v>
      </c>
      <c r="G436" s="7">
        <v>204</v>
      </c>
      <c r="H436" s="7">
        <f>MIN(C436:G436)</f>
        <v>204.0</v>
      </c>
      <c r="I436" s="6" t="s">
        <v>26</v>
      </c>
      <c r="J436" s="8">
        <f>IF($H436=0,"",(C436-$H436)/$H436)</f>
        <v>0.22549019607843138</v>
      </c>
      <c r="K436" s="8">
        <f>IF($H436=0,"",(D436-$H436)/$H436)</f>
        <v>0.1568627450980392</v>
      </c>
      <c r="L436" s="8">
        <f>IF($H436=0,"",(E436-$H436)/$H436)</f>
        <v>0.28431372549019607</v>
      </c>
      <c r="M436" s="8">
        <f>IF($H436=0,"",(F436-$H436)/$H436)</f>
        <v>0.19117647058823528</v>
      </c>
      <c r="N436" s="8">
        <f>IF($H436=0,"",(G436-$H436)/$H436)</f>
        <v>0.0</v>
      </c>
      <c r="O436" s="9">
        <f>IF(ABS(C436-$H436)&lt;=1E-9,1,0)</f>
        <v>0</v>
      </c>
      <c r="P436" s="9">
        <f>IF(ABS(D436-$H436)&lt;=1E-9,1,0)</f>
        <v>0</v>
      </c>
      <c r="Q436" s="9">
        <f>IF(ABS(E436-$H436)&lt;=1E-9,1,0)</f>
        <v>0</v>
      </c>
      <c r="R436" s="9">
        <f>IF(ABS(F436-$H436)&lt;=1E-9,1,0)</f>
        <v>0</v>
      </c>
      <c r="S436" s="9">
        <f>IF(ABS(G436-$H436)&lt;=1E-9,1,0)</f>
        <v>1</v>
      </c>
      <c r="T436" s="6" t="s">
        <v>26</v>
      </c>
    </row>
    <row r="437" spans="1:20">
      <c r="A437" s="6" t="s">
        <v>494</v>
      </c>
      <c r="B437" s="3">
        <v>50</v>
      </c>
      <c r="C437" s="7">
        <v>258</v>
      </c>
      <c r="D437" s="7">
        <v>254</v>
      </c>
      <c r="E437" s="7">
        <v>252</v>
      </c>
      <c r="F437" s="7">
        <v>228</v>
      </c>
      <c r="G437" s="7">
        <v>198</v>
      </c>
      <c r="H437" s="7">
        <f>MIN(C437:G437)</f>
        <v>198.0</v>
      </c>
      <c r="I437" s="6" t="s">
        <v>26</v>
      </c>
      <c r="J437" s="8">
        <f>IF($H437=0,"",(C437-$H437)/$H437)</f>
        <v>0.30303030303030304</v>
      </c>
      <c r="K437" s="8">
        <f>IF($H437=0,"",(D437-$H437)/$H437)</f>
        <v>0.2828282828282828</v>
      </c>
      <c r="L437" s="8">
        <f>IF($H437=0,"",(E437-$H437)/$H437)</f>
        <v>0.2727272727272727</v>
      </c>
      <c r="M437" s="8">
        <f>IF($H437=0,"",(F437-$H437)/$H437)</f>
        <v>0.15151515151515152</v>
      </c>
      <c r="N437" s="8">
        <f>IF($H437=0,"",(G437-$H437)/$H437)</f>
        <v>0.0</v>
      </c>
      <c r="O437" s="9">
        <f>IF(ABS(C437-$H437)&lt;=1E-9,1,0)</f>
        <v>0</v>
      </c>
      <c r="P437" s="9">
        <f>IF(ABS(D437-$H437)&lt;=1E-9,1,0)</f>
        <v>0</v>
      </c>
      <c r="Q437" s="9">
        <f>IF(ABS(E437-$H437)&lt;=1E-9,1,0)</f>
        <v>0</v>
      </c>
      <c r="R437" s="9">
        <f>IF(ABS(F437-$H437)&lt;=1E-9,1,0)</f>
        <v>0</v>
      </c>
      <c r="S437" s="9">
        <f>IF(ABS(G437-$H437)&lt;=1E-9,1,0)</f>
        <v>1</v>
      </c>
      <c r="T437" s="6" t="s">
        <v>26</v>
      </c>
    </row>
    <row r="438" spans="1:20">
      <c r="A438" s="6" t="s">
        <v>495</v>
      </c>
      <c r="B438" s="3">
        <v>50</v>
      </c>
      <c r="C438" s="7">
        <v>12</v>
      </c>
      <c r="D438" s="7">
        <v>11</v>
      </c>
      <c r="E438" s="7">
        <v>12</v>
      </c>
      <c r="F438" s="7">
        <v>16</v>
      </c>
      <c r="G438" s="7">
        <v>10</v>
      </c>
      <c r="H438" s="7">
        <f>MIN(C438:G438)</f>
        <v>10.0</v>
      </c>
      <c r="I438" s="6" t="s">
        <v>26</v>
      </c>
      <c r="J438" s="8">
        <f>IF($H438=0,"",(C438-$H438)/$H438)</f>
        <v>0.2</v>
      </c>
      <c r="K438" s="8">
        <f>IF($H438=0,"",(D438-$H438)/$H438)</f>
        <v>0.1</v>
      </c>
      <c r="L438" s="8">
        <f>IF($H438=0,"",(E438-$H438)/$H438)</f>
        <v>0.2</v>
      </c>
      <c r="M438" s="8">
        <f>IF($H438=0,"",(F438-$H438)/$H438)</f>
        <v>0.6</v>
      </c>
      <c r="N438" s="8">
        <f>IF($H438=0,"",(G438-$H438)/$H438)</f>
        <v>0.0</v>
      </c>
      <c r="O438" s="9">
        <f>IF(ABS(C438-$H438)&lt;=1E-9,1,0)</f>
        <v>0</v>
      </c>
      <c r="P438" s="9">
        <f>IF(ABS(D438-$H438)&lt;=1E-9,1,0)</f>
        <v>0</v>
      </c>
      <c r="Q438" s="9">
        <f>IF(ABS(E438-$H438)&lt;=1E-9,1,0)</f>
        <v>0</v>
      </c>
      <c r="R438" s="9">
        <f>IF(ABS(F438-$H438)&lt;=1E-9,1,0)</f>
        <v>0</v>
      </c>
      <c r="S438" s="9">
        <f>IF(ABS(G438-$H438)&lt;=1E-9,1,0)</f>
        <v>1</v>
      </c>
      <c r="T438" s="6" t="s">
        <v>26</v>
      </c>
    </row>
    <row r="439" spans="1:20">
      <c r="A439" s="6" t="s">
        <v>496</v>
      </c>
      <c r="B439" s="3">
        <v>50</v>
      </c>
      <c r="C439" s="7">
        <v>11</v>
      </c>
      <c r="D439" s="7">
        <v>11</v>
      </c>
      <c r="E439" s="7">
        <v>12</v>
      </c>
      <c r="F439" s="7">
        <v>14</v>
      </c>
      <c r="G439" s="7">
        <v>10</v>
      </c>
      <c r="H439" s="7">
        <f>MIN(C439:G439)</f>
        <v>10.0</v>
      </c>
      <c r="I439" s="6" t="s">
        <v>26</v>
      </c>
      <c r="J439" s="8">
        <f>IF($H439=0,"",(C439-$H439)/$H439)</f>
        <v>0.1</v>
      </c>
      <c r="K439" s="8">
        <f>IF($H439=0,"",(D439-$H439)/$H439)</f>
        <v>0.1</v>
      </c>
      <c r="L439" s="8">
        <f>IF($H439=0,"",(E439-$H439)/$H439)</f>
        <v>0.2</v>
      </c>
      <c r="M439" s="8">
        <f>IF($H439=0,"",(F439-$H439)/$H439)</f>
        <v>0.4</v>
      </c>
      <c r="N439" s="8">
        <f>IF($H439=0,"",(G439-$H439)/$H439)</f>
        <v>0.0</v>
      </c>
      <c r="O439" s="9">
        <f>IF(ABS(C439-$H439)&lt;=1E-9,1,0)</f>
        <v>0</v>
      </c>
      <c r="P439" s="9">
        <f>IF(ABS(D439-$H439)&lt;=1E-9,1,0)</f>
        <v>0</v>
      </c>
      <c r="Q439" s="9">
        <f>IF(ABS(E439-$H439)&lt;=1E-9,1,0)</f>
        <v>0</v>
      </c>
      <c r="R439" s="9">
        <f>IF(ABS(F439-$H439)&lt;=1E-9,1,0)</f>
        <v>0</v>
      </c>
      <c r="S439" s="9">
        <f>IF(ABS(G439-$H439)&lt;=1E-9,1,0)</f>
        <v>1</v>
      </c>
      <c r="T439" s="6" t="s">
        <v>26</v>
      </c>
    </row>
    <row r="440" spans="1:20">
      <c r="A440" s="6" t="s">
        <v>497</v>
      </c>
      <c r="B440" s="3">
        <v>50</v>
      </c>
      <c r="C440" s="7">
        <v>246</v>
      </c>
      <c r="D440" s="7">
        <v>264</v>
      </c>
      <c r="E440" s="7">
        <v>270</v>
      </c>
      <c r="F440" s="7">
        <v>245</v>
      </c>
      <c r="G440" s="7">
        <v>197</v>
      </c>
      <c r="H440" s="7">
        <f>MIN(C440:G440)</f>
        <v>197.0</v>
      </c>
      <c r="I440" s="6" t="s">
        <v>26</v>
      </c>
      <c r="J440" s="8">
        <f>IF($H440=0,"",(C440-$H440)/$H440)</f>
        <v>0.24873096446700507</v>
      </c>
      <c r="K440" s="8">
        <f>IF($H440=0,"",(D440-$H440)/$H440)</f>
        <v>0.3401015228426396</v>
      </c>
      <c r="L440" s="8">
        <f>IF($H440=0,"",(E440-$H440)/$H440)</f>
        <v>0.37055837563451777</v>
      </c>
      <c r="M440" s="8">
        <f>IF($H440=0,"",(F440-$H440)/$H440)</f>
        <v>0.2436548223350254</v>
      </c>
      <c r="N440" s="8">
        <f>IF($H440=0,"",(G440-$H440)/$H440)</f>
        <v>0.0</v>
      </c>
      <c r="O440" s="9">
        <f>IF(ABS(C440-$H440)&lt;=1E-9,1,0)</f>
        <v>0</v>
      </c>
      <c r="P440" s="9">
        <f>IF(ABS(D440-$H440)&lt;=1E-9,1,0)</f>
        <v>0</v>
      </c>
      <c r="Q440" s="9">
        <f>IF(ABS(E440-$H440)&lt;=1E-9,1,0)</f>
        <v>0</v>
      </c>
      <c r="R440" s="9">
        <f>IF(ABS(F440-$H440)&lt;=1E-9,1,0)</f>
        <v>0</v>
      </c>
      <c r="S440" s="9">
        <f>IF(ABS(G440-$H440)&lt;=1E-9,1,0)</f>
        <v>1</v>
      </c>
      <c r="T440" s="6" t="s">
        <v>26</v>
      </c>
    </row>
    <row r="441" spans="1:20">
      <c r="A441" s="6" t="s">
        <v>498</v>
      </c>
      <c r="B441" s="3">
        <v>50</v>
      </c>
      <c r="C441" s="7">
        <v>240</v>
      </c>
      <c r="D441" s="7">
        <v>249</v>
      </c>
      <c r="E441" s="7">
        <v>255</v>
      </c>
      <c r="F441" s="7">
        <v>230</v>
      </c>
      <c r="G441" s="7">
        <v>196</v>
      </c>
      <c r="H441" s="7">
        <f>MIN(C441:G441)</f>
        <v>196.0</v>
      </c>
      <c r="I441" s="6" t="s">
        <v>26</v>
      </c>
      <c r="J441" s="8">
        <f>IF($H441=0,"",(C441-$H441)/$H441)</f>
        <v>0.22448979591836735</v>
      </c>
      <c r="K441" s="8">
        <f>IF($H441=0,"",(D441-$H441)/$H441)</f>
        <v>0.27040816326530615</v>
      </c>
      <c r="L441" s="8">
        <f>IF($H441=0,"",(E441-$H441)/$H441)</f>
        <v>0.3010204081632653</v>
      </c>
      <c r="M441" s="8">
        <f>IF($H441=0,"",(F441-$H441)/$H441)</f>
        <v>0.17346938775510204</v>
      </c>
      <c r="N441" s="8">
        <f>IF($H441=0,"",(G441-$H441)/$H441)</f>
        <v>0.0</v>
      </c>
      <c r="O441" s="9">
        <f>IF(ABS(C441-$H441)&lt;=1E-9,1,0)</f>
        <v>0</v>
      </c>
      <c r="P441" s="9">
        <f>IF(ABS(D441-$H441)&lt;=1E-9,1,0)</f>
        <v>0</v>
      </c>
      <c r="Q441" s="9">
        <f>IF(ABS(E441-$H441)&lt;=1E-9,1,0)</f>
        <v>0</v>
      </c>
      <c r="R441" s="9">
        <f>IF(ABS(F441-$H441)&lt;=1E-9,1,0)</f>
        <v>0</v>
      </c>
      <c r="S441" s="9">
        <f>IF(ABS(G441-$H441)&lt;=1E-9,1,0)</f>
        <v>1</v>
      </c>
      <c r="T441" s="6" t="s">
        <v>26</v>
      </c>
    </row>
    <row r="442" spans="1:20">
      <c r="A442" s="6" t="s">
        <v>499</v>
      </c>
      <c r="B442" s="3">
        <v>50</v>
      </c>
      <c r="C442" s="7">
        <v>20</v>
      </c>
      <c r="D442" s="7">
        <v>20</v>
      </c>
      <c r="E442" s="7">
        <v>20</v>
      </c>
      <c r="F442" s="7">
        <v>20</v>
      </c>
      <c r="G442" s="7">
        <v>19</v>
      </c>
      <c r="H442" s="7">
        <f>MIN(C442:G442)</f>
        <v>19.0</v>
      </c>
      <c r="I442" s="6" t="s">
        <v>26</v>
      </c>
      <c r="J442" s="8">
        <f>IF($H442=0,"",(C442-$H442)/$H442)</f>
        <v>0.05263157894736842</v>
      </c>
      <c r="K442" s="8">
        <f>IF($H442=0,"",(D442-$H442)/$H442)</f>
        <v>0.05263157894736842</v>
      </c>
      <c r="L442" s="8">
        <f>IF($H442=0,"",(E442-$H442)/$H442)</f>
        <v>0.05263157894736842</v>
      </c>
      <c r="M442" s="8">
        <f>IF($H442=0,"",(F442-$H442)/$H442)</f>
        <v>0.05263157894736842</v>
      </c>
      <c r="N442" s="8">
        <f>IF($H442=0,"",(G442-$H442)/$H442)</f>
        <v>0.0</v>
      </c>
      <c r="O442" s="9">
        <f>IF(ABS(C442-$H442)&lt;=1E-9,1,0)</f>
        <v>0</v>
      </c>
      <c r="P442" s="9">
        <f>IF(ABS(D442-$H442)&lt;=1E-9,1,0)</f>
        <v>0</v>
      </c>
      <c r="Q442" s="9">
        <f>IF(ABS(E442-$H442)&lt;=1E-9,1,0)</f>
        <v>0</v>
      </c>
      <c r="R442" s="9">
        <f>IF(ABS(F442-$H442)&lt;=1E-9,1,0)</f>
        <v>0</v>
      </c>
      <c r="S442" s="9">
        <f>IF(ABS(G442-$H442)&lt;=1E-9,1,0)</f>
        <v>1</v>
      </c>
      <c r="T442" s="6" t="s">
        <v>26</v>
      </c>
    </row>
    <row r="443" spans="1:20">
      <c r="A443" s="6" t="s">
        <v>500</v>
      </c>
      <c r="B443" s="3">
        <v>50</v>
      </c>
      <c r="C443" s="7">
        <v>19</v>
      </c>
      <c r="D443" s="7">
        <v>19</v>
      </c>
      <c r="E443" s="7">
        <v>19</v>
      </c>
      <c r="F443" s="7">
        <v>19</v>
      </c>
      <c r="G443" s="7">
        <v>17</v>
      </c>
      <c r="H443" s="7">
        <f>MIN(C443:G443)</f>
        <v>17.0</v>
      </c>
      <c r="I443" s="6" t="s">
        <v>26</v>
      </c>
      <c r="J443" s="8">
        <f>IF($H443=0,"",(C443-$H443)/$H443)</f>
        <v>0.1176470588235294</v>
      </c>
      <c r="K443" s="8">
        <f>IF($H443=0,"",(D443-$H443)/$H443)</f>
        <v>0.1176470588235294</v>
      </c>
      <c r="L443" s="8">
        <f>IF($H443=0,"",(E443-$H443)/$H443)</f>
        <v>0.1176470588235294</v>
      </c>
      <c r="M443" s="8">
        <f>IF($H443=0,"",(F443-$H443)/$H443)</f>
        <v>0.1176470588235294</v>
      </c>
      <c r="N443" s="8">
        <f>IF($H443=0,"",(G443-$H443)/$H443)</f>
        <v>0.0</v>
      </c>
      <c r="O443" s="9">
        <f>IF(ABS(C443-$H443)&lt;=1E-9,1,0)</f>
        <v>0</v>
      </c>
      <c r="P443" s="9">
        <f>IF(ABS(D443-$H443)&lt;=1E-9,1,0)</f>
        <v>0</v>
      </c>
      <c r="Q443" s="9">
        <f>IF(ABS(E443-$H443)&lt;=1E-9,1,0)</f>
        <v>0</v>
      </c>
      <c r="R443" s="9">
        <f>IF(ABS(F443-$H443)&lt;=1E-9,1,0)</f>
        <v>0</v>
      </c>
      <c r="S443" s="9">
        <f>IF(ABS(G443-$H443)&lt;=1E-9,1,0)</f>
        <v>1</v>
      </c>
      <c r="T443" s="6" t="s">
        <v>26</v>
      </c>
    </row>
    <row r="444" spans="1:20">
      <c r="A444" s="6" t="s">
        <v>501</v>
      </c>
      <c r="B444" s="3">
        <v>50</v>
      </c>
      <c r="C444" s="7">
        <v>303</v>
      </c>
      <c r="D444" s="7">
        <v>298</v>
      </c>
      <c r="E444" s="7">
        <v>297</v>
      </c>
      <c r="F444" s="7">
        <v>265</v>
      </c>
      <c r="G444" s="7">
        <v>230</v>
      </c>
      <c r="H444" s="7">
        <f>MIN(C444:G444)</f>
        <v>230.0</v>
      </c>
      <c r="I444" s="6" t="s">
        <v>26</v>
      </c>
      <c r="J444" s="8">
        <f>IF($H444=0,"",(C444-$H444)/$H444)</f>
        <v>0.3173913043478261</v>
      </c>
      <c r="K444" s="8">
        <f>IF($H444=0,"",(D444-$H444)/$H444)</f>
        <v>0.2956521739130435</v>
      </c>
      <c r="L444" s="8">
        <f>IF($H444=0,"",(E444-$H444)/$H444)</f>
        <v>0.29130434782608694</v>
      </c>
      <c r="M444" s="8">
        <f>IF($H444=0,"",(F444-$H444)/$H444)</f>
        <v>0.15217391304347827</v>
      </c>
      <c r="N444" s="8">
        <f>IF($H444=0,"",(G444-$H444)/$H444)</f>
        <v>0.0</v>
      </c>
      <c r="O444" s="9">
        <f>IF(ABS(C444-$H444)&lt;=1E-9,1,0)</f>
        <v>0</v>
      </c>
      <c r="P444" s="9">
        <f>IF(ABS(D444-$H444)&lt;=1E-9,1,0)</f>
        <v>0</v>
      </c>
      <c r="Q444" s="9">
        <f>IF(ABS(E444-$H444)&lt;=1E-9,1,0)</f>
        <v>0</v>
      </c>
      <c r="R444" s="9">
        <f>IF(ABS(F444-$H444)&lt;=1E-9,1,0)</f>
        <v>0</v>
      </c>
      <c r="S444" s="9">
        <f>IF(ABS(G444-$H444)&lt;=1E-9,1,0)</f>
        <v>1</v>
      </c>
      <c r="T444" s="6" t="s">
        <v>26</v>
      </c>
    </row>
    <row r="445" spans="1:20">
      <c r="A445" s="6" t="s">
        <v>502</v>
      </c>
      <c r="B445" s="3">
        <v>50</v>
      </c>
      <c r="C445" s="7">
        <v>298</v>
      </c>
      <c r="D445" s="7">
        <v>310</v>
      </c>
      <c r="E445" s="7">
        <v>300</v>
      </c>
      <c r="F445" s="7">
        <v>271</v>
      </c>
      <c r="G445" s="7">
        <v>238</v>
      </c>
      <c r="H445" s="7">
        <f>MIN(C445:G445)</f>
        <v>238.0</v>
      </c>
      <c r="I445" s="6" t="s">
        <v>26</v>
      </c>
      <c r="J445" s="8">
        <f>IF($H445=0,"",(C445-$H445)/$H445)</f>
        <v>0.25210084033613445</v>
      </c>
      <c r="K445" s="8">
        <f>IF($H445=0,"",(D445-$H445)/$H445)</f>
        <v>0.3025210084033613</v>
      </c>
      <c r="L445" s="8">
        <f>IF($H445=0,"",(E445-$H445)/$H445)</f>
        <v>0.2605042016806723</v>
      </c>
      <c r="M445" s="8">
        <f>IF($H445=0,"",(F445-$H445)/$H445)</f>
        <v>0.13865546218487396</v>
      </c>
      <c r="N445" s="8">
        <f>IF($H445=0,"",(G445-$H445)/$H445)</f>
        <v>0.0</v>
      </c>
      <c r="O445" s="9">
        <f>IF(ABS(C445-$H445)&lt;=1E-9,1,0)</f>
        <v>0</v>
      </c>
      <c r="P445" s="9">
        <f>IF(ABS(D445-$H445)&lt;=1E-9,1,0)</f>
        <v>0</v>
      </c>
      <c r="Q445" s="9">
        <f>IF(ABS(E445-$H445)&lt;=1E-9,1,0)</f>
        <v>0</v>
      </c>
      <c r="R445" s="9">
        <f>IF(ABS(F445-$H445)&lt;=1E-9,1,0)</f>
        <v>0</v>
      </c>
      <c r="S445" s="9">
        <f>IF(ABS(G445-$H445)&lt;=1E-9,1,0)</f>
        <v>1</v>
      </c>
      <c r="T445" s="6" t="s">
        <v>26</v>
      </c>
    </row>
    <row r="446" spans="1:20">
      <c r="A446" s="6" t="s">
        <v>503</v>
      </c>
      <c r="B446" s="3">
        <v>50</v>
      </c>
      <c r="C446" s="7">
        <v>16</v>
      </c>
      <c r="D446" s="7">
        <v>17</v>
      </c>
      <c r="E446" s="7">
        <v>17</v>
      </c>
      <c r="F446" s="7">
        <v>17</v>
      </c>
      <c r="G446" s="7">
        <v>15</v>
      </c>
      <c r="H446" s="7">
        <f>MIN(C446:G446)</f>
        <v>15.0</v>
      </c>
      <c r="I446" s="6" t="s">
        <v>26</v>
      </c>
      <c r="J446" s="8">
        <f>IF($H446=0,"",(C446-$H446)/$H446)</f>
        <v>0.06666666666666667</v>
      </c>
      <c r="K446" s="8">
        <f>IF($H446=0,"",(D446-$H446)/$H446)</f>
        <v>0.13333333333333333</v>
      </c>
      <c r="L446" s="8">
        <f>IF($H446=0,"",(E446-$H446)/$H446)</f>
        <v>0.13333333333333333</v>
      </c>
      <c r="M446" s="8">
        <f>IF($H446=0,"",(F446-$H446)/$H446)</f>
        <v>0.13333333333333333</v>
      </c>
      <c r="N446" s="8">
        <f>IF($H446=0,"",(G446-$H446)/$H446)</f>
        <v>0.0</v>
      </c>
      <c r="O446" s="9">
        <f>IF(ABS(C446-$H446)&lt;=1E-9,1,0)</f>
        <v>0</v>
      </c>
      <c r="P446" s="9">
        <f>IF(ABS(D446-$H446)&lt;=1E-9,1,0)</f>
        <v>0</v>
      </c>
      <c r="Q446" s="9">
        <f>IF(ABS(E446-$H446)&lt;=1E-9,1,0)</f>
        <v>0</v>
      </c>
      <c r="R446" s="9">
        <f>IF(ABS(F446-$H446)&lt;=1E-9,1,0)</f>
        <v>0</v>
      </c>
      <c r="S446" s="9">
        <f>IF(ABS(G446-$H446)&lt;=1E-9,1,0)</f>
        <v>1</v>
      </c>
      <c r="T446" s="6" t="s">
        <v>26</v>
      </c>
    </row>
    <row r="447" spans="1:20">
      <c r="A447" s="6" t="s">
        <v>504</v>
      </c>
      <c r="B447" s="3">
        <v>50</v>
      </c>
      <c r="C447" s="7">
        <v>15</v>
      </c>
      <c r="D447" s="7">
        <v>15</v>
      </c>
      <c r="E447" s="7">
        <v>15</v>
      </c>
      <c r="F447" s="7">
        <v>17</v>
      </c>
      <c r="G447" s="7">
        <v>15</v>
      </c>
      <c r="H447" s="7">
        <f>MIN(C447:G447)</f>
        <v>15.0</v>
      </c>
      <c r="I447" s="6" t="s">
        <v>133</v>
      </c>
      <c r="J447" s="8">
        <f>IF($H447=0,"",(C447-$H447)/$H447)</f>
        <v>0.0</v>
      </c>
      <c r="K447" s="8">
        <f>IF($H447=0,"",(D447-$H447)/$H447)</f>
        <v>0.0</v>
      </c>
      <c r="L447" s="8">
        <f>IF($H447=0,"",(E447-$H447)/$H447)</f>
        <v>0.0</v>
      </c>
      <c r="M447" s="8">
        <f>IF($H447=0,"",(F447-$H447)/$H447)</f>
        <v>0.13333333333333333</v>
      </c>
      <c r="N447" s="8">
        <f>IF($H447=0,"",(G447-$H447)/$H447)</f>
        <v>0.0</v>
      </c>
      <c r="O447" s="9">
        <f>IF(ABS(C447-$H447)&lt;=1E-9,1,0)</f>
        <v>1</v>
      </c>
      <c r="P447" s="9">
        <f>IF(ABS(D447-$H447)&lt;=1E-9,1,0)</f>
        <v>1</v>
      </c>
      <c r="Q447" s="9">
        <f>IF(ABS(E447-$H447)&lt;=1E-9,1,0)</f>
        <v>1</v>
      </c>
      <c r="R447" s="9">
        <f>IF(ABS(F447-$H447)&lt;=1E-9,1,0)</f>
        <v>0</v>
      </c>
      <c r="S447" s="9">
        <f>IF(ABS(G447-$H447)&lt;=1E-9,1,0)</f>
        <v>1</v>
      </c>
      <c r="T447" s="6" t="s">
        <v>51</v>
      </c>
    </row>
    <row r="448" spans="1:20">
      <c r="A448" s="6" t="s">
        <v>505</v>
      </c>
      <c r="B448" s="3">
        <v>50</v>
      </c>
      <c r="C448" s="7">
        <v>266</v>
      </c>
      <c r="D448" s="7">
        <v>260</v>
      </c>
      <c r="E448" s="7">
        <v>260</v>
      </c>
      <c r="F448" s="7">
        <v>250</v>
      </c>
      <c r="G448" s="7">
        <v>208</v>
      </c>
      <c r="H448" s="7">
        <f>MIN(C448:G448)</f>
        <v>208.0</v>
      </c>
      <c r="I448" s="6" t="s">
        <v>26</v>
      </c>
      <c r="J448" s="8">
        <f>IF($H448=0,"",(C448-$H448)/$H448)</f>
        <v>0.27884615384615385</v>
      </c>
      <c r="K448" s="8">
        <f>IF($H448=0,"",(D448-$H448)/$H448)</f>
        <v>0.25</v>
      </c>
      <c r="L448" s="8">
        <f>IF($H448=0,"",(E448-$H448)/$H448)</f>
        <v>0.25</v>
      </c>
      <c r="M448" s="8">
        <f>IF($H448=0,"",(F448-$H448)/$H448)</f>
        <v>0.20192307692307693</v>
      </c>
      <c r="N448" s="8">
        <f>IF($H448=0,"",(G448-$H448)/$H448)</f>
        <v>0.0</v>
      </c>
      <c r="O448" s="9">
        <f>IF(ABS(C448-$H448)&lt;=1E-9,1,0)</f>
        <v>0</v>
      </c>
      <c r="P448" s="9">
        <f>IF(ABS(D448-$H448)&lt;=1E-9,1,0)</f>
        <v>0</v>
      </c>
      <c r="Q448" s="9">
        <f>IF(ABS(E448-$H448)&lt;=1E-9,1,0)</f>
        <v>0</v>
      </c>
      <c r="R448" s="9">
        <f>IF(ABS(F448-$H448)&lt;=1E-9,1,0)</f>
        <v>0</v>
      </c>
      <c r="S448" s="9">
        <f>IF(ABS(G448-$H448)&lt;=1E-9,1,0)</f>
        <v>1</v>
      </c>
      <c r="T448" s="6" t="s">
        <v>26</v>
      </c>
    </row>
    <row r="449" spans="1:20">
      <c r="A449" s="6" t="s">
        <v>506</v>
      </c>
      <c r="B449" s="3">
        <v>50</v>
      </c>
      <c r="C449" s="7">
        <v>293</v>
      </c>
      <c r="D449" s="7">
        <v>282</v>
      </c>
      <c r="E449" s="7">
        <v>293</v>
      </c>
      <c r="F449" s="7">
        <v>269</v>
      </c>
      <c r="G449" s="7">
        <v>225</v>
      </c>
      <c r="H449" s="7">
        <f>MIN(C449:G449)</f>
        <v>225.0</v>
      </c>
      <c r="I449" s="6" t="s">
        <v>26</v>
      </c>
      <c r="J449" s="8">
        <f>IF($H449=0,"",(C449-$H449)/$H449)</f>
        <v>0.3022222222222222</v>
      </c>
      <c r="K449" s="8">
        <f>IF($H449=0,"",(D449-$H449)/$H449)</f>
        <v>0.25333333333333335</v>
      </c>
      <c r="L449" s="8">
        <f>IF($H449=0,"",(E449-$H449)/$H449)</f>
        <v>0.3022222222222222</v>
      </c>
      <c r="M449" s="8">
        <f>IF($H449=0,"",(F449-$H449)/$H449)</f>
        <v>0.19555555555555557</v>
      </c>
      <c r="N449" s="8">
        <f>IF($H449=0,"",(G449-$H449)/$H449)</f>
        <v>0.0</v>
      </c>
      <c r="O449" s="9">
        <f>IF(ABS(C449-$H449)&lt;=1E-9,1,0)</f>
        <v>0</v>
      </c>
      <c r="P449" s="9">
        <f>IF(ABS(D449-$H449)&lt;=1E-9,1,0)</f>
        <v>0</v>
      </c>
      <c r="Q449" s="9">
        <f>IF(ABS(E449-$H449)&lt;=1E-9,1,0)</f>
        <v>0</v>
      </c>
      <c r="R449" s="9">
        <f>IF(ABS(F449-$H449)&lt;=1E-9,1,0)</f>
        <v>0</v>
      </c>
      <c r="S449" s="9">
        <f>IF(ABS(G449-$H449)&lt;=1E-9,1,0)</f>
        <v>1</v>
      </c>
      <c r="T449" s="6" t="s">
        <v>26</v>
      </c>
    </row>
    <row r="450" spans="1:20">
      <c r="A450" s="6" t="s">
        <v>507</v>
      </c>
      <c r="B450" s="3">
        <v>75</v>
      </c>
      <c r="C450" s="7">
        <v>18</v>
      </c>
      <c r="D450" s="7">
        <v>18</v>
      </c>
      <c r="E450" s="7">
        <v>19</v>
      </c>
      <c r="F450" s="7">
        <v>19</v>
      </c>
      <c r="G450" s="7">
        <v>18</v>
      </c>
      <c r="H450" s="7">
        <f>MIN(C450:G450)</f>
        <v>18.0</v>
      </c>
      <c r="I450" s="6" t="s">
        <v>65</v>
      </c>
      <c r="J450" s="8">
        <f>IF($H450=0,"",(C450-$H450)/$H450)</f>
        <v>0.0</v>
      </c>
      <c r="K450" s="8">
        <f>IF($H450=0,"",(D450-$H450)/$H450)</f>
        <v>0.0</v>
      </c>
      <c r="L450" s="8">
        <f>IF($H450=0,"",(E450-$H450)/$H450)</f>
        <v>0.05555555555555555</v>
      </c>
      <c r="M450" s="8">
        <f>IF($H450=0,"",(F450-$H450)/$H450)</f>
        <v>0.05555555555555555</v>
      </c>
      <c r="N450" s="8">
        <f>IF($H450=0,"",(G450-$H450)/$H450)</f>
        <v>0.0</v>
      </c>
      <c r="O450" s="9">
        <f>IF(ABS(C450-$H450)&lt;=1E-9,1,0)</f>
        <v>1</v>
      </c>
      <c r="P450" s="9">
        <f>IF(ABS(D450-$H450)&lt;=1E-9,1,0)</f>
        <v>1</v>
      </c>
      <c r="Q450" s="9">
        <f>IF(ABS(E450-$H450)&lt;=1E-9,1,0)</f>
        <v>0</v>
      </c>
      <c r="R450" s="9">
        <f>IF(ABS(F450-$H450)&lt;=1E-9,1,0)</f>
        <v>0</v>
      </c>
      <c r="S450" s="9">
        <f>IF(ABS(G450-$H450)&lt;=1E-9,1,0)</f>
        <v>1</v>
      </c>
      <c r="T450" s="6" t="s">
        <v>51</v>
      </c>
    </row>
    <row r="451" spans="1:20">
      <c r="A451" s="6" t="s">
        <v>508</v>
      </c>
      <c r="B451" s="3">
        <v>75</v>
      </c>
      <c r="C451" s="7">
        <v>19</v>
      </c>
      <c r="D451" s="7">
        <v>19</v>
      </c>
      <c r="E451" s="7">
        <v>20</v>
      </c>
      <c r="F451" s="7">
        <v>21</v>
      </c>
      <c r="G451" s="7">
        <v>17</v>
      </c>
      <c r="H451" s="7">
        <f>MIN(C451:G451)</f>
        <v>17.0</v>
      </c>
      <c r="I451" s="6" t="s">
        <v>26</v>
      </c>
      <c r="J451" s="8">
        <f>IF($H451=0,"",(C451-$H451)/$H451)</f>
        <v>0.1176470588235294</v>
      </c>
      <c r="K451" s="8">
        <f>IF($H451=0,"",(D451-$H451)/$H451)</f>
        <v>0.1176470588235294</v>
      </c>
      <c r="L451" s="8">
        <f>IF($H451=0,"",(E451-$H451)/$H451)</f>
        <v>0.17647058823529413</v>
      </c>
      <c r="M451" s="8">
        <f>IF($H451=0,"",(F451-$H451)/$H451)</f>
        <v>0.2352941176470588</v>
      </c>
      <c r="N451" s="8">
        <f>IF($H451=0,"",(G451-$H451)/$H451)</f>
        <v>0.0</v>
      </c>
      <c r="O451" s="9">
        <f>IF(ABS(C451-$H451)&lt;=1E-9,1,0)</f>
        <v>0</v>
      </c>
      <c r="P451" s="9">
        <f>IF(ABS(D451-$H451)&lt;=1E-9,1,0)</f>
        <v>0</v>
      </c>
      <c r="Q451" s="9">
        <f>IF(ABS(E451-$H451)&lt;=1E-9,1,0)</f>
        <v>0</v>
      </c>
      <c r="R451" s="9">
        <f>IF(ABS(F451-$H451)&lt;=1E-9,1,0)</f>
        <v>0</v>
      </c>
      <c r="S451" s="9">
        <f>IF(ABS(G451-$H451)&lt;=1E-9,1,0)</f>
        <v>1</v>
      </c>
      <c r="T451" s="6" t="s">
        <v>26</v>
      </c>
    </row>
    <row r="452" spans="1:20">
      <c r="A452" s="6" t="s">
        <v>509</v>
      </c>
      <c r="B452" s="3">
        <v>75</v>
      </c>
      <c r="C452" s="7">
        <v>391</v>
      </c>
      <c r="D452" s="7">
        <v>375</v>
      </c>
      <c r="E452" s="7">
        <v>390</v>
      </c>
      <c r="F452" s="7">
        <v>326</v>
      </c>
      <c r="G452" s="7">
        <v>271</v>
      </c>
      <c r="H452" s="7">
        <f>MIN(C452:G452)</f>
        <v>271.0</v>
      </c>
      <c r="I452" s="6" t="s">
        <v>26</v>
      </c>
      <c r="J452" s="8">
        <f>IF($H452=0,"",(C452-$H452)/$H452)</f>
        <v>0.44280442804428044</v>
      </c>
      <c r="K452" s="8">
        <f>IF($H452=0,"",(D452-$H452)/$H452)</f>
        <v>0.38376383763837635</v>
      </c>
      <c r="L452" s="8">
        <f>IF($H452=0,"",(E452-$H452)/$H452)</f>
        <v>0.43911439114391143</v>
      </c>
      <c r="M452" s="8">
        <f>IF($H452=0,"",(F452-$H452)/$H452)</f>
        <v>0.2029520295202952</v>
      </c>
      <c r="N452" s="8">
        <f>IF($H452=0,"",(G452-$H452)/$H452)</f>
        <v>0.0</v>
      </c>
      <c r="O452" s="9">
        <f>IF(ABS(C452-$H452)&lt;=1E-9,1,0)</f>
        <v>0</v>
      </c>
      <c r="P452" s="9">
        <f>IF(ABS(D452-$H452)&lt;=1E-9,1,0)</f>
        <v>0</v>
      </c>
      <c r="Q452" s="9">
        <f>IF(ABS(E452-$H452)&lt;=1E-9,1,0)</f>
        <v>0</v>
      </c>
      <c r="R452" s="9">
        <f>IF(ABS(F452-$H452)&lt;=1E-9,1,0)</f>
        <v>0</v>
      </c>
      <c r="S452" s="9">
        <f>IF(ABS(G452-$H452)&lt;=1E-9,1,0)</f>
        <v>1</v>
      </c>
      <c r="T452" s="6" t="s">
        <v>26</v>
      </c>
    </row>
    <row r="453" spans="1:20">
      <c r="A453" s="6" t="s">
        <v>510</v>
      </c>
      <c r="B453" s="3">
        <v>75</v>
      </c>
      <c r="C453" s="7">
        <v>362</v>
      </c>
      <c r="D453" s="7">
        <v>364</v>
      </c>
      <c r="E453" s="7">
        <v>378</v>
      </c>
      <c r="F453" s="7">
        <v>324</v>
      </c>
      <c r="G453" s="7">
        <v>272</v>
      </c>
      <c r="H453" s="7">
        <f>MIN(C453:G453)</f>
        <v>272.0</v>
      </c>
      <c r="I453" s="6" t="s">
        <v>26</v>
      </c>
      <c r="J453" s="8">
        <f>IF($H453=0,"",(C453-$H453)/$H453)</f>
        <v>0.33088235294117646</v>
      </c>
      <c r="K453" s="8">
        <f>IF($H453=0,"",(D453-$H453)/$H453)</f>
        <v>0.3382352941176471</v>
      </c>
      <c r="L453" s="8">
        <f>IF($H453=0,"",(E453-$H453)/$H453)</f>
        <v>0.3897058823529412</v>
      </c>
      <c r="M453" s="8">
        <f>IF($H453=0,"",(F453-$H453)/$H453)</f>
        <v>0.19117647058823528</v>
      </c>
      <c r="N453" s="8">
        <f>IF($H453=0,"",(G453-$H453)/$H453)</f>
        <v>0.0</v>
      </c>
      <c r="O453" s="9">
        <f>IF(ABS(C453-$H453)&lt;=1E-9,1,0)</f>
        <v>0</v>
      </c>
      <c r="P453" s="9">
        <f>IF(ABS(D453-$H453)&lt;=1E-9,1,0)</f>
        <v>0</v>
      </c>
      <c r="Q453" s="9">
        <f>IF(ABS(E453-$H453)&lt;=1E-9,1,0)</f>
        <v>0</v>
      </c>
      <c r="R453" s="9">
        <f>IF(ABS(F453-$H453)&lt;=1E-9,1,0)</f>
        <v>0</v>
      </c>
      <c r="S453" s="9">
        <f>IF(ABS(G453-$H453)&lt;=1E-9,1,0)</f>
        <v>1</v>
      </c>
      <c r="T453" s="6" t="s">
        <v>26</v>
      </c>
    </row>
    <row r="454" spans="1:20">
      <c r="A454" s="6" t="s">
        <v>511</v>
      </c>
      <c r="B454" s="3">
        <v>75</v>
      </c>
      <c r="C454" s="7">
        <v>16</v>
      </c>
      <c r="D454" s="7">
        <v>16</v>
      </c>
      <c r="E454" s="7">
        <v>16</v>
      </c>
      <c r="F454" s="7">
        <v>21</v>
      </c>
      <c r="G454" s="7">
        <v>13</v>
      </c>
      <c r="H454" s="7">
        <f>MIN(C454:G454)</f>
        <v>13.0</v>
      </c>
      <c r="I454" s="6" t="s">
        <v>26</v>
      </c>
      <c r="J454" s="8">
        <f>IF($H454=0,"",(C454-$H454)/$H454)</f>
        <v>0.23076923076923075</v>
      </c>
      <c r="K454" s="8">
        <f>IF($H454=0,"",(D454-$H454)/$H454)</f>
        <v>0.23076923076923075</v>
      </c>
      <c r="L454" s="8">
        <f>IF($H454=0,"",(E454-$H454)/$H454)</f>
        <v>0.23076923076923075</v>
      </c>
      <c r="M454" s="8">
        <f>IF($H454=0,"",(F454-$H454)/$H454)</f>
        <v>0.6153846153846154</v>
      </c>
      <c r="N454" s="8">
        <f>IF($H454=0,"",(G454-$H454)/$H454)</f>
        <v>0.0</v>
      </c>
      <c r="O454" s="9">
        <f>IF(ABS(C454-$H454)&lt;=1E-9,1,0)</f>
        <v>0</v>
      </c>
      <c r="P454" s="9">
        <f>IF(ABS(D454-$H454)&lt;=1E-9,1,0)</f>
        <v>0</v>
      </c>
      <c r="Q454" s="9">
        <f>IF(ABS(E454-$H454)&lt;=1E-9,1,0)</f>
        <v>0</v>
      </c>
      <c r="R454" s="9">
        <f>IF(ABS(F454-$H454)&lt;=1E-9,1,0)</f>
        <v>0</v>
      </c>
      <c r="S454" s="9">
        <f>IF(ABS(G454-$H454)&lt;=1E-9,1,0)</f>
        <v>1</v>
      </c>
      <c r="T454" s="6" t="s">
        <v>26</v>
      </c>
    </row>
    <row r="455" spans="1:20">
      <c r="A455" s="6" t="s">
        <v>512</v>
      </c>
      <c r="B455" s="3">
        <v>75</v>
      </c>
      <c r="C455" s="7">
        <v>16</v>
      </c>
      <c r="D455" s="7">
        <v>16</v>
      </c>
      <c r="E455" s="7">
        <v>17</v>
      </c>
      <c r="F455" s="7">
        <v>22</v>
      </c>
      <c r="G455" s="7">
        <v>13</v>
      </c>
      <c r="H455" s="7">
        <f>MIN(C455:G455)</f>
        <v>13.0</v>
      </c>
      <c r="I455" s="6" t="s">
        <v>26</v>
      </c>
      <c r="J455" s="8">
        <f>IF($H455=0,"",(C455-$H455)/$H455)</f>
        <v>0.23076923076923075</v>
      </c>
      <c r="K455" s="8">
        <f>IF($H455=0,"",(D455-$H455)/$H455)</f>
        <v>0.23076923076923075</v>
      </c>
      <c r="L455" s="8">
        <f>IF($H455=0,"",(E455-$H455)/$H455)</f>
        <v>0.3076923076923077</v>
      </c>
      <c r="M455" s="8">
        <f>IF($H455=0,"",(F455-$H455)/$H455)</f>
        <v>0.6923076923076923</v>
      </c>
      <c r="N455" s="8">
        <f>IF($H455=0,"",(G455-$H455)/$H455)</f>
        <v>0.0</v>
      </c>
      <c r="O455" s="9">
        <f>IF(ABS(C455-$H455)&lt;=1E-9,1,0)</f>
        <v>0</v>
      </c>
      <c r="P455" s="9">
        <f>IF(ABS(D455-$H455)&lt;=1E-9,1,0)</f>
        <v>0</v>
      </c>
      <c r="Q455" s="9">
        <f>IF(ABS(E455-$H455)&lt;=1E-9,1,0)</f>
        <v>0</v>
      </c>
      <c r="R455" s="9">
        <f>IF(ABS(F455-$H455)&lt;=1E-9,1,0)</f>
        <v>0</v>
      </c>
      <c r="S455" s="9">
        <f>IF(ABS(G455-$H455)&lt;=1E-9,1,0)</f>
        <v>1</v>
      </c>
      <c r="T455" s="6" t="s">
        <v>26</v>
      </c>
    </row>
    <row r="456" spans="1:20">
      <c r="A456" s="6" t="s">
        <v>513</v>
      </c>
      <c r="B456" s="3">
        <v>75</v>
      </c>
      <c r="C456" s="7">
        <v>356</v>
      </c>
      <c r="D456" s="7">
        <v>344</v>
      </c>
      <c r="E456" s="7">
        <v>355</v>
      </c>
      <c r="F456" s="7">
        <v>326</v>
      </c>
      <c r="G456" s="7">
        <v>283</v>
      </c>
      <c r="H456" s="7">
        <f>MIN(C456:G456)</f>
        <v>283.0</v>
      </c>
      <c r="I456" s="6" t="s">
        <v>26</v>
      </c>
      <c r="J456" s="8">
        <f>IF($H456=0,"",(C456-$H456)/$H456)</f>
        <v>0.2579505300353357</v>
      </c>
      <c r="K456" s="8">
        <f>IF($H456=0,"",(D456-$H456)/$H456)</f>
        <v>0.21554770318021202</v>
      </c>
      <c r="L456" s="8">
        <f>IF($H456=0,"",(E456-$H456)/$H456)</f>
        <v>0.254416961130742</v>
      </c>
      <c r="M456" s="8">
        <f>IF($H456=0,"",(F456-$H456)/$H456)</f>
        <v>0.1519434628975265</v>
      </c>
      <c r="N456" s="8">
        <f>IF($H456=0,"",(G456-$H456)/$H456)</f>
        <v>0.0</v>
      </c>
      <c r="O456" s="9">
        <f>IF(ABS(C456-$H456)&lt;=1E-9,1,0)</f>
        <v>0</v>
      </c>
      <c r="P456" s="9">
        <f>IF(ABS(D456-$H456)&lt;=1E-9,1,0)</f>
        <v>0</v>
      </c>
      <c r="Q456" s="9">
        <f>IF(ABS(E456-$H456)&lt;=1E-9,1,0)</f>
        <v>0</v>
      </c>
      <c r="R456" s="9">
        <f>IF(ABS(F456-$H456)&lt;=1E-9,1,0)</f>
        <v>0</v>
      </c>
      <c r="S456" s="9">
        <f>IF(ABS(G456-$H456)&lt;=1E-9,1,0)</f>
        <v>1</v>
      </c>
      <c r="T456" s="6" t="s">
        <v>26</v>
      </c>
    </row>
    <row r="457" spans="1:20">
      <c r="A457" s="6" t="s">
        <v>514</v>
      </c>
      <c r="B457" s="3">
        <v>75</v>
      </c>
      <c r="C457" s="7">
        <v>335</v>
      </c>
      <c r="D457" s="7">
        <v>327</v>
      </c>
      <c r="E457" s="7">
        <v>340</v>
      </c>
      <c r="F457" s="7">
        <v>319</v>
      </c>
      <c r="G457" s="7">
        <v>252</v>
      </c>
      <c r="H457" s="7">
        <f>MIN(C457:G457)</f>
        <v>252.0</v>
      </c>
      <c r="I457" s="6" t="s">
        <v>26</v>
      </c>
      <c r="J457" s="8">
        <f>IF($H457=0,"",(C457-$H457)/$H457)</f>
        <v>0.32936507936507936</v>
      </c>
      <c r="K457" s="8">
        <f>IF($H457=0,"",(D457-$H457)/$H457)</f>
        <v>0.2976190476190476</v>
      </c>
      <c r="L457" s="8">
        <f>IF($H457=0,"",(E457-$H457)/$H457)</f>
        <v>0.3492063492063492</v>
      </c>
      <c r="M457" s="8">
        <f>IF($H457=0,"",(F457-$H457)/$H457)</f>
        <v>0.26587301587301587</v>
      </c>
      <c r="N457" s="8">
        <f>IF($H457=0,"",(G457-$H457)/$H457)</f>
        <v>0.0</v>
      </c>
      <c r="O457" s="9">
        <f>IF(ABS(C457-$H457)&lt;=1E-9,1,0)</f>
        <v>0</v>
      </c>
      <c r="P457" s="9">
        <f>IF(ABS(D457-$H457)&lt;=1E-9,1,0)</f>
        <v>0</v>
      </c>
      <c r="Q457" s="9">
        <f>IF(ABS(E457-$H457)&lt;=1E-9,1,0)</f>
        <v>0</v>
      </c>
      <c r="R457" s="9">
        <f>IF(ABS(F457-$H457)&lt;=1E-9,1,0)</f>
        <v>0</v>
      </c>
      <c r="S457" s="9">
        <f>IF(ABS(G457-$H457)&lt;=1E-9,1,0)</f>
        <v>1</v>
      </c>
      <c r="T457" s="6" t="s">
        <v>26</v>
      </c>
    </row>
    <row r="458" spans="1:20">
      <c r="A458" s="6" t="s">
        <v>515</v>
      </c>
      <c r="B458" s="3">
        <v>75</v>
      </c>
      <c r="C458" s="7">
        <v>31</v>
      </c>
      <c r="D458" s="7">
        <v>32</v>
      </c>
      <c r="E458" s="7">
        <v>31</v>
      </c>
      <c r="F458" s="7">
        <v>28</v>
      </c>
      <c r="G458" s="7">
        <v>27</v>
      </c>
      <c r="H458" s="7">
        <f>MIN(C458:G458)</f>
        <v>27.0</v>
      </c>
      <c r="I458" s="6" t="s">
        <v>26</v>
      </c>
      <c r="J458" s="8">
        <f>IF($H458=0,"",(C458-$H458)/$H458)</f>
        <v>0.14814814814814814</v>
      </c>
      <c r="K458" s="8">
        <f>IF($H458=0,"",(D458-$H458)/$H458)</f>
        <v>0.1851851851851852</v>
      </c>
      <c r="L458" s="8">
        <f>IF($H458=0,"",(E458-$H458)/$H458)</f>
        <v>0.14814814814814814</v>
      </c>
      <c r="M458" s="8">
        <f>IF($H458=0,"",(F458-$H458)/$H458)</f>
        <v>0.037037037037037035</v>
      </c>
      <c r="N458" s="8">
        <f>IF($H458=0,"",(G458-$H458)/$H458)</f>
        <v>0.0</v>
      </c>
      <c r="O458" s="9">
        <f>IF(ABS(C458-$H458)&lt;=1E-9,1,0)</f>
        <v>0</v>
      </c>
      <c r="P458" s="9">
        <f>IF(ABS(D458-$H458)&lt;=1E-9,1,0)</f>
        <v>0</v>
      </c>
      <c r="Q458" s="9">
        <f>IF(ABS(E458-$H458)&lt;=1E-9,1,0)</f>
        <v>0</v>
      </c>
      <c r="R458" s="9">
        <f>IF(ABS(F458-$H458)&lt;=1E-9,1,0)</f>
        <v>0</v>
      </c>
      <c r="S458" s="9">
        <f>IF(ABS(G458-$H458)&lt;=1E-9,1,0)</f>
        <v>1</v>
      </c>
      <c r="T458" s="6" t="s">
        <v>26</v>
      </c>
    </row>
    <row r="459" spans="1:20">
      <c r="A459" s="6" t="s">
        <v>516</v>
      </c>
      <c r="B459" s="3">
        <v>75</v>
      </c>
      <c r="C459" s="7">
        <v>30</v>
      </c>
      <c r="D459" s="7">
        <v>30</v>
      </c>
      <c r="E459" s="7">
        <v>30</v>
      </c>
      <c r="F459" s="7">
        <v>27</v>
      </c>
      <c r="G459" s="7">
        <v>26</v>
      </c>
      <c r="H459" s="7">
        <f>MIN(C459:G459)</f>
        <v>26.0</v>
      </c>
      <c r="I459" s="6" t="s">
        <v>26</v>
      </c>
      <c r="J459" s="8">
        <f>IF($H459=0,"",(C459-$H459)/$H459)</f>
        <v>0.15384615384615385</v>
      </c>
      <c r="K459" s="8">
        <f>IF($H459=0,"",(D459-$H459)/$H459)</f>
        <v>0.15384615384615385</v>
      </c>
      <c r="L459" s="8">
        <f>IF($H459=0,"",(E459-$H459)/$H459)</f>
        <v>0.15384615384615385</v>
      </c>
      <c r="M459" s="8">
        <f>IF($H459=0,"",(F459-$H459)/$H459)</f>
        <v>0.038461538461538464</v>
      </c>
      <c r="N459" s="8">
        <f>IF($H459=0,"",(G459-$H459)/$H459)</f>
        <v>0.0</v>
      </c>
      <c r="O459" s="9">
        <f>IF(ABS(C459-$H459)&lt;=1E-9,1,0)</f>
        <v>0</v>
      </c>
      <c r="P459" s="9">
        <f>IF(ABS(D459-$H459)&lt;=1E-9,1,0)</f>
        <v>0</v>
      </c>
      <c r="Q459" s="9">
        <f>IF(ABS(E459-$H459)&lt;=1E-9,1,0)</f>
        <v>0</v>
      </c>
      <c r="R459" s="9">
        <f>IF(ABS(F459-$H459)&lt;=1E-9,1,0)</f>
        <v>0</v>
      </c>
      <c r="S459" s="9">
        <f>IF(ABS(G459-$H459)&lt;=1E-9,1,0)</f>
        <v>1</v>
      </c>
      <c r="T459" s="6" t="s">
        <v>26</v>
      </c>
    </row>
    <row r="460" spans="1:20">
      <c r="A460" s="6" t="s">
        <v>517</v>
      </c>
      <c r="B460" s="3">
        <v>75</v>
      </c>
      <c r="C460" s="7">
        <v>462</v>
      </c>
      <c r="D460" s="7">
        <v>464</v>
      </c>
      <c r="E460" s="7">
        <v>491</v>
      </c>
      <c r="F460" s="7">
        <v>371</v>
      </c>
      <c r="G460" s="7">
        <v>359</v>
      </c>
      <c r="H460" s="7">
        <f>MIN(C460:G460)</f>
        <v>359.0</v>
      </c>
      <c r="I460" s="6" t="s">
        <v>26</v>
      </c>
      <c r="J460" s="8">
        <f>IF($H460=0,"",(C460-$H460)/$H460)</f>
        <v>0.28690807799442897</v>
      </c>
      <c r="K460" s="8">
        <f>IF($H460=0,"",(D460-$H460)/$H460)</f>
        <v>0.2924791086350975</v>
      </c>
      <c r="L460" s="8">
        <f>IF($H460=0,"",(E460-$H460)/$H460)</f>
        <v>0.36768802228412256</v>
      </c>
      <c r="M460" s="8">
        <f>IF($H460=0,"",(F460-$H460)/$H460)</f>
        <v>0.033426183844011144</v>
      </c>
      <c r="N460" s="8">
        <f>IF($H460=0,"",(G460-$H460)/$H460)</f>
        <v>0.0</v>
      </c>
      <c r="O460" s="9">
        <f>IF(ABS(C460-$H460)&lt;=1E-9,1,0)</f>
        <v>0</v>
      </c>
      <c r="P460" s="9">
        <f>IF(ABS(D460-$H460)&lt;=1E-9,1,0)</f>
        <v>0</v>
      </c>
      <c r="Q460" s="9">
        <f>IF(ABS(E460-$H460)&lt;=1E-9,1,0)</f>
        <v>0</v>
      </c>
      <c r="R460" s="9">
        <f>IF(ABS(F460-$H460)&lt;=1E-9,1,0)</f>
        <v>0</v>
      </c>
      <c r="S460" s="9">
        <f>IF(ABS(G460-$H460)&lt;=1E-9,1,0)</f>
        <v>1</v>
      </c>
      <c r="T460" s="6" t="s">
        <v>26</v>
      </c>
    </row>
    <row r="461" spans="1:20">
      <c r="A461" s="6" t="s">
        <v>518</v>
      </c>
      <c r="B461" s="3">
        <v>75</v>
      </c>
      <c r="C461" s="7">
        <v>454</v>
      </c>
      <c r="D461" s="7">
        <v>467</v>
      </c>
      <c r="E461" s="7">
        <v>454</v>
      </c>
      <c r="F461" s="7">
        <v>386</v>
      </c>
      <c r="G461" s="7">
        <v>356</v>
      </c>
      <c r="H461" s="7">
        <f>MIN(C461:G461)</f>
        <v>356.0</v>
      </c>
      <c r="I461" s="6" t="s">
        <v>26</v>
      </c>
      <c r="J461" s="8">
        <f>IF($H461=0,"",(C461-$H461)/$H461)</f>
        <v>0.2752808988764045</v>
      </c>
      <c r="K461" s="8">
        <f>IF($H461=0,"",(D461-$H461)/$H461)</f>
        <v>0.31179775280898875</v>
      </c>
      <c r="L461" s="8">
        <f>IF($H461=0,"",(E461-$H461)/$H461)</f>
        <v>0.2752808988764045</v>
      </c>
      <c r="M461" s="8">
        <f>IF($H461=0,"",(F461-$H461)/$H461)</f>
        <v>0.08426966292134833</v>
      </c>
      <c r="N461" s="8">
        <f>IF($H461=0,"",(G461-$H461)/$H461)</f>
        <v>0.0</v>
      </c>
      <c r="O461" s="9">
        <f>IF(ABS(C461-$H461)&lt;=1E-9,1,0)</f>
        <v>0</v>
      </c>
      <c r="P461" s="9">
        <f>IF(ABS(D461-$H461)&lt;=1E-9,1,0)</f>
        <v>0</v>
      </c>
      <c r="Q461" s="9">
        <f>IF(ABS(E461-$H461)&lt;=1E-9,1,0)</f>
        <v>0</v>
      </c>
      <c r="R461" s="9">
        <f>IF(ABS(F461-$H461)&lt;=1E-9,1,0)</f>
        <v>0</v>
      </c>
      <c r="S461" s="9">
        <f>IF(ABS(G461-$H461)&lt;=1E-9,1,0)</f>
        <v>1</v>
      </c>
      <c r="T461" s="6" t="s">
        <v>26</v>
      </c>
    </row>
    <row r="462" spans="1:20">
      <c r="A462" s="6" t="s">
        <v>519</v>
      </c>
      <c r="B462" s="3">
        <v>75</v>
      </c>
      <c r="C462" s="7">
        <v>23</v>
      </c>
      <c r="D462" s="7">
        <v>24</v>
      </c>
      <c r="E462" s="7">
        <v>24</v>
      </c>
      <c r="F462" s="7">
        <v>24</v>
      </c>
      <c r="G462" s="7">
        <v>23</v>
      </c>
      <c r="H462" s="7">
        <f>MIN(C462:G462)</f>
        <v>23.0</v>
      </c>
      <c r="I462" s="6" t="s">
        <v>119</v>
      </c>
      <c r="J462" s="8">
        <f>IF($H462=0,"",(C462-$H462)/$H462)</f>
        <v>0.0</v>
      </c>
      <c r="K462" s="8">
        <f>IF($H462=0,"",(D462-$H462)/$H462)</f>
        <v>0.043478260869565216</v>
      </c>
      <c r="L462" s="8">
        <f>IF($H462=0,"",(E462-$H462)/$H462)</f>
        <v>0.043478260869565216</v>
      </c>
      <c r="M462" s="8">
        <f>IF($H462=0,"",(F462-$H462)/$H462)</f>
        <v>0.043478260869565216</v>
      </c>
      <c r="N462" s="8">
        <f>IF($H462=0,"",(G462-$H462)/$H462)</f>
        <v>0.0</v>
      </c>
      <c r="O462" s="9">
        <f>IF(ABS(C462-$H462)&lt;=1E-9,1,0)</f>
        <v>1</v>
      </c>
      <c r="P462" s="9">
        <f>IF(ABS(D462-$H462)&lt;=1E-9,1,0)</f>
        <v>0</v>
      </c>
      <c r="Q462" s="9">
        <f>IF(ABS(E462-$H462)&lt;=1E-9,1,0)</f>
        <v>0</v>
      </c>
      <c r="R462" s="9">
        <f>IF(ABS(F462-$H462)&lt;=1E-9,1,0)</f>
        <v>0</v>
      </c>
      <c r="S462" s="9">
        <f>IF(ABS(G462-$H462)&lt;=1E-9,1,0)</f>
        <v>1</v>
      </c>
      <c r="T462" s="6" t="s">
        <v>51</v>
      </c>
    </row>
    <row r="463" spans="1:20">
      <c r="A463" s="6" t="s">
        <v>520</v>
      </c>
      <c r="B463" s="3">
        <v>75</v>
      </c>
      <c r="C463" s="7">
        <v>23</v>
      </c>
      <c r="D463" s="7">
        <v>23</v>
      </c>
      <c r="E463" s="7">
        <v>23</v>
      </c>
      <c r="F463" s="7">
        <v>25</v>
      </c>
      <c r="G463" s="7">
        <v>22</v>
      </c>
      <c r="H463" s="7">
        <f>MIN(C463:G463)</f>
        <v>22.0</v>
      </c>
      <c r="I463" s="6" t="s">
        <v>26</v>
      </c>
      <c r="J463" s="8">
        <f>IF($H463=0,"",(C463-$H463)/$H463)</f>
        <v>0.045454545454545456</v>
      </c>
      <c r="K463" s="8">
        <f>IF($H463=0,"",(D463-$H463)/$H463)</f>
        <v>0.045454545454545456</v>
      </c>
      <c r="L463" s="8">
        <f>IF($H463=0,"",(E463-$H463)/$H463)</f>
        <v>0.045454545454545456</v>
      </c>
      <c r="M463" s="8">
        <f>IF($H463=0,"",(F463-$H463)/$H463)</f>
        <v>0.13636363636363635</v>
      </c>
      <c r="N463" s="8">
        <f>IF($H463=0,"",(G463-$H463)/$H463)</f>
        <v>0.0</v>
      </c>
      <c r="O463" s="9">
        <f>IF(ABS(C463-$H463)&lt;=1E-9,1,0)</f>
        <v>0</v>
      </c>
      <c r="P463" s="9">
        <f>IF(ABS(D463-$H463)&lt;=1E-9,1,0)</f>
        <v>0</v>
      </c>
      <c r="Q463" s="9">
        <f>IF(ABS(E463-$H463)&lt;=1E-9,1,0)</f>
        <v>0</v>
      </c>
      <c r="R463" s="9">
        <f>IF(ABS(F463-$H463)&lt;=1E-9,1,0)</f>
        <v>0</v>
      </c>
      <c r="S463" s="9">
        <f>IF(ABS(G463-$H463)&lt;=1E-9,1,0)</f>
        <v>1</v>
      </c>
      <c r="T463" s="6" t="s">
        <v>26</v>
      </c>
    </row>
    <row r="464" spans="1:20">
      <c r="A464" s="6" t="s">
        <v>521</v>
      </c>
      <c r="B464" s="3">
        <v>75</v>
      </c>
      <c r="C464" s="7">
        <v>457</v>
      </c>
      <c r="D464" s="7">
        <v>462</v>
      </c>
      <c r="E464" s="7">
        <v>459</v>
      </c>
      <c r="F464" s="7">
        <v>391</v>
      </c>
      <c r="G464" s="7">
        <v>347</v>
      </c>
      <c r="H464" s="7">
        <f>MIN(C464:G464)</f>
        <v>347.0</v>
      </c>
      <c r="I464" s="6" t="s">
        <v>26</v>
      </c>
      <c r="J464" s="8">
        <f>IF($H464=0,"",(C464-$H464)/$H464)</f>
        <v>0.3170028818443804</v>
      </c>
      <c r="K464" s="8">
        <f>IF($H464=0,"",(D464-$H464)/$H464)</f>
        <v>0.3314121037463977</v>
      </c>
      <c r="L464" s="8">
        <f>IF($H464=0,"",(E464-$H464)/$H464)</f>
        <v>0.3227665706051873</v>
      </c>
      <c r="M464" s="8">
        <f>IF($H464=0,"",(F464-$H464)/$H464)</f>
        <v>0.12680115273775217</v>
      </c>
      <c r="N464" s="8">
        <f>IF($H464=0,"",(G464-$H464)/$H464)</f>
        <v>0.0</v>
      </c>
      <c r="O464" s="9">
        <f>IF(ABS(C464-$H464)&lt;=1E-9,1,0)</f>
        <v>0</v>
      </c>
      <c r="P464" s="9">
        <f>IF(ABS(D464-$H464)&lt;=1E-9,1,0)</f>
        <v>0</v>
      </c>
      <c r="Q464" s="9">
        <f>IF(ABS(E464-$H464)&lt;=1E-9,1,0)</f>
        <v>0</v>
      </c>
      <c r="R464" s="9">
        <f>IF(ABS(F464-$H464)&lt;=1E-9,1,0)</f>
        <v>0</v>
      </c>
      <c r="S464" s="9">
        <f>IF(ABS(G464-$H464)&lt;=1E-9,1,0)</f>
        <v>1</v>
      </c>
      <c r="T464" s="6" t="s">
        <v>26</v>
      </c>
    </row>
    <row r="465" spans="1:20">
      <c r="A465" s="6" t="s">
        <v>522</v>
      </c>
      <c r="B465" s="3">
        <v>75</v>
      </c>
      <c r="C465" s="7">
        <v>432</v>
      </c>
      <c r="D465" s="7">
        <v>437</v>
      </c>
      <c r="E465" s="7">
        <v>426</v>
      </c>
      <c r="F465" s="7">
        <v>369</v>
      </c>
      <c r="G465" s="7">
        <v>324</v>
      </c>
      <c r="H465" s="7">
        <f>MIN(C465:G465)</f>
        <v>324.0</v>
      </c>
      <c r="I465" s="6" t="s">
        <v>26</v>
      </c>
      <c r="J465" s="8">
        <f>IF($H465=0,"",(C465-$H465)/$H465)</f>
        <v>0.33333333333333326</v>
      </c>
      <c r="K465" s="8">
        <f>IF($H465=0,"",(D465-$H465)/$H465)</f>
        <v>0.3487654320987654</v>
      </c>
      <c r="L465" s="8">
        <f>IF($H465=0,"",(E465-$H465)/$H465)</f>
        <v>0.3148148148148148</v>
      </c>
      <c r="M465" s="8">
        <f>IF($H465=0,"",(F465-$H465)/$H465)</f>
        <v>0.1388888888888889</v>
      </c>
      <c r="N465" s="8">
        <f>IF($H465=0,"",(G465-$H465)/$H465)</f>
        <v>0.0</v>
      </c>
      <c r="O465" s="9">
        <f>IF(ABS(C465-$H465)&lt;=1E-9,1,0)</f>
        <v>0</v>
      </c>
      <c r="P465" s="9">
        <f>IF(ABS(D465-$H465)&lt;=1E-9,1,0)</f>
        <v>0</v>
      </c>
      <c r="Q465" s="9">
        <f>IF(ABS(E465-$H465)&lt;=1E-9,1,0)</f>
        <v>0</v>
      </c>
      <c r="R465" s="9">
        <f>IF(ABS(F465-$H465)&lt;=1E-9,1,0)</f>
        <v>0</v>
      </c>
      <c r="S465" s="9">
        <f>IF(ABS(G465-$H465)&lt;=1E-9,1,0)</f>
        <v>1</v>
      </c>
      <c r="T465" s="6" t="s">
        <v>26</v>
      </c>
    </row>
    <row r="466" spans="1:20">
      <c r="A466" s="6" t="s">
        <v>523</v>
      </c>
      <c r="B466" s="3">
        <v>75</v>
      </c>
      <c r="C466" s="7">
        <v>17</v>
      </c>
      <c r="D466" s="7">
        <v>17</v>
      </c>
      <c r="E466" s="7">
        <v>18</v>
      </c>
      <c r="F466" s="7">
        <v>21</v>
      </c>
      <c r="G466" s="7">
        <v>16</v>
      </c>
      <c r="H466" s="7">
        <f>MIN(C466:G466)</f>
        <v>16.0</v>
      </c>
      <c r="I466" s="6" t="s">
        <v>26</v>
      </c>
      <c r="J466" s="8">
        <f>IF($H466=0,"",(C466-$H466)/$H466)</f>
        <v>0.0625</v>
      </c>
      <c r="K466" s="8">
        <f>IF($H466=0,"",(D466-$H466)/$H466)</f>
        <v>0.0625</v>
      </c>
      <c r="L466" s="8">
        <f>IF($H466=0,"",(E466-$H466)/$H466)</f>
        <v>0.125</v>
      </c>
      <c r="M466" s="8">
        <f>IF($H466=0,"",(F466-$H466)/$H466)</f>
        <v>0.3125</v>
      </c>
      <c r="N466" s="8">
        <f>IF($H466=0,"",(G466-$H466)/$H466)</f>
        <v>0.0</v>
      </c>
      <c r="O466" s="9">
        <f>IF(ABS(C466-$H466)&lt;=1E-9,1,0)</f>
        <v>0</v>
      </c>
      <c r="P466" s="9">
        <f>IF(ABS(D466-$H466)&lt;=1E-9,1,0)</f>
        <v>0</v>
      </c>
      <c r="Q466" s="9">
        <f>IF(ABS(E466-$H466)&lt;=1E-9,1,0)</f>
        <v>0</v>
      </c>
      <c r="R466" s="9">
        <f>IF(ABS(F466-$H466)&lt;=1E-9,1,0)</f>
        <v>0</v>
      </c>
      <c r="S466" s="9">
        <f>IF(ABS(G466-$H466)&lt;=1E-9,1,0)</f>
        <v>1</v>
      </c>
      <c r="T466" s="6" t="s">
        <v>26</v>
      </c>
    </row>
    <row r="467" spans="1:20">
      <c r="A467" s="6" t="s">
        <v>524</v>
      </c>
      <c r="B467" s="3">
        <v>75</v>
      </c>
      <c r="C467" s="7">
        <v>18</v>
      </c>
      <c r="D467" s="7">
        <v>18</v>
      </c>
      <c r="E467" s="7">
        <v>18</v>
      </c>
      <c r="F467" s="7">
        <v>22</v>
      </c>
      <c r="G467" s="7">
        <v>16</v>
      </c>
      <c r="H467" s="7">
        <f>MIN(C467:G467)</f>
        <v>16.0</v>
      </c>
      <c r="I467" s="6" t="s">
        <v>26</v>
      </c>
      <c r="J467" s="8">
        <f>IF($H467=0,"",(C467-$H467)/$H467)</f>
        <v>0.125</v>
      </c>
      <c r="K467" s="8">
        <f>IF($H467=0,"",(D467-$H467)/$H467)</f>
        <v>0.125</v>
      </c>
      <c r="L467" s="8">
        <f>IF($H467=0,"",(E467-$H467)/$H467)</f>
        <v>0.125</v>
      </c>
      <c r="M467" s="8">
        <f>IF($H467=0,"",(F467-$H467)/$H467)</f>
        <v>0.375</v>
      </c>
      <c r="N467" s="8">
        <f>IF($H467=0,"",(G467-$H467)/$H467)</f>
        <v>0.0</v>
      </c>
      <c r="O467" s="9">
        <f>IF(ABS(C467-$H467)&lt;=1E-9,1,0)</f>
        <v>0</v>
      </c>
      <c r="P467" s="9">
        <f>IF(ABS(D467-$H467)&lt;=1E-9,1,0)</f>
        <v>0</v>
      </c>
      <c r="Q467" s="9">
        <f>IF(ABS(E467-$H467)&lt;=1E-9,1,0)</f>
        <v>0</v>
      </c>
      <c r="R467" s="9">
        <f>IF(ABS(F467-$H467)&lt;=1E-9,1,0)</f>
        <v>0</v>
      </c>
      <c r="S467" s="9">
        <f>IF(ABS(G467-$H467)&lt;=1E-9,1,0)</f>
        <v>1</v>
      </c>
      <c r="T467" s="6" t="s">
        <v>26</v>
      </c>
    </row>
    <row r="468" spans="1:20">
      <c r="A468" s="6" t="s">
        <v>525</v>
      </c>
      <c r="B468" s="3">
        <v>75</v>
      </c>
      <c r="C468" s="7">
        <v>328</v>
      </c>
      <c r="D468" s="7">
        <v>341</v>
      </c>
      <c r="E468" s="7">
        <v>327</v>
      </c>
      <c r="F468" s="7">
        <v>309</v>
      </c>
      <c r="G468" s="7">
        <v>249</v>
      </c>
      <c r="H468" s="7">
        <f>MIN(C468:G468)</f>
        <v>249.0</v>
      </c>
      <c r="I468" s="6" t="s">
        <v>26</v>
      </c>
      <c r="J468" s="8">
        <f>IF($H468=0,"",(C468-$H468)/$H468)</f>
        <v>0.3172690763052209</v>
      </c>
      <c r="K468" s="8">
        <f>IF($H468=0,"",(D468-$H468)/$H468)</f>
        <v>0.36947791164658633</v>
      </c>
      <c r="L468" s="8">
        <f>IF($H468=0,"",(E468-$H468)/$H468)</f>
        <v>0.3132530120481928</v>
      </c>
      <c r="M468" s="8">
        <f>IF($H468=0,"",(F468-$H468)/$H468)</f>
        <v>0.24096385542168675</v>
      </c>
      <c r="N468" s="8">
        <f>IF($H468=0,"",(G468-$H468)/$H468)</f>
        <v>0.0</v>
      </c>
      <c r="O468" s="9">
        <f>IF(ABS(C468-$H468)&lt;=1E-9,1,0)</f>
        <v>0</v>
      </c>
      <c r="P468" s="9">
        <f>IF(ABS(D468-$H468)&lt;=1E-9,1,0)</f>
        <v>0</v>
      </c>
      <c r="Q468" s="9">
        <f>IF(ABS(E468-$H468)&lt;=1E-9,1,0)</f>
        <v>0</v>
      </c>
      <c r="R468" s="9">
        <f>IF(ABS(F468-$H468)&lt;=1E-9,1,0)</f>
        <v>0</v>
      </c>
      <c r="S468" s="9">
        <f>IF(ABS(G468-$H468)&lt;=1E-9,1,0)</f>
        <v>1</v>
      </c>
      <c r="T468" s="6" t="s">
        <v>26</v>
      </c>
    </row>
    <row r="469" spans="1:20">
      <c r="A469" s="6" t="s">
        <v>526</v>
      </c>
      <c r="B469" s="3">
        <v>75</v>
      </c>
      <c r="C469" s="7">
        <v>280</v>
      </c>
      <c r="D469" s="7">
        <v>261</v>
      </c>
      <c r="E469" s="7">
        <v>286</v>
      </c>
      <c r="F469" s="7">
        <v>279</v>
      </c>
      <c r="G469" s="7">
        <v>216</v>
      </c>
      <c r="H469" s="7">
        <f>MIN(C469:G469)</f>
        <v>216.0</v>
      </c>
      <c r="I469" s="6" t="s">
        <v>26</v>
      </c>
      <c r="J469" s="8">
        <f>IF($H469=0,"",(C469-$H469)/$H469)</f>
        <v>0.2962962962962963</v>
      </c>
      <c r="K469" s="8">
        <f>IF($H469=0,"",(D469-$H469)/$H469)</f>
        <v>0.20833333333333337</v>
      </c>
      <c r="L469" s="8">
        <f>IF($H469=0,"",(E469-$H469)/$H469)</f>
        <v>0.32407407407407407</v>
      </c>
      <c r="M469" s="8">
        <f>IF($H469=0,"",(F469-$H469)/$H469)</f>
        <v>0.2916666666666667</v>
      </c>
      <c r="N469" s="8">
        <f>IF($H469=0,"",(G469-$H469)/$H469)</f>
        <v>0.0</v>
      </c>
      <c r="O469" s="9">
        <f>IF(ABS(C469-$H469)&lt;=1E-9,1,0)</f>
        <v>0</v>
      </c>
      <c r="P469" s="9">
        <f>IF(ABS(D469-$H469)&lt;=1E-9,1,0)</f>
        <v>0</v>
      </c>
      <c r="Q469" s="9">
        <f>IF(ABS(E469-$H469)&lt;=1E-9,1,0)</f>
        <v>0</v>
      </c>
      <c r="R469" s="9">
        <f>IF(ABS(F469-$H469)&lt;=1E-9,1,0)</f>
        <v>0</v>
      </c>
      <c r="S469" s="9">
        <f>IF(ABS(G469-$H469)&lt;=1E-9,1,0)</f>
        <v>1</v>
      </c>
      <c r="T469" s="6" t="s">
        <v>26</v>
      </c>
    </row>
    <row r="470" spans="1:20">
      <c r="A470" s="6" t="s">
        <v>527</v>
      </c>
      <c r="B470" s="3">
        <v>75</v>
      </c>
      <c r="C470" s="7">
        <v>16</v>
      </c>
      <c r="D470" s="7">
        <v>15</v>
      </c>
      <c r="E470" s="7">
        <v>17</v>
      </c>
      <c r="F470" s="7">
        <v>21</v>
      </c>
      <c r="G470" s="7">
        <v>14</v>
      </c>
      <c r="H470" s="7">
        <f>MIN(C470:G470)</f>
        <v>14.0</v>
      </c>
      <c r="I470" s="6" t="s">
        <v>26</v>
      </c>
      <c r="J470" s="8">
        <f>IF($H470=0,"",(C470-$H470)/$H470)</f>
        <v>0.14285714285714285</v>
      </c>
      <c r="K470" s="8">
        <f>IF($H470=0,"",(D470-$H470)/$H470)</f>
        <v>0.07142857142857142</v>
      </c>
      <c r="L470" s="8">
        <f>IF($H470=0,"",(E470-$H470)/$H470)</f>
        <v>0.21428571428571427</v>
      </c>
      <c r="M470" s="8">
        <f>IF($H470=0,"",(F470-$H470)/$H470)</f>
        <v>0.5</v>
      </c>
      <c r="N470" s="8">
        <f>IF($H470=0,"",(G470-$H470)/$H470)</f>
        <v>0.0</v>
      </c>
      <c r="O470" s="9">
        <f>IF(ABS(C470-$H470)&lt;=1E-9,1,0)</f>
        <v>0</v>
      </c>
      <c r="P470" s="9">
        <f>IF(ABS(D470-$H470)&lt;=1E-9,1,0)</f>
        <v>0</v>
      </c>
      <c r="Q470" s="9">
        <f>IF(ABS(E470-$H470)&lt;=1E-9,1,0)</f>
        <v>0</v>
      </c>
      <c r="R470" s="9">
        <f>IF(ABS(F470-$H470)&lt;=1E-9,1,0)</f>
        <v>0</v>
      </c>
      <c r="S470" s="9">
        <f>IF(ABS(G470-$H470)&lt;=1E-9,1,0)</f>
        <v>1</v>
      </c>
      <c r="T470" s="6" t="s">
        <v>26</v>
      </c>
    </row>
    <row r="471" spans="1:20">
      <c r="A471" s="6" t="s">
        <v>528</v>
      </c>
      <c r="B471" s="3">
        <v>75</v>
      </c>
      <c r="C471" s="7">
        <v>15</v>
      </c>
      <c r="D471" s="7">
        <v>15</v>
      </c>
      <c r="E471" s="7">
        <v>18</v>
      </c>
      <c r="F471" s="7">
        <v>23</v>
      </c>
      <c r="G471" s="7">
        <v>13</v>
      </c>
      <c r="H471" s="7">
        <f>MIN(C471:G471)</f>
        <v>13.0</v>
      </c>
      <c r="I471" s="6" t="s">
        <v>26</v>
      </c>
      <c r="J471" s="8">
        <f>IF($H471=0,"",(C471-$H471)/$H471)</f>
        <v>0.15384615384615385</v>
      </c>
      <c r="K471" s="8">
        <f>IF($H471=0,"",(D471-$H471)/$H471)</f>
        <v>0.15384615384615385</v>
      </c>
      <c r="L471" s="8">
        <f>IF($H471=0,"",(E471-$H471)/$H471)</f>
        <v>0.3846153846153847</v>
      </c>
      <c r="M471" s="8">
        <f>IF($H471=0,"",(F471-$H471)/$H471)</f>
        <v>0.7692307692307694</v>
      </c>
      <c r="N471" s="8">
        <f>IF($H471=0,"",(G471-$H471)/$H471)</f>
        <v>0.0</v>
      </c>
      <c r="O471" s="9">
        <f>IF(ABS(C471-$H471)&lt;=1E-9,1,0)</f>
        <v>0</v>
      </c>
      <c r="P471" s="9">
        <f>IF(ABS(D471-$H471)&lt;=1E-9,1,0)</f>
        <v>0</v>
      </c>
      <c r="Q471" s="9">
        <f>IF(ABS(E471-$H471)&lt;=1E-9,1,0)</f>
        <v>0</v>
      </c>
      <c r="R471" s="9">
        <f>IF(ABS(F471-$H471)&lt;=1E-9,1,0)</f>
        <v>0</v>
      </c>
      <c r="S471" s="9">
        <f>IF(ABS(G471-$H471)&lt;=1E-9,1,0)</f>
        <v>1</v>
      </c>
      <c r="T471" s="6" t="s">
        <v>26</v>
      </c>
    </row>
    <row r="472" spans="1:20">
      <c r="A472" s="6" t="s">
        <v>529</v>
      </c>
      <c r="B472" s="3">
        <v>75</v>
      </c>
      <c r="C472" s="7">
        <v>314</v>
      </c>
      <c r="D472" s="7">
        <v>319</v>
      </c>
      <c r="E472" s="7">
        <v>329</v>
      </c>
      <c r="F472" s="7">
        <v>310</v>
      </c>
      <c r="G472" s="7">
        <v>238</v>
      </c>
      <c r="H472" s="7">
        <f>MIN(C472:G472)</f>
        <v>238.0</v>
      </c>
      <c r="I472" s="6" t="s">
        <v>26</v>
      </c>
      <c r="J472" s="8">
        <f>IF($H472=0,"",(C472-$H472)/$H472)</f>
        <v>0.31932773109243695</v>
      </c>
      <c r="K472" s="8">
        <f>IF($H472=0,"",(D472-$H472)/$H472)</f>
        <v>0.3403361344537815</v>
      </c>
      <c r="L472" s="8">
        <f>IF($H472=0,"",(E472-$H472)/$H472)</f>
        <v>0.38235294117647056</v>
      </c>
      <c r="M472" s="8">
        <f>IF($H472=0,"",(F472-$H472)/$H472)</f>
        <v>0.3025210084033613</v>
      </c>
      <c r="N472" s="8">
        <f>IF($H472=0,"",(G472-$H472)/$H472)</f>
        <v>0.0</v>
      </c>
      <c r="O472" s="9">
        <f>IF(ABS(C472-$H472)&lt;=1E-9,1,0)</f>
        <v>0</v>
      </c>
      <c r="P472" s="9">
        <f>IF(ABS(D472-$H472)&lt;=1E-9,1,0)</f>
        <v>0</v>
      </c>
      <c r="Q472" s="9">
        <f>IF(ABS(E472-$H472)&lt;=1E-9,1,0)</f>
        <v>0</v>
      </c>
      <c r="R472" s="9">
        <f>IF(ABS(F472-$H472)&lt;=1E-9,1,0)</f>
        <v>0</v>
      </c>
      <c r="S472" s="9">
        <f>IF(ABS(G472-$H472)&lt;=1E-9,1,0)</f>
        <v>1</v>
      </c>
      <c r="T472" s="6" t="s">
        <v>26</v>
      </c>
    </row>
    <row r="473" spans="1:20">
      <c r="A473" s="6" t="s">
        <v>530</v>
      </c>
      <c r="B473" s="3">
        <v>75</v>
      </c>
      <c r="C473" s="7">
        <v>268</v>
      </c>
      <c r="D473" s="7">
        <v>273</v>
      </c>
      <c r="E473" s="7">
        <v>281</v>
      </c>
      <c r="F473" s="7">
        <v>294</v>
      </c>
      <c r="G473" s="7">
        <v>225</v>
      </c>
      <c r="H473" s="7">
        <f>MIN(C473:G473)</f>
        <v>225.0</v>
      </c>
      <c r="I473" s="6" t="s">
        <v>26</v>
      </c>
      <c r="J473" s="8">
        <f>IF($H473=0,"",(C473-$H473)/$H473)</f>
        <v>0.19111111111111112</v>
      </c>
      <c r="K473" s="8">
        <f>IF($H473=0,"",(D473-$H473)/$H473)</f>
        <v>0.21333333333333335</v>
      </c>
      <c r="L473" s="8">
        <f>IF($H473=0,"",(E473-$H473)/$H473)</f>
        <v>0.24888888888888888</v>
      </c>
      <c r="M473" s="8">
        <f>IF($H473=0,"",(F473-$H473)/$H473)</f>
        <v>0.30666666666666664</v>
      </c>
      <c r="N473" s="8">
        <f>IF($H473=0,"",(G473-$H473)/$H473)</f>
        <v>0.0</v>
      </c>
      <c r="O473" s="9">
        <f>IF(ABS(C473-$H473)&lt;=1E-9,1,0)</f>
        <v>0</v>
      </c>
      <c r="P473" s="9">
        <f>IF(ABS(D473-$H473)&lt;=1E-9,1,0)</f>
        <v>0</v>
      </c>
      <c r="Q473" s="9">
        <f>IF(ABS(E473-$H473)&lt;=1E-9,1,0)</f>
        <v>0</v>
      </c>
      <c r="R473" s="9">
        <f>IF(ABS(F473-$H473)&lt;=1E-9,1,0)</f>
        <v>0</v>
      </c>
      <c r="S473" s="9">
        <f>IF(ABS(G473-$H473)&lt;=1E-9,1,0)</f>
        <v>1</v>
      </c>
      <c r="T473" s="6" t="s">
        <v>26</v>
      </c>
    </row>
    <row r="474" spans="1:20">
      <c r="A474" s="6" t="s">
        <v>531</v>
      </c>
      <c r="B474" s="3">
        <v>75</v>
      </c>
      <c r="C474" s="7">
        <v>29</v>
      </c>
      <c r="D474" s="7">
        <v>30</v>
      </c>
      <c r="E474" s="7">
        <v>29</v>
      </c>
      <c r="F474" s="7">
        <v>28</v>
      </c>
      <c r="G474" s="7">
        <v>27</v>
      </c>
      <c r="H474" s="7">
        <f>MIN(C474:G474)</f>
        <v>27.0</v>
      </c>
      <c r="I474" s="6" t="s">
        <v>26</v>
      </c>
      <c r="J474" s="8">
        <f>IF($H474=0,"",(C474-$H474)/$H474)</f>
        <v>0.07407407407407407</v>
      </c>
      <c r="K474" s="8">
        <f>IF($H474=0,"",(D474-$H474)/$H474)</f>
        <v>0.1111111111111111</v>
      </c>
      <c r="L474" s="8">
        <f>IF($H474=0,"",(E474-$H474)/$H474)</f>
        <v>0.07407407407407407</v>
      </c>
      <c r="M474" s="8">
        <f>IF($H474=0,"",(F474-$H474)/$H474)</f>
        <v>0.037037037037037035</v>
      </c>
      <c r="N474" s="8">
        <f>IF($H474=0,"",(G474-$H474)/$H474)</f>
        <v>0.0</v>
      </c>
      <c r="O474" s="9">
        <f>IF(ABS(C474-$H474)&lt;=1E-9,1,0)</f>
        <v>0</v>
      </c>
      <c r="P474" s="9">
        <f>IF(ABS(D474-$H474)&lt;=1E-9,1,0)</f>
        <v>0</v>
      </c>
      <c r="Q474" s="9">
        <f>IF(ABS(E474-$H474)&lt;=1E-9,1,0)</f>
        <v>0</v>
      </c>
      <c r="R474" s="9">
        <f>IF(ABS(F474-$H474)&lt;=1E-9,1,0)</f>
        <v>0</v>
      </c>
      <c r="S474" s="9">
        <f>IF(ABS(G474-$H474)&lt;=1E-9,1,0)</f>
        <v>1</v>
      </c>
      <c r="T474" s="6" t="s">
        <v>26</v>
      </c>
    </row>
    <row r="475" spans="1:20">
      <c r="A475" s="6" t="s">
        <v>532</v>
      </c>
      <c r="B475" s="3">
        <v>75</v>
      </c>
      <c r="C475" s="7">
        <v>27</v>
      </c>
      <c r="D475" s="7">
        <v>27</v>
      </c>
      <c r="E475" s="7">
        <v>28</v>
      </c>
      <c r="F475" s="7">
        <v>28</v>
      </c>
      <c r="G475" s="7">
        <v>25</v>
      </c>
      <c r="H475" s="7">
        <f>MIN(C475:G475)</f>
        <v>25.0</v>
      </c>
      <c r="I475" s="6" t="s">
        <v>26</v>
      </c>
      <c r="J475" s="8">
        <f>IF($H475=0,"",(C475-$H475)/$H475)</f>
        <v>0.08</v>
      </c>
      <c r="K475" s="8">
        <f>IF($H475=0,"",(D475-$H475)/$H475)</f>
        <v>0.08</v>
      </c>
      <c r="L475" s="8">
        <f>IF($H475=0,"",(E475-$H475)/$H475)</f>
        <v>0.12</v>
      </c>
      <c r="M475" s="8">
        <f>IF($H475=0,"",(F475-$H475)/$H475)</f>
        <v>0.12</v>
      </c>
      <c r="N475" s="8">
        <f>IF($H475=0,"",(G475-$H475)/$H475)</f>
        <v>0.0</v>
      </c>
      <c r="O475" s="9">
        <f>IF(ABS(C475-$H475)&lt;=1E-9,1,0)</f>
        <v>0</v>
      </c>
      <c r="P475" s="9">
        <f>IF(ABS(D475-$H475)&lt;=1E-9,1,0)</f>
        <v>0</v>
      </c>
      <c r="Q475" s="9">
        <f>IF(ABS(E475-$H475)&lt;=1E-9,1,0)</f>
        <v>0</v>
      </c>
      <c r="R475" s="9">
        <f>IF(ABS(F475-$H475)&lt;=1E-9,1,0)</f>
        <v>0</v>
      </c>
      <c r="S475" s="9">
        <f>IF(ABS(G475-$H475)&lt;=1E-9,1,0)</f>
        <v>1</v>
      </c>
      <c r="T475" s="6" t="s">
        <v>26</v>
      </c>
    </row>
    <row r="476" spans="1:20">
      <c r="A476" s="6" t="s">
        <v>533</v>
      </c>
      <c r="B476" s="3">
        <v>75</v>
      </c>
      <c r="C476" s="7">
        <v>446</v>
      </c>
      <c r="D476" s="7">
        <v>429</v>
      </c>
      <c r="E476" s="7">
        <v>454</v>
      </c>
      <c r="F476" s="7">
        <v>360</v>
      </c>
      <c r="G476" s="7">
        <v>317</v>
      </c>
      <c r="H476" s="7">
        <f>MIN(C476:G476)</f>
        <v>317.0</v>
      </c>
      <c r="I476" s="6" t="s">
        <v>26</v>
      </c>
      <c r="J476" s="8">
        <f>IF($H476=0,"",(C476-$H476)/$H476)</f>
        <v>0.4069400630914826</v>
      </c>
      <c r="K476" s="8">
        <f>IF($H476=0,"",(D476-$H476)/$H476)</f>
        <v>0.35331230283911674</v>
      </c>
      <c r="L476" s="8">
        <f>IF($H476=0,"",(E476-$H476)/$H476)</f>
        <v>0.43217665615141954</v>
      </c>
      <c r="M476" s="8">
        <f>IF($H476=0,"",(F476-$H476)/$H476)</f>
        <v>0.13564668769716087</v>
      </c>
      <c r="N476" s="8">
        <f>IF($H476=0,"",(G476-$H476)/$H476)</f>
        <v>0.0</v>
      </c>
      <c r="O476" s="9">
        <f>IF(ABS(C476-$H476)&lt;=1E-9,1,0)</f>
        <v>0</v>
      </c>
      <c r="P476" s="9">
        <f>IF(ABS(D476-$H476)&lt;=1E-9,1,0)</f>
        <v>0</v>
      </c>
      <c r="Q476" s="9">
        <f>IF(ABS(E476-$H476)&lt;=1E-9,1,0)</f>
        <v>0</v>
      </c>
      <c r="R476" s="9">
        <f>IF(ABS(F476-$H476)&lt;=1E-9,1,0)</f>
        <v>0</v>
      </c>
      <c r="S476" s="9">
        <f>IF(ABS(G476-$H476)&lt;=1E-9,1,0)</f>
        <v>1</v>
      </c>
      <c r="T476" s="6" t="s">
        <v>26</v>
      </c>
    </row>
    <row r="477" spans="1:20">
      <c r="A477" s="6" t="s">
        <v>534</v>
      </c>
      <c r="B477" s="3">
        <v>75</v>
      </c>
      <c r="C477" s="7">
        <v>431</v>
      </c>
      <c r="D477" s="7">
        <v>431</v>
      </c>
      <c r="E477" s="7">
        <v>436</v>
      </c>
      <c r="F477" s="7">
        <v>345</v>
      </c>
      <c r="G477" s="7">
        <v>317</v>
      </c>
      <c r="H477" s="7">
        <f>MIN(C477:G477)</f>
        <v>317.0</v>
      </c>
      <c r="I477" s="6" t="s">
        <v>26</v>
      </c>
      <c r="J477" s="8">
        <f>IF($H477=0,"",(C477-$H477)/$H477)</f>
        <v>0.35962145110410093</v>
      </c>
      <c r="K477" s="8">
        <f>IF($H477=0,"",(D477-$H477)/$H477)</f>
        <v>0.35962145110410093</v>
      </c>
      <c r="L477" s="8">
        <f>IF($H477=0,"",(E477-$H477)/$H477)</f>
        <v>0.3753943217665615</v>
      </c>
      <c r="M477" s="8">
        <f>IF($H477=0,"",(F477-$H477)/$H477)</f>
        <v>0.08832807570977919</v>
      </c>
      <c r="N477" s="8">
        <f>IF($H477=0,"",(G477-$H477)/$H477)</f>
        <v>0.0</v>
      </c>
      <c r="O477" s="9">
        <f>IF(ABS(C477-$H477)&lt;=1E-9,1,0)</f>
        <v>0</v>
      </c>
      <c r="P477" s="9">
        <f>IF(ABS(D477-$H477)&lt;=1E-9,1,0)</f>
        <v>0</v>
      </c>
      <c r="Q477" s="9">
        <f>IF(ABS(E477-$H477)&lt;=1E-9,1,0)</f>
        <v>0</v>
      </c>
      <c r="R477" s="9">
        <f>IF(ABS(F477-$H477)&lt;=1E-9,1,0)</f>
        <v>0</v>
      </c>
      <c r="S477" s="9">
        <f>IF(ABS(G477-$H477)&lt;=1E-9,1,0)</f>
        <v>1</v>
      </c>
      <c r="T477" s="6" t="s">
        <v>26</v>
      </c>
    </row>
    <row r="478" spans="1:20">
      <c r="A478" s="6" t="s">
        <v>535</v>
      </c>
      <c r="B478" s="3">
        <v>75</v>
      </c>
      <c r="C478" s="7">
        <v>24</v>
      </c>
      <c r="D478" s="7">
        <v>24</v>
      </c>
      <c r="E478" s="7">
        <v>24</v>
      </c>
      <c r="F478" s="7">
        <v>24</v>
      </c>
      <c r="G478" s="7">
        <v>23</v>
      </c>
      <c r="H478" s="7">
        <f>MIN(C478:G478)</f>
        <v>23.0</v>
      </c>
      <c r="I478" s="6" t="s">
        <v>26</v>
      </c>
      <c r="J478" s="8">
        <f>IF($H478=0,"",(C478-$H478)/$H478)</f>
        <v>0.043478260869565216</v>
      </c>
      <c r="K478" s="8">
        <f>IF($H478=0,"",(D478-$H478)/$H478)</f>
        <v>0.043478260869565216</v>
      </c>
      <c r="L478" s="8">
        <f>IF($H478=0,"",(E478-$H478)/$H478)</f>
        <v>0.043478260869565216</v>
      </c>
      <c r="M478" s="8">
        <f>IF($H478=0,"",(F478-$H478)/$H478)</f>
        <v>0.043478260869565216</v>
      </c>
      <c r="N478" s="8">
        <f>IF($H478=0,"",(G478-$H478)/$H478)</f>
        <v>0.0</v>
      </c>
      <c r="O478" s="9">
        <f>IF(ABS(C478-$H478)&lt;=1E-9,1,0)</f>
        <v>0</v>
      </c>
      <c r="P478" s="9">
        <f>IF(ABS(D478-$H478)&lt;=1E-9,1,0)</f>
        <v>0</v>
      </c>
      <c r="Q478" s="9">
        <f>IF(ABS(E478-$H478)&lt;=1E-9,1,0)</f>
        <v>0</v>
      </c>
      <c r="R478" s="9">
        <f>IF(ABS(F478-$H478)&lt;=1E-9,1,0)</f>
        <v>0</v>
      </c>
      <c r="S478" s="9">
        <f>IF(ABS(G478-$H478)&lt;=1E-9,1,0)</f>
        <v>1</v>
      </c>
      <c r="T478" s="6" t="s">
        <v>26</v>
      </c>
    </row>
    <row r="479" spans="1:20">
      <c r="A479" s="6" t="s">
        <v>536</v>
      </c>
      <c r="B479" s="3">
        <v>75</v>
      </c>
      <c r="C479" s="7">
        <v>24</v>
      </c>
      <c r="D479" s="7">
        <v>24</v>
      </c>
      <c r="E479" s="7">
        <v>24</v>
      </c>
      <c r="F479" s="7">
        <v>23</v>
      </c>
      <c r="G479" s="7">
        <v>22</v>
      </c>
      <c r="H479" s="7">
        <f>MIN(C479:G479)</f>
        <v>22.0</v>
      </c>
      <c r="I479" s="6" t="s">
        <v>26</v>
      </c>
      <c r="J479" s="8">
        <f>IF($H479=0,"",(C479-$H479)/$H479)</f>
        <v>0.09090909090909091</v>
      </c>
      <c r="K479" s="8">
        <f>IF($H479=0,"",(D479-$H479)/$H479)</f>
        <v>0.09090909090909091</v>
      </c>
      <c r="L479" s="8">
        <f>IF($H479=0,"",(E479-$H479)/$H479)</f>
        <v>0.09090909090909091</v>
      </c>
      <c r="M479" s="8">
        <f>IF($H479=0,"",(F479-$H479)/$H479)</f>
        <v>0.045454545454545456</v>
      </c>
      <c r="N479" s="8">
        <f>IF($H479=0,"",(G479-$H479)/$H479)</f>
        <v>0.0</v>
      </c>
      <c r="O479" s="9">
        <f>IF(ABS(C479-$H479)&lt;=1E-9,1,0)</f>
        <v>0</v>
      </c>
      <c r="P479" s="9">
        <f>IF(ABS(D479-$H479)&lt;=1E-9,1,0)</f>
        <v>0</v>
      </c>
      <c r="Q479" s="9">
        <f>IF(ABS(E479-$H479)&lt;=1E-9,1,0)</f>
        <v>0</v>
      </c>
      <c r="R479" s="9">
        <f>IF(ABS(F479-$H479)&lt;=1E-9,1,0)</f>
        <v>0</v>
      </c>
      <c r="S479" s="9">
        <f>IF(ABS(G479-$H479)&lt;=1E-9,1,0)</f>
        <v>1</v>
      </c>
      <c r="T479" s="6" t="s">
        <v>26</v>
      </c>
    </row>
    <row r="480" spans="1:20">
      <c r="A480" s="6" t="s">
        <v>537</v>
      </c>
      <c r="B480" s="3">
        <v>75</v>
      </c>
      <c r="C480" s="7">
        <v>414</v>
      </c>
      <c r="D480" s="7">
        <v>416</v>
      </c>
      <c r="E480" s="7">
        <v>421</v>
      </c>
      <c r="F480" s="7">
        <v>363</v>
      </c>
      <c r="G480" s="7">
        <v>311</v>
      </c>
      <c r="H480" s="7">
        <f>MIN(C480:G480)</f>
        <v>311.0</v>
      </c>
      <c r="I480" s="6" t="s">
        <v>26</v>
      </c>
      <c r="J480" s="8">
        <f>IF($H480=0,"",(C480-$H480)/$H480)</f>
        <v>0.3311897106109325</v>
      </c>
      <c r="K480" s="8">
        <f>IF($H480=0,"",(D480-$H480)/$H480)</f>
        <v>0.33762057877813506</v>
      </c>
      <c r="L480" s="8">
        <f>IF($H480=0,"",(E480-$H480)/$H480)</f>
        <v>0.3536977491961415</v>
      </c>
      <c r="M480" s="8">
        <f>IF($H480=0,"",(F480-$H480)/$H480)</f>
        <v>0.16720257234726688</v>
      </c>
      <c r="N480" s="8">
        <f>IF($H480=0,"",(G480-$H480)/$H480)</f>
        <v>0.0</v>
      </c>
      <c r="O480" s="9">
        <f>IF(ABS(C480-$H480)&lt;=1E-9,1,0)</f>
        <v>0</v>
      </c>
      <c r="P480" s="9">
        <f>IF(ABS(D480-$H480)&lt;=1E-9,1,0)</f>
        <v>0</v>
      </c>
      <c r="Q480" s="9">
        <f>IF(ABS(E480-$H480)&lt;=1E-9,1,0)</f>
        <v>0</v>
      </c>
      <c r="R480" s="9">
        <f>IF(ABS(F480-$H480)&lt;=1E-9,1,0)</f>
        <v>0</v>
      </c>
      <c r="S480" s="9">
        <f>IF(ABS(G480-$H480)&lt;=1E-9,1,0)</f>
        <v>1</v>
      </c>
      <c r="T480" s="6" t="s">
        <v>26</v>
      </c>
    </row>
    <row r="481" spans="1:20">
      <c r="A481" s="6" t="s">
        <v>538</v>
      </c>
      <c r="B481" s="3">
        <v>75</v>
      </c>
      <c r="C481" s="7">
        <v>368</v>
      </c>
      <c r="D481" s="7">
        <v>376</v>
      </c>
      <c r="E481" s="7">
        <v>363</v>
      </c>
      <c r="F481" s="7">
        <v>330</v>
      </c>
      <c r="G481" s="7">
        <v>278</v>
      </c>
      <c r="H481" s="7">
        <f>MIN(C481:G481)</f>
        <v>278.0</v>
      </c>
      <c r="I481" s="6" t="s">
        <v>26</v>
      </c>
      <c r="J481" s="8">
        <f>IF($H481=0,"",(C481-$H481)/$H481)</f>
        <v>0.3237410071942446</v>
      </c>
      <c r="K481" s="8">
        <f>IF($H481=0,"",(D481-$H481)/$H481)</f>
        <v>0.35251798561151076</v>
      </c>
      <c r="L481" s="8">
        <f>IF($H481=0,"",(E481-$H481)/$H481)</f>
        <v>0.3057553956834532</v>
      </c>
      <c r="M481" s="8">
        <f>IF($H481=0,"",(F481-$H481)/$H481)</f>
        <v>0.18705035971223022</v>
      </c>
      <c r="N481" s="8">
        <f>IF($H481=0,"",(G481-$H481)/$H481)</f>
        <v>0.0</v>
      </c>
      <c r="O481" s="9">
        <f>IF(ABS(C481-$H481)&lt;=1E-9,1,0)</f>
        <v>0</v>
      </c>
      <c r="P481" s="9">
        <f>IF(ABS(D481-$H481)&lt;=1E-9,1,0)</f>
        <v>0</v>
      </c>
      <c r="Q481" s="9">
        <f>IF(ABS(E481-$H481)&lt;=1E-9,1,0)</f>
        <v>0</v>
      </c>
      <c r="R481" s="9">
        <f>IF(ABS(F481-$H481)&lt;=1E-9,1,0)</f>
        <v>0</v>
      </c>
      <c r="S481" s="9">
        <f>IF(ABS(G481-$H481)&lt;=1E-9,1,0)</f>
        <v>1</v>
      </c>
      <c r="T481" s="6" t="s">
        <v>26</v>
      </c>
    </row>
  </sheetData>
  <conditionalFormatting sqref="J2:N48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S481">
    <cfRule type="cellIs" dxfId="0" priority="2" operator="equal">
      <formula>1</formula>
    </cfRule>
    <cfRule type="cellIs" dxfId="1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2.7109375" customWidth="1"/>
    <col min="3" max="17" width="16.7109375" customWidth="1"/>
  </cols>
  <sheetData>
    <row r="1" spans="1:17">
      <c r="A1" s="1" t="s">
        <v>539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>
      <c r="A3" t="s">
        <v>30</v>
      </c>
      <c r="B3" t="s">
        <v>540</v>
      </c>
      <c r="C3" t="s">
        <v>541</v>
      </c>
      <c r="D3" t="s">
        <v>542</v>
      </c>
      <c r="E3" t="s">
        <v>543</v>
      </c>
      <c r="F3" t="s">
        <v>544</v>
      </c>
      <c r="G3" t="s">
        <v>545</v>
      </c>
      <c r="H3" t="s">
        <v>546</v>
      </c>
      <c r="I3" t="s">
        <v>547</v>
      </c>
      <c r="J3" t="s">
        <v>548</v>
      </c>
      <c r="K3" t="s">
        <v>549</v>
      </c>
      <c r="L3" t="s">
        <v>550</v>
      </c>
      <c r="M3" t="s">
        <v>551</v>
      </c>
      <c r="N3" t="s">
        <v>552</v>
      </c>
      <c r="O3" t="s">
        <v>553</v>
      </c>
      <c r="P3" t="s">
        <v>554</v>
      </c>
      <c r="Q3" t="s">
        <v>555</v>
      </c>
    </row>
    <row r="4" spans="1:17">
      <c r="A4" s="3">
        <v>25</v>
      </c>
      <c r="B4" s="3">
        <v>96</v>
      </c>
      <c r="C4" s="8">
        <v>0.0966443575494611</v>
      </c>
      <c r="D4" s="3">
        <v>27</v>
      </c>
      <c r="E4" s="7">
        <v>75.9375</v>
      </c>
      <c r="F4" s="8">
        <v>0.1092666618529891</v>
      </c>
      <c r="G4" s="3">
        <v>22</v>
      </c>
      <c r="H4" s="7">
        <v>76.94791666666667</v>
      </c>
      <c r="I4" s="8">
        <v>0.1091596371448245</v>
      </c>
      <c r="J4" s="3">
        <v>18</v>
      </c>
      <c r="K4" s="7">
        <v>76.25</v>
      </c>
      <c r="L4" s="8">
        <v>0.1746937458514793</v>
      </c>
      <c r="M4" s="3">
        <v>4</v>
      </c>
      <c r="N4" s="7">
        <v>75.63541666666667</v>
      </c>
      <c r="O4" s="8">
        <v>0.002197025565388397</v>
      </c>
      <c r="P4" s="3">
        <v>94</v>
      </c>
      <c r="Q4" s="7">
        <v>67.66666666666667</v>
      </c>
    </row>
    <row r="5" spans="1:17">
      <c r="A5" s="3">
        <v>50</v>
      </c>
      <c r="B5" s="3">
        <v>96</v>
      </c>
      <c r="C5" s="8">
        <v>0.1695714331015287</v>
      </c>
      <c r="D5" s="3">
        <v>9</v>
      </c>
      <c r="E5" s="7">
        <v>144.6458333333333</v>
      </c>
      <c r="F5" s="8">
        <v>0.1748502503498303</v>
      </c>
      <c r="G5" s="3">
        <v>6</v>
      </c>
      <c r="H5" s="7">
        <v>145.7395833333333</v>
      </c>
      <c r="I5" s="8">
        <v>0.2005833308074794</v>
      </c>
      <c r="J5" s="3">
        <v>3</v>
      </c>
      <c r="K5" s="7">
        <v>148.4166666666667</v>
      </c>
      <c r="L5" s="8">
        <v>0.1935934764603686</v>
      </c>
      <c r="M5" s="3">
        <v>3</v>
      </c>
      <c r="N5" s="7">
        <v>134.6875</v>
      </c>
      <c r="O5" s="8">
        <v>0</v>
      </c>
      <c r="P5" s="3">
        <v>96</v>
      </c>
      <c r="Q5" s="7">
        <v>116.7083333333333</v>
      </c>
    </row>
    <row r="6" spans="1:17">
      <c r="A6" s="3">
        <v>75</v>
      </c>
      <c r="B6" s="3">
        <v>96</v>
      </c>
      <c r="C6" s="8">
        <v>0.2052595896309146</v>
      </c>
      <c r="D6" s="3">
        <v>5</v>
      </c>
      <c r="E6" s="7">
        <v>200.75</v>
      </c>
      <c r="F6" s="8">
        <v>0.2101290539773415</v>
      </c>
      <c r="G6" s="3">
        <v>5</v>
      </c>
      <c r="H6" s="7">
        <v>201.9791666666667</v>
      </c>
      <c r="I6" s="8">
        <v>0.2357816765094025</v>
      </c>
      <c r="J6" s="3">
        <v>0</v>
      </c>
      <c r="K6" s="7">
        <v>204.0729166666667</v>
      </c>
      <c r="L6" s="8">
        <v>0.215140474440408</v>
      </c>
      <c r="M6" s="3">
        <v>1</v>
      </c>
      <c r="N6" s="7">
        <v>179.65625</v>
      </c>
      <c r="O6" s="8">
        <v>0</v>
      </c>
      <c r="P6" s="3">
        <v>96</v>
      </c>
      <c r="Q6" s="7">
        <v>153.7395833333333</v>
      </c>
    </row>
    <row r="7" spans="1:17">
      <c r="A7" s="3">
        <v>100</v>
      </c>
      <c r="B7" s="3">
        <v>96</v>
      </c>
      <c r="C7" s="8">
        <v>0.2298816148033964</v>
      </c>
      <c r="D7" s="3">
        <v>2</v>
      </c>
      <c r="E7" s="7">
        <v>259.1354166666667</v>
      </c>
      <c r="F7" s="8">
        <v>0.2368553856720426</v>
      </c>
      <c r="G7" s="3">
        <v>2</v>
      </c>
      <c r="H7" s="7">
        <v>261.3958333333333</v>
      </c>
      <c r="I7" s="8">
        <v>0.2646982689488554</v>
      </c>
      <c r="J7" s="3">
        <v>0</v>
      </c>
      <c r="K7" s="7">
        <v>265.75</v>
      </c>
      <c r="L7" s="8">
        <v>0.2121940529410261</v>
      </c>
      <c r="M7" s="3">
        <v>2</v>
      </c>
      <c r="N7" s="7">
        <v>225.7916666666667</v>
      </c>
      <c r="O7" s="8">
        <v>0</v>
      </c>
      <c r="P7" s="3">
        <v>96</v>
      </c>
      <c r="Q7" s="7">
        <v>191.1041666666667</v>
      </c>
    </row>
    <row r="8" spans="1:17">
      <c r="A8" s="3">
        <v>200</v>
      </c>
      <c r="B8" s="3">
        <v>96</v>
      </c>
      <c r="C8" s="8">
        <v>0.2715389919806075</v>
      </c>
      <c r="D8" s="3">
        <v>2</v>
      </c>
      <c r="E8" s="7">
        <v>478.1770833333333</v>
      </c>
      <c r="F8" s="8">
        <v>0.2820023042533844</v>
      </c>
      <c r="G8" s="3">
        <v>2</v>
      </c>
      <c r="H8" s="7">
        <v>482.3125</v>
      </c>
      <c r="I8" s="8">
        <v>0.3063671913316124</v>
      </c>
      <c r="J8" s="3">
        <v>0</v>
      </c>
      <c r="K8" s="7">
        <v>487.4479166666667</v>
      </c>
      <c r="L8" s="8">
        <v>0.2086409991939966</v>
      </c>
      <c r="M8" s="3">
        <v>1</v>
      </c>
      <c r="N8" s="7">
        <v>397.3125</v>
      </c>
      <c r="O8" s="8">
        <v>0</v>
      </c>
      <c r="P8" s="3">
        <v>96</v>
      </c>
      <c r="Q8" s="7">
        <v>335.4270833333333</v>
      </c>
    </row>
  </sheetData>
  <mergeCells count="1">
    <mergeCell ref="A1:Q1"/>
  </mergeCells>
  <conditionalFormatting sqref="C4:Q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/>
  </sheetViews>
  <sheetFormatPr defaultRowHeight="15"/>
  <cols>
    <col min="1" max="1" width="16.7109375" customWidth="1"/>
    <col min="2" max="2" width="14.7109375" customWidth="1"/>
    <col min="3" max="3" width="100.7109375" customWidth="1"/>
  </cols>
  <sheetData>
    <row r="1" spans="1:3">
      <c r="A1" s="1" t="s">
        <v>556</v>
      </c>
      <c r="B1" s="1"/>
      <c r="C1" s="1"/>
    </row>
    <row r="3" spans="1:3">
      <c r="A3" s="5" t="s">
        <v>5</v>
      </c>
      <c r="B3" s="5" t="s">
        <v>557</v>
      </c>
      <c r="C3" s="5" t="s">
        <v>558</v>
      </c>
    </row>
    <row r="4" spans="1:3">
      <c r="A4" s="6" t="s">
        <v>16</v>
      </c>
      <c r="B4" s="3">
        <v>0</v>
      </c>
      <c r="C4" s="6" t="s">
        <v>559</v>
      </c>
    </row>
    <row r="5" spans="1:3">
      <c r="A5" s="6" t="s">
        <v>19</v>
      </c>
      <c r="B5" s="3">
        <v>0</v>
      </c>
      <c r="C5" s="6" t="s">
        <v>559</v>
      </c>
    </row>
    <row r="6" spans="1:3">
      <c r="A6" s="6" t="s">
        <v>21</v>
      </c>
      <c r="B6" s="3">
        <v>0</v>
      </c>
      <c r="C6" s="6" t="s">
        <v>559</v>
      </c>
    </row>
    <row r="7" spans="1:3">
      <c r="A7" s="6" t="s">
        <v>23</v>
      </c>
      <c r="B7" s="3">
        <v>0</v>
      </c>
      <c r="C7" s="6" t="s">
        <v>559</v>
      </c>
    </row>
    <row r="8" spans="1:3">
      <c r="A8" s="6" t="s">
        <v>26</v>
      </c>
      <c r="B8" s="3">
        <v>0</v>
      </c>
      <c r="C8" s="6" t="s">
        <v>559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26.7109375" customWidth="1"/>
    <col min="2" max="2" width="46.7109375" customWidth="1"/>
    <col min="3" max="3" width="16.7109375" customWidth="1"/>
    <col min="4" max="4" width="20.7109375" customWidth="1"/>
  </cols>
  <sheetData>
    <row r="1" spans="1:4">
      <c r="A1" s="1" t="s">
        <v>560</v>
      </c>
      <c r="B1" s="1"/>
      <c r="C1" s="1"/>
      <c r="D1" s="1"/>
    </row>
    <row r="3" spans="1:4">
      <c r="A3" s="2" t="s">
        <v>561</v>
      </c>
      <c r="B3" s="4" t="s">
        <v>562</v>
      </c>
    </row>
    <row r="4" spans="1:4">
      <c r="A4" s="2" t="s">
        <v>563</v>
      </c>
      <c r="B4" s="4" t="s">
        <v>564</v>
      </c>
    </row>
    <row r="5" spans="1:4">
      <c r="A5" s="2" t="s">
        <v>565</v>
      </c>
      <c r="B5" s="4" t="s">
        <v>566</v>
      </c>
    </row>
    <row r="6" spans="1:4">
      <c r="A6" s="2" t="s">
        <v>567</v>
      </c>
      <c r="B6" s="4" t="s">
        <v>568</v>
      </c>
    </row>
    <row r="8" spans="1:4">
      <c r="A8" s="5" t="s">
        <v>5</v>
      </c>
      <c r="B8" s="5" t="s">
        <v>569</v>
      </c>
      <c r="C8" s="5" t="s">
        <v>570</v>
      </c>
      <c r="D8" s="5" t="s">
        <v>571</v>
      </c>
    </row>
    <row r="9" spans="1:4">
      <c r="A9" s="6" t="s">
        <v>16</v>
      </c>
      <c r="B9" s="6" t="s">
        <v>17</v>
      </c>
      <c r="C9" s="6" t="s">
        <v>572</v>
      </c>
      <c r="D9" s="6" t="s">
        <v>18</v>
      </c>
    </row>
    <row r="10" spans="1:4">
      <c r="A10" s="6" t="s">
        <v>19</v>
      </c>
      <c r="B10" s="6" t="s">
        <v>20</v>
      </c>
      <c r="C10" s="6" t="s">
        <v>572</v>
      </c>
      <c r="D10" s="6" t="s">
        <v>18</v>
      </c>
    </row>
    <row r="11" spans="1:4">
      <c r="A11" s="6" t="s">
        <v>21</v>
      </c>
      <c r="B11" s="6" t="s">
        <v>22</v>
      </c>
      <c r="C11" s="6" t="s">
        <v>572</v>
      </c>
      <c r="D11" s="6" t="s">
        <v>18</v>
      </c>
    </row>
    <row r="12" spans="1:4">
      <c r="A12" s="6" t="s">
        <v>23</v>
      </c>
      <c r="B12" s="6" t="s">
        <v>24</v>
      </c>
      <c r="C12" s="6" t="s">
        <v>572</v>
      </c>
      <c r="D12" s="6" t="s">
        <v>25</v>
      </c>
    </row>
    <row r="13" spans="1:4">
      <c r="A13" s="6" t="s">
        <v>26</v>
      </c>
      <c r="B13" s="6" t="s">
        <v>27</v>
      </c>
      <c r="C13" s="6" t="s">
        <v>573</v>
      </c>
      <c r="D13" s="6" t="s">
        <v>28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Comparison</vt:lpstr>
      <vt:lpstr>By_n_items</vt:lpstr>
      <vt:lpstr>Unmatched</vt:lpstr>
      <vt:lpstr>Calculation_Notes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Comparison of MSIG with adapted benchmark algorithms</dc:title>
  <dc:subject>Instance-by-instance gap-to-best comparison</dc:subject>
  <dc:creator>ChatGPT</dc:creator>
  <cp:lastModifiedBy>ChatGPT</cp:lastModifiedBy>
  <dcterms:created xsi:type="dcterms:W3CDTF">2026-05-12T15:04:00Z</dcterms:created>
  <dcterms:modified xsi:type="dcterms:W3CDTF">2026-05-12T15:04:00Z</dcterms:modified>
</cp:coreProperties>
</file>